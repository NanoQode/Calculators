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Segment Summary" sheetId="2" state="visible" r:id="rId4"/>
    <sheet name="Pages" sheetId="3" state="visible" r:id="rId5"/>
    <sheet name="Page-Keyword Map" sheetId="4" state="visible" r:id="rId6"/>
    <sheet name="Nationwide KWs" sheetId="5" state="visible" r:id="rId7"/>
    <sheet name="Provincial KWs" sheetId="6" state="visible" r:id="rId8"/>
    <sheet name="City KWs" sheetId="7" state="visible" r:id="rId9"/>
    <sheet name="Backlog (Unmapped)" sheetId="8" state="visible" r:id="rId10"/>
    <sheet name="Blog Content Plan" sheetId="9" state="visible" r:id="rId11"/>
  </sheets>
  <definedNames>
    <definedName function="false" hidden="true" localSheetId="7" name="_xlnm._FilterDatabase" vbProcedure="false">'Backlog (Unmapped)'!$A$1:$O$45</definedName>
    <definedName function="false" hidden="true" localSheetId="8" name="_xlnm._FilterDatabase" vbProcedure="false">'Blog Content Plan'!$A$1:$AG$160</definedName>
    <definedName function="false" hidden="true" localSheetId="6" name="_xlnm._FilterDatabase" vbProcedure="false">'City KWs'!$A$1:$R$419</definedName>
    <definedName function="false" hidden="true" localSheetId="4" name="_xlnm._FilterDatabase" vbProcedure="false">'Nationwide KWs'!$A$1:$P$158</definedName>
    <definedName function="false" hidden="true" localSheetId="3" name="_xlnm._FilterDatabase" vbProcedure="false">'Page-Keyword Map'!$A$1:$P$668</definedName>
    <definedName function="false" hidden="true" localSheetId="2" name="_xlnm._FilterDatabase" vbProcedure="false">Pages!$A$1:$AC$824</definedName>
    <definedName function="false" hidden="true" localSheetId="5" name="_xlnm._FilterDatabase" vbProcedure="false">'Provincial KWs'!$A$1:$Q$137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Formula. Aim for 50–65 characters including the " | Instasure.ca" suffix.</t>
        </r>
      </text>
    </comment>
    <comment ref="M1" authorId="0">
      <text>
        <r>
          <rPr>
            <sz val="10"/>
            <rFont val="Arial"/>
            <family val="2"/>
          </rPr>
          <t xml:space="preserve">Formula. Aim for 140–160 characters.</t>
        </r>
      </text>
    </comment>
    <comment ref="O1" authorId="0">
      <text>
        <r>
          <rPr>
            <sz val="10"/>
            <rFont val="Arial"/>
            <family val="2"/>
          </rPr>
          <t xml:space="preserve">Highest-volume keyword from the keyword map that targets this page.</t>
        </r>
      </text>
    </comment>
    <comment ref="R1" authorId="0">
      <text>
        <r>
          <rPr>
            <sz val="10"/>
            <rFont val="Arial"/>
            <family val="2"/>
          </rPr>
          <t xml:space="preserve">Pattern keyword for pages with no mapped keyword yet (product + place, service head term or guide focus keyword). Add it to the keyword map with real volume when you validate it.</t>
        </r>
      </text>
    </comment>
    <comment ref="S1" authorId="0">
      <text>
        <r>
          <rPr>
            <sz val="10"/>
            <rFont val="Arial"/>
            <family val="2"/>
          </rPr>
          <t xml:space="preserve">Formula: rows on 'Page-Keyword Map' for this URL.</t>
        </r>
      </text>
    </comment>
    <comment ref="Z1" authorId="0">
      <text>
        <r>
          <rPr>
            <sz val="10"/>
            <rFont val="Arial"/>
            <family val="2"/>
          </rPr>
          <t xml:space="preserve">Which file under https://instasure.ca/sitemap.xml lists this URL. Noindex pages are deliberately left out of every sitemap.</t>
        </r>
      </text>
    </comment>
    <comment ref="AA1" authorId="0">
      <text>
        <r>
          <rPr>
            <sz val="10"/>
            <rFont val="Arial"/>
            <family val="2"/>
          </rPr>
          <t xml:space="preserve">Live – noindex pages are thin programmatic pages kept out of search until an editor enriches them (Admin → SEO → Page overrides).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M1" authorId="0">
      <text>
        <r>
          <rPr>
            <sz val="10"/>
            <rFont val="Arial"/>
            <family val="2"/>
          </rPr>
          <t xml:space="preserve">Primary = highest-volume keyword for the URL; use it in the title, H1 and first paragraph. Secondary keywords go in H2s, FAQ and body copy.</t>
        </r>
      </text>
    </comment>
    <comment ref="N1" authorId="0">
      <text>
        <r>
          <rPr>
            <sz val="10"/>
            <rFont val="Arial"/>
            <family val="2"/>
          </rPr>
          <t xml:space="preserve">Formula: looks up the page's title tag on the Pages tab.</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Modelled estimate (October 2026), not measured. Enter Keyword Planner data in the yellow column and re-sort.</t>
        </r>
      </text>
    </comment>
    <comment ref="K1" authorId="0">
      <text>
        <r>
          <rPr>
            <sz val="10"/>
            <rFont val="Arial"/>
            <family val="2"/>
          </rPr>
          <t xml:space="preserve">Formula: looks up the target page's title tag on the Pages tab.</t>
        </r>
      </text>
    </comment>
    <comment ref="N1" authorId="0">
      <text>
        <r>
          <rPr>
            <sz val="10"/>
            <rFont val="Arial"/>
            <family val="2"/>
          </rPr>
          <t xml:space="preserve">Fill in from Google Keyword Planner, Ahrefs or Semrush.</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Modelled estimate (October 2026), not measured. Enter Keyword Planner data in the yellow column and re-sort.</t>
        </r>
      </text>
    </comment>
    <comment ref="L1" authorId="0">
      <text>
        <r>
          <rPr>
            <sz val="10"/>
            <rFont val="Arial"/>
            <family val="2"/>
          </rPr>
          <t xml:space="preserve">Formula: looks up the target page's title tag on the Pages tab.</t>
        </r>
      </text>
    </comment>
    <comment ref="O1" authorId="0">
      <text>
        <r>
          <rPr>
            <sz val="10"/>
            <rFont val="Arial"/>
            <family val="2"/>
          </rPr>
          <t xml:space="preserve">Fill in from Google Keyword Planner, Ahrefs or Semrush.</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Modelled estimate (October 2026), not measured. Enter Keyword Planner data in the yellow column and re-sort.</t>
        </r>
      </text>
    </comment>
    <comment ref="M1" authorId="0">
      <text>
        <r>
          <rPr>
            <sz val="10"/>
            <rFont val="Arial"/>
            <family val="2"/>
          </rPr>
          <t xml:space="preserve">Formula: looks up the target page's title tag on the Pages tab.</t>
        </r>
      </text>
    </comment>
    <comment ref="P1" authorId="0">
      <text>
        <r>
          <rPr>
            <sz val="10"/>
            <rFont val="Arial"/>
            <family val="2"/>
          </rPr>
          <t xml:space="preserve">Fill in from Google Keyword Planner, Ahrefs or Semrush.</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Planned → Writing → In review → Published. Published rows are the 18 launch guides already live.</t>
        </r>
      </text>
    </comment>
    <comment ref="I1" authorId="0">
      <text>
        <r>
          <rPr>
            <sz val="10"/>
            <rFont val="Arial"/>
            <family val="2"/>
          </rPr>
          <t xml:space="preserve">Formula: modelled volume if the focus keyword is in the keyword map (Nationwide, Provincial or City tab); blank otherwise.</t>
        </r>
      </text>
    </comment>
    <comment ref="J1" authorId="0">
      <text>
        <r>
          <rPr>
            <sz val="10"/>
            <rFont val="Arial"/>
            <family val="2"/>
          </rPr>
          <t xml:space="preserve">Writer estimate: High &gt;2,000/mo, Medium 500–2,000, Low 100–500, Niche &lt;100. Validate in Keyword Planner.</t>
        </r>
      </text>
    </comment>
    <comment ref="O1" authorId="0">
      <text>
        <r>
          <rPr>
            <sz val="10"/>
            <rFont val="Arial"/>
            <family val="2"/>
          </rPr>
          <t xml:space="preserve">Without the " | Instasure.ca" suffix, which the site adds when it fits. Aim for 45–60 characters.</t>
        </r>
      </text>
    </comment>
    <comment ref="Q1" authorId="0">
      <text>
        <r>
          <rPr>
            <sz val="10"/>
            <rFont val="Arial"/>
            <family val="2"/>
          </rPr>
          <t xml:space="preserve">Aim for 140–155 characters.</t>
        </r>
      </text>
    </comment>
    <comment ref="S1" authorId="0">
      <text>
        <r>
          <rPr>
            <sz val="10"/>
            <rFont val="Arial"/>
            <family val="2"/>
          </rPr>
          <t xml:space="preserve">Formula. "Check" means the exact phrase is not in the title; a close variant may be fine.</t>
        </r>
      </text>
    </comment>
  </commentList>
</comments>
</file>

<file path=xl/sharedStrings.xml><?xml version="1.0" encoding="utf-8"?>
<sst xmlns="http://schemas.openxmlformats.org/spreadsheetml/2006/main" count="29183" uniqueCount="7656">
  <si>
    <t xml:space="preserve">instasure.ca: SEO keyword, page and content plan</t>
  </si>
  <si>
    <t xml:space="preserve">Built from the October 2026 competitor research (Ratehub, Rates.ca, PolicyAdvisor, Sun Life, Manulife, Sonnet) and the live site at https://instasure.ca. Generated October 3, 2026.</t>
  </si>
  <si>
    <t xml:space="preserve">At a glance</t>
  </si>
  <si>
    <t xml:space="preserve">Pages on the site</t>
  </si>
  <si>
    <t xml:space="preserve">All URLs the site serves (Pages tab).</t>
  </si>
  <si>
    <t xml:space="preserve">Indexable pages</t>
  </si>
  <si>
    <t xml:space="preserve">In the XML sitemap and open to search engines.</t>
  </si>
  <si>
    <t xml:space="preserve">Noindex pages to enrich</t>
  </si>
  <si>
    <t xml:space="preserve">Thin programmatic pages kept out of search until an editor adds local content.</t>
  </si>
  <si>
    <t xml:space="preserve">Keywords in the map</t>
  </si>
  <si>
    <t xml:space="preserve">Nationwide + Provincial + City tabs.</t>
  </si>
  <si>
    <t xml:space="preserve">  Nationwide keywords</t>
  </si>
  <si>
    <t xml:space="preserve">Canada-wide head terms and topics.</t>
  </si>
  <si>
    <t xml:space="preserve">  Provincial keywords</t>
  </si>
  <si>
    <t xml:space="preserve">Product + province, regulation and French (Quebec, planned).</t>
  </si>
  <si>
    <t xml:space="preserve">  City keywords</t>
  </si>
  <si>
    <t xml:space="preserve">Product + city, GTA sub-areas and French cities (planned).</t>
  </si>
  <si>
    <t xml:space="preserve">Modelled search volume / mo</t>
  </si>
  <si>
    <t xml:space="preserve">Sum of modelled monthly searches. Use to order work, not to forecast traffic.</t>
  </si>
  <si>
    <t xml:space="preserve">Keywords mapped to a live page</t>
  </si>
  <si>
    <t xml:space="preserve">Rows on the Page-Keyword Map tab.</t>
  </si>
  <si>
    <t xml:space="preserve">Keywords in the backlog</t>
  </si>
  <si>
    <t xml:space="preserve">No page yet: planned URLs and blocked items (e.g. French Quebec).</t>
  </si>
  <si>
    <t xml:space="preserve">Blog topics planned</t>
  </si>
  <si>
    <t xml:space="preserve">Blog Content Plan tab (last tab).</t>
  </si>
  <si>
    <t xml:space="preserve">  Priority 1 topics</t>
  </si>
  <si>
    <t xml:space="preserve">Write these first.</t>
  </si>
  <si>
    <t xml:space="preserve">Blog posts published</t>
  </si>
  <si>
    <t xml:space="preserve">The 18 launch guides, plus any you mark Published.</t>
  </si>
  <si>
    <t xml:space="preserve">Tabs</t>
  </si>
  <si>
    <t xml:space="preserve">Segment Summary</t>
  </si>
  <si>
    <t xml:space="preserve">Pages, keywords (by level), volume, backlog and blog topics for each insurance segment.</t>
  </si>
  <si>
    <t xml:space="preserve">Pages</t>
  </si>
  <si>
    <t xml:space="preserve">Every URL: type, segment, place, indexable, title tag, meta description, H1, primary keyword, keyword counts by level.</t>
  </si>
  <si>
    <t xml:space="preserve">Page-Keyword Map</t>
  </si>
  <si>
    <t xml:space="preserve">One row per keyword per target page. Primary keyword goes in the title, H1 and first paragraph; secondary keywords in H2s, FAQ and body.</t>
  </si>
  <si>
    <t xml:space="preserve">Nationwide KWs</t>
  </si>
  <si>
    <t xml:space="preserve">Canada-wide keywords, highest volume first.</t>
  </si>
  <si>
    <t xml:space="preserve">Provincial KWs</t>
  </si>
  <si>
    <t xml:space="preserve">Province-level keywords, highest volume first.</t>
  </si>
  <si>
    <t xml:space="preserve">City KWs</t>
  </si>
  <si>
    <t xml:space="preserve">City-level keywords, highest volume first.</t>
  </si>
  <si>
    <t xml:space="preserve">Backlog (Unmapped)</t>
  </si>
  <si>
    <t xml:space="preserve">Keywords with no page yet, with the planned URL where one is set.</t>
  </si>
  <si>
    <t xml:space="preserve">Blog Content Plan</t>
  </si>
  <si>
    <t xml:space="preserve">Exhaustive blog topic list per insurance segment from the competitor research: title, URL, focus and secondary keywords, meta title and description, H2 outline, FAQ, value asset, internal links, CTA, schema, competitor gap, optimization and compliance instructions.</t>
  </si>
  <si>
    <t xml:space="preserve">How to use</t>
  </si>
  <si>
    <t xml:space="preserve">Yellow cells</t>
  </si>
  <si>
    <t xml:space="preserve">Fill these in: status, owner, dates, measured volume, current rank. Everything else is data or a formula.</t>
  </si>
  <si>
    <t xml:space="preserve">Formulas</t>
  </si>
  <si>
    <t xml:space="preserve">Counts, lengths, lookups and "keyword in title?" checks recalculate when you edit the sheet.</t>
  </si>
  <si>
    <t xml:space="preserve">Volumes</t>
  </si>
  <si>
    <t xml:space="preserve">Modelled estimates (October 2026), not measured. Import Keyword Planner, Ahrefs or Semrush data into the yellow "Measured volume" columns, and into Admin → SEO → Keyword map on the site.</t>
  </si>
  <si>
    <t xml:space="preserve">Levels</t>
  </si>
  <si>
    <t xml:space="preserve">Nationwide = Canada-wide query. Provincial = names a province or a provincial system (ICBC, FSRA, Care-First). City = names a city or GTA sub-area.</t>
  </si>
  <si>
    <t xml:space="preserve">Priority</t>
  </si>
  <si>
    <t xml:space="preserve">1 = do first. Weighs lead value, volume, competitor gap and serviceability. Quebec stays at 3 or lower until AMF registration and French pages exist.</t>
  </si>
  <si>
    <t xml:space="preserve">Publishing a blog</t>
  </si>
  <si>
    <t xml:space="preserve">Admin → Content on instasure.ca: paste the meta title, meta description and focus keyword from the Blog Content Plan, add the FAQ, sources and a licensed reviewer, then mark the row Published.</t>
  </si>
  <si>
    <t xml:space="preserve">Compliance</t>
  </si>
  <si>
    <t xml:space="preserve">No "best", "cheapest" or "lowest" claims without a published methodology; estimates are labelled as estimates; verify every fact flagged in the Compliance column against the primary source (see docs/CONTENT_REVIEW.md in the repo).</t>
  </si>
  <si>
    <t xml:space="preserve">Source files</t>
  </si>
  <si>
    <t xml:space="preserve">Repo NanoQode/Calculators → instasure.ca/docs: STRATEGY.md, SITE_REVIEW.md, KEYWORDS.md, keywords.csv, CONTENT_REVIEW.md, research/*.md.</t>
  </si>
  <si>
    <t xml:space="preserve">Insurance segment</t>
  </si>
  <si>
    <t xml:space="preserve">Pages (all)</t>
  </si>
  <si>
    <t xml:space="preserve">Nationwide keywords</t>
  </si>
  <si>
    <t xml:space="preserve">Nationwide volume / mo</t>
  </si>
  <si>
    <t xml:space="preserve">Provincial keywords</t>
  </si>
  <si>
    <t xml:space="preserve">Provincial volume / mo</t>
  </si>
  <si>
    <t xml:space="preserve">City keywords</t>
  </si>
  <si>
    <t xml:space="preserve">City volume / mo</t>
  </si>
  <si>
    <t xml:space="preserve">Total keyword volume / mo</t>
  </si>
  <si>
    <t xml:space="preserve">Unmapped keywords (backlog)</t>
  </si>
  <si>
    <t xml:space="preserve">Priority 1 topics</t>
  </si>
  <si>
    <t xml:space="preserve">Life insurance</t>
  </si>
  <si>
    <t xml:space="preserve">Mortgage protection</t>
  </si>
  <si>
    <t xml:space="preserve">Critical illness insurance</t>
  </si>
  <si>
    <t xml:space="preserve">Disability insurance</t>
  </si>
  <si>
    <t xml:space="preserve">Health &amp; dental insurance</t>
  </si>
  <si>
    <t xml:space="preserve">Group benefits</t>
  </si>
  <si>
    <t xml:space="preserve">Travel insurance</t>
  </si>
  <si>
    <t xml:space="preserve">Super Visa &amp; visitors insurance</t>
  </si>
  <si>
    <t xml:space="preserve">Car insurance</t>
  </si>
  <si>
    <t xml:space="preserve">Recreational vehicles</t>
  </si>
  <si>
    <t xml:space="preserve">Home insurance</t>
  </si>
  <si>
    <t xml:space="preserve">Condo insurance</t>
  </si>
  <si>
    <t xml:space="preserve">Tenant insurance</t>
  </si>
  <si>
    <t xml:space="preserve">Landlord &amp; rental property</t>
  </si>
  <si>
    <t xml:space="preserve">Pet insurance</t>
  </si>
  <si>
    <t xml:space="preserve">Business insurance</t>
  </si>
  <si>
    <t xml:space="preserve">Contractor &amp; trades insurance</t>
  </si>
  <si>
    <t xml:space="preserve">Professional liability (E&amp;O)</t>
  </si>
  <si>
    <t xml:space="preserve">Insurance basics &amp; consumer rights</t>
  </si>
  <si>
    <t xml:space="preserve">Cross-product &amp; brand</t>
  </si>
  <si>
    <t xml:space="preserve">Multi-line (place hubs)</t>
  </si>
  <si>
    <t xml:space="preserve">Site, tools &amp; trust</t>
  </si>
  <si>
    <t xml:space="preserve">Total</t>
  </si>
  <si>
    <t xml:space="preserve">Every number on this tab is a formula over the other tabs. Volumes are modelled monthly Google searches in Canada (October 2026), not measured data.</t>
  </si>
  <si>
    <t xml:space="preserve">Page ID</t>
  </si>
  <si>
    <t xml:space="preserve">URL</t>
  </si>
  <si>
    <t xml:space="preserve">Page type</t>
  </si>
  <si>
    <t xml:space="preserve">Product line</t>
  </si>
  <si>
    <t xml:space="preserve">Service</t>
  </si>
  <si>
    <t xml:space="preserve">Province</t>
  </si>
  <si>
    <t xml:space="preserve">City</t>
  </si>
  <si>
    <t xml:space="preserve">Indexable</t>
  </si>
  <si>
    <t xml:space="preserve">Title tag</t>
  </si>
  <si>
    <t xml:space="preserve">Title length</t>
  </si>
  <si>
    <t xml:space="preserve">Meta description</t>
  </si>
  <si>
    <t xml:space="preserve">Description length</t>
  </si>
  <si>
    <t xml:space="preserve">H1</t>
  </si>
  <si>
    <t xml:space="preserve">Primary keyword</t>
  </si>
  <si>
    <t xml:space="preserve">Primary keyword volume</t>
  </si>
  <si>
    <t xml:space="preserve">Primary keyword level</t>
  </si>
  <si>
    <t xml:space="preserve">Suggested keyword (not yet in keyword map)</t>
  </si>
  <si>
    <t xml:space="preserve">Keywords mapped</t>
  </si>
  <si>
    <t xml:space="preserve">Mapped volume / mo</t>
  </si>
  <si>
    <t xml:space="preserve">Primary keyword in title?</t>
  </si>
  <si>
    <t xml:space="preserve">Sitemap priority</t>
  </si>
  <si>
    <t xml:space="preserve">Sitemap file</t>
  </si>
  <si>
    <t xml:space="preserve">Status</t>
  </si>
  <si>
    <t xml:space="preserve">Owner</t>
  </si>
  <si>
    <t xml:space="preserve">Notes</t>
  </si>
  <si>
    <t xml:space="preserve">P0001</t>
  </si>
  <si>
    <t xml:space="preserve">https://instasure.ca/</t>
  </si>
  <si>
    <t xml:space="preserve">Static / tool</t>
  </si>
  <si>
    <t xml:space="preserve">Yes</t>
  </si>
  <si>
    <t xml:space="preserve">Instasure.ca — Compare Insurance Quotes in Canada | Instant Estimates</t>
  </si>
  <si>
    <t xml:space="preserve">Instant insurance estimates for life, critical illness, home, tenant, car, travel and business coverage in every province — then a licensed advisor compares…</t>
  </si>
  <si>
    <t xml:space="preserve">Compare Canadian insurance quotes. Instant estimates in 60 seconds.</t>
  </si>
  <si>
    <t xml:space="preserve">sitemap-core.xml</t>
  </si>
  <si>
    <t xml:space="preserve">Live – indexable</t>
  </si>
  <si>
    <t xml:space="preserve">P0002</t>
  </si>
  <si>
    <t xml:space="preserve">https://instasure.ca/about/</t>
  </si>
  <si>
    <t xml:space="preserve">About Instasure.ca</t>
  </si>
  <si>
    <t xml:space="preserve">Instasure.ca helps Canadians understand insurance and price it instantly, then connects them with advisors licensed in their province.</t>
  </si>
  <si>
    <t xml:space="preserve">P0003</t>
  </si>
  <si>
    <t xml:space="preserve">https://instasure.ca/accessibility/</t>
  </si>
  <si>
    <t xml:space="preserve">Accessibility | Instasure.ca</t>
  </si>
  <si>
    <t xml:space="preserve">Instasure.ca’s commitment to an accessible website for all Canadians, including AODA and WCAG 2.1 AA alignment.</t>
  </si>
  <si>
    <t xml:space="preserve">Accessibility</t>
  </si>
  <si>
    <t xml:space="preserve">P0004</t>
  </si>
  <si>
    <t xml:space="preserve">https://instasure.ca/advisors/</t>
  </si>
  <si>
    <t xml:space="preserve">Licensed Insurance Advisors Across Canada | Instasure.ca</t>
  </si>
  <si>
    <t xml:space="preserve">Meet Instasure’s licensed insurance advisors. Every advisor is licensed in the provinces they serve and matched to you by province, product and language.</t>
  </si>
  <si>
    <t xml:space="preserve">Licensed insurance advisors across Canada</t>
  </si>
  <si>
    <t xml:space="preserve">insurance broker near me</t>
  </si>
  <si>
    <t xml:space="preserve">Nationwide</t>
  </si>
  <si>
    <t xml:space="preserve">P0005</t>
  </si>
  <si>
    <t xml:space="preserve">https://instasure.ca/calculators/</t>
  </si>
  <si>
    <t xml:space="preserve">Free Insurance Calculators for Canadians | Instasure.ca</t>
  </si>
  <si>
    <t xml:space="preserve">Free Canadian insurance calculators: life insurance needs, mortgage protection vs term life, tenant &amp; condo coverage and small-business coverage — instant results,…</t>
  </si>
  <si>
    <t xml:space="preserve">Insurance calculators for Canadians</t>
  </si>
  <si>
    <t xml:space="preserve">P0006</t>
  </si>
  <si>
    <t xml:space="preserve">https://instasure.ca/calculators/business-coverage/</t>
  </si>
  <si>
    <t xml:space="preserve">Small Business Insurance Coverage Checker | Instasure.ca</t>
  </si>
  <si>
    <t xml:space="preserve">Answer a few questions about your business to see recommended CGL, E&amp;O, property and cyber coverage plus an instant cost estimate.</t>
  </si>
  <si>
    <t xml:space="preserve">What business insurance do I need?</t>
  </si>
  <si>
    <t xml:space="preserve">business insurance calculator</t>
  </si>
  <si>
    <t xml:space="preserve">P0007</t>
  </si>
  <si>
    <t xml:space="preserve">https://instasure.ca/calculators/life-insurance-needs/</t>
  </si>
  <si>
    <t xml:space="preserve">Life Insurance Needs Calculator (Canada) | Instasure.ca</t>
  </si>
  <si>
    <t xml:space="preserve">Calculate how much life insurance your family needs using your income, mortgage, debts, childcare and education costs — built for Canadian households.</t>
  </si>
  <si>
    <t xml:space="preserve">How much life insurance do I need?</t>
  </si>
  <si>
    <t xml:space="preserve">life insurance calculator</t>
  </si>
  <si>
    <t xml:space="preserve">P0008</t>
  </si>
  <si>
    <t xml:space="preserve">https://instasure.ca/calculators/mortgage-protection/</t>
  </si>
  <si>
    <t xml:space="preserve">Mortgage Life Insurance vs Term Life Calculator | Instasure.ca</t>
  </si>
  <si>
    <t xml:space="preserve">Compare the cost and payout of bank mortgage creditor insurance against a personal term life policy for your mortgage balance and age.</t>
  </si>
  <si>
    <t xml:space="preserve">Mortgage protection calculator: bank insurance vs term life</t>
  </si>
  <si>
    <t xml:space="preserve">mortgage life insurance calculator</t>
  </si>
  <si>
    <t xml:space="preserve">P0009</t>
  </si>
  <si>
    <t xml:space="preserve">https://instasure.ca/calculators/tenant-condo-coverage/</t>
  </si>
  <si>
    <t xml:space="preserve">Tenant &amp; Condo Insurance Coverage Calculator | Instasure.ca</t>
  </si>
  <si>
    <t xml:space="preserve">Estimate the replacement value of your belongings, condo improvements and the deductible-assessment coverage your building requires.</t>
  </si>
  <si>
    <t xml:space="preserve">How much tenant or condo insurance do I need?</t>
  </si>
  <si>
    <t xml:space="preserve">how much contents insurance do i need</t>
  </si>
  <si>
    <t xml:space="preserve">P0010</t>
  </si>
  <si>
    <t xml:space="preserve">https://instasure.ca/compare/</t>
  </si>
  <si>
    <t xml:space="preserve">Compare life insurance options in Canada (2026) | Instasure.ca</t>
  </si>
  <si>
    <t xml:space="preserve">Side-by-side comparison of life insurance options in Canada — price, underwriting speed, medical requirements and features — with instant estimates and licensed…</t>
  </si>
  <si>
    <t xml:space="preserve">Compare life insurance options</t>
  </si>
  <si>
    <t xml:space="preserve">compare insurance quotes canada</t>
  </si>
  <si>
    <t xml:space="preserve">P0011</t>
  </si>
  <si>
    <t xml:space="preserve">https://instasure.ca/contact/</t>
  </si>
  <si>
    <t xml:space="preserve">Contact Instasure — Book a Free Licensed Advisor Review</t>
  </si>
  <si>
    <t xml:space="preserve">Book a free, no-obligation insurance review with an advisor licensed in your province, or send us a question.</t>
  </si>
  <si>
    <t xml:space="preserve">Talk to a licensed advisor</t>
  </si>
  <si>
    <t xml:space="preserve">P0012</t>
  </si>
  <si>
    <t xml:space="preserve">https://instasure.ca/editorial-guidelines/</t>
  </si>
  <si>
    <t xml:space="preserve">Editorial guidelines | Instasure.ca</t>
  </si>
  <si>
    <t xml:space="preserve">How Instasure.ca researches, writes, reviews and updates its insurance guides — sources, expert review, corrections and independence.</t>
  </si>
  <si>
    <t xml:space="preserve">Editorial guidelines</t>
  </si>
  <si>
    <t xml:space="preserve">P0013</t>
  </si>
  <si>
    <t xml:space="preserve">https://instasure.ca/glossary/</t>
  </si>
  <si>
    <t xml:space="preserve">Canadian Insurance Glossary: Plain-Language Definitions</t>
  </si>
  <si>
    <t xml:space="preserve">Plain-language definitions of Canadian insurance terms — from accident benefits and DCPD to riders, simplified issue and deductible assessments.</t>
  </si>
  <si>
    <t xml:space="preserve">Canadian insurance glossary</t>
  </si>
  <si>
    <t xml:space="preserve">car insurance deductible</t>
  </si>
  <si>
    <t xml:space="preserve">P0014</t>
  </si>
  <si>
    <t xml:space="preserve">https://instasure.ca/guides/</t>
  </si>
  <si>
    <t xml:space="preserve">Insurance Guides for Canadians — Knowledge &amp; Risk Center</t>
  </si>
  <si>
    <t xml:space="preserve">Plain-language Canadian insurance guides: life, critical illness, home, tenant, car, travel and business coverage — with calculators, province rules and…</t>
  </si>
  <si>
    <t xml:space="preserve">Insurance Knowledge &amp; Risk Center</t>
  </si>
  <si>
    <t xml:space="preserve">P0015</t>
  </si>
  <si>
    <t xml:space="preserve">https://instasure.ca/how-we-make-money/</t>
  </si>
  <si>
    <t xml:space="preserve">How Instasure makes money | Instasure.ca</t>
  </si>
  <si>
    <t xml:space="preserve">Transparency about how Instasure.ca is paid, how advisors are compensated, and how that affects (and doesn’t affect) what you pay.</t>
  </si>
  <si>
    <t xml:space="preserve">How Instasure makes money</t>
  </si>
  <si>
    <t xml:space="preserve">P0016</t>
  </si>
  <si>
    <t xml:space="preserve">https://instasure.ca/insights/rate-index/</t>
  </si>
  <si>
    <t xml:space="preserve">No</t>
  </si>
  <si>
    <t xml:space="preserve">Instasure Rate Index — Canadian Insurance Estimates (October 2026)</t>
  </si>
  <si>
    <t xml:space="preserve">Quarterly index of Canadian insurance estimate ranges by product and province, built from anonymised Instasure quote requests.</t>
  </si>
  <si>
    <t xml:space="preserve">Instasure Rate Index</t>
  </si>
  <si>
    <t xml:space="preserve">average car insurance cost canada</t>
  </si>
  <si>
    <t xml:space="preserve">(not listed: noindex)</t>
  </si>
  <si>
    <t xml:space="preserve">Live – noindex (enrich before indexing)</t>
  </si>
  <si>
    <t xml:space="preserve">P0017</t>
  </si>
  <si>
    <t xml:space="preserve">https://instasure.ca/insurance-services/</t>
  </si>
  <si>
    <t xml:space="preserve">All Insurance Services &amp; Specialist Desks in Canada</t>
  </si>
  <si>
    <t xml:space="preserve">Every type of insurance Instasure covers, from car, home and life to pet, boat, landlord and commercial auto, plus specialist desks for hard-to-place needs.</t>
  </si>
  <si>
    <t xml:space="preserve">Every kind of insurance, one licensed advisor</t>
  </si>
  <si>
    <t xml:space="preserve">types of insurance in canada</t>
  </si>
  <si>
    <t xml:space="preserve">P0018</t>
  </si>
  <si>
    <t xml:space="preserve">https://instasure.ca/insurance/</t>
  </si>
  <si>
    <t xml:space="preserve">Insurance in Canada by Province &amp; Territory | Instasure.ca</t>
  </si>
  <si>
    <t xml:space="preserve">How insurance works in each Canadian province and territory — regulators, public vs private auto insurance, local risks and licensed advisors.</t>
  </si>
  <si>
    <t xml:space="preserve">Insurance in Canada, province by province</t>
  </si>
  <si>
    <t xml:space="preserve">P0019</t>
  </si>
  <si>
    <t xml:space="preserve">https://instasure.ca/licensing/</t>
  </si>
  <si>
    <t xml:space="preserve">Licensing &amp; disclosures | Instasure.ca</t>
  </si>
  <si>
    <t xml:space="preserve">Licensing, regulatory and complaint information for Instasure.ca and the licensed advisors who serve its users.</t>
  </si>
  <si>
    <t xml:space="preserve">Licensing &amp; disclosures</t>
  </si>
  <si>
    <t xml:space="preserve">P0020</t>
  </si>
  <si>
    <t xml:space="preserve">https://instasure.ca/privacy/</t>
  </si>
  <si>
    <t xml:space="preserve">Privacy policy | Instasure.ca</t>
  </si>
  <si>
    <t xml:space="preserve">How Instasure.ca collects, uses, shares and protects personal information under PIPEDA and applicable provincial privacy laws, including Quebec’s Law 25.</t>
  </si>
  <si>
    <t xml:space="preserve">Privacy policy</t>
  </si>
  <si>
    <t xml:space="preserve">P0021</t>
  </si>
  <si>
    <t xml:space="preserve">https://instasure.ca/quote/</t>
  </si>
  <si>
    <t xml:space="preserve">Get an Instant Insurance Quote in Canada | Instasure.ca</t>
  </si>
  <si>
    <t xml:space="preserve">Choose your coverage and get an instant premium estimate in about 60 seconds — life, critical illness, disability, home, tenant, condo, car, travel, Super Visa and…</t>
  </si>
  <si>
    <t xml:space="preserve">What would you like to insure?</t>
  </si>
  <si>
    <t xml:space="preserve">insurance quotes</t>
  </si>
  <si>
    <t xml:space="preserve">P0022</t>
  </si>
  <si>
    <t xml:space="preserve">https://instasure.ca/site-map/</t>
  </si>
  <si>
    <t xml:space="preserve">Site map | Instasure.ca</t>
  </si>
  <si>
    <t xml:space="preserve">Every guide, product, province and city page on Instasure.ca.</t>
  </si>
  <si>
    <t xml:space="preserve">Site map</t>
  </si>
  <si>
    <t xml:space="preserve">P0023</t>
  </si>
  <si>
    <t xml:space="preserve">https://instasure.ca/terms/</t>
  </si>
  <si>
    <t xml:space="preserve">Terms of use | Instasure.ca</t>
  </si>
  <si>
    <t xml:space="preserve">Terms governing your use of Instasure.ca, its guides, calculators and instant estimates.</t>
  </si>
  <si>
    <t xml:space="preserve">Terms of use</t>
  </si>
  <si>
    <t xml:space="preserve">P0024</t>
  </si>
  <si>
    <t xml:space="preserve">https://instasure.ca/business-insurance/</t>
  </si>
  <si>
    <t xml:space="preserve">Product pillar</t>
  </si>
  <si>
    <t xml:space="preserve">Business Insurance</t>
  </si>
  <si>
    <t xml:space="preserve">Small Business Insurance (2026) | Instasure.ca</t>
  </si>
  <si>
    <t xml:space="preserve">From sole proprietors to growing teams — the coverage clients, landlords and contracts require. Instant business insurance estimates for every province,…</t>
  </si>
  <si>
    <t xml:space="preserve">Small Business Insurance: Liability, Property &amp; Professional Coverage</t>
  </si>
  <si>
    <t xml:space="preserve">business insurance</t>
  </si>
  <si>
    <t xml:space="preserve">P0025</t>
  </si>
  <si>
    <t xml:space="preserve">https://instasure.ca/car-insurance/</t>
  </si>
  <si>
    <t xml:space="preserve">Car Insurance</t>
  </si>
  <si>
    <t xml:space="preserve">Car Insurance Quotes (2026) | Instasure.ca</t>
  </si>
  <si>
    <t xml:space="preserve">See what drivers like you pay, then let a licensed advisor compare insurers for you. Instant car insurance estimates for every province, plain-language guidance…</t>
  </si>
  <si>
    <t xml:space="preserve">Car Insurance Quotes: Compare Rates in Minutes</t>
  </si>
  <si>
    <t xml:space="preserve">car insurance</t>
  </si>
  <si>
    <t xml:space="preserve">P0026</t>
  </si>
  <si>
    <t xml:space="preserve">https://instasure.ca/condo-insurance/</t>
  </si>
  <si>
    <t xml:space="preserve">Condo Insurance</t>
  </si>
  <si>
    <t xml:space="preserve">Condo Insurance (2026) | Instasure.ca</t>
  </si>
  <si>
    <t xml:space="preserve">Your corporation’s policy covers the building — not your belongings, upgrades or your share of a large deductible. Instant condo insurance estimates for every…</t>
  </si>
  <si>
    <t xml:space="preserve">Condo Insurance: Unit, Improvements &amp; Deductible Assessment Coverage</t>
  </si>
  <si>
    <t xml:space="preserve">condo insurance</t>
  </si>
  <si>
    <t xml:space="preserve">P0027</t>
  </si>
  <si>
    <t xml:space="preserve">https://instasure.ca/contractor-insurance/</t>
  </si>
  <si>
    <t xml:space="preserve">Contractor Insurance</t>
  </si>
  <si>
    <t xml:space="preserve">Contractor Insurance for Trades (2026) | Instasure.ca</t>
  </si>
  <si>
    <t xml:space="preserve">Get the certificate the general contractor or homeowner needs — fast. Instant contractor insurance estimates for every province, plain-language guidance and…</t>
  </si>
  <si>
    <t xml:space="preserve">Contractor Insurance for Trades: Liability, Tools &amp; Equipment</t>
  </si>
  <si>
    <t xml:space="preserve">contractor insurance</t>
  </si>
  <si>
    <t xml:space="preserve">P0028</t>
  </si>
  <si>
    <t xml:space="preserve">https://instasure.ca/critical-illness-insurance/</t>
  </si>
  <si>
    <t xml:space="preserve">Critical Illness Insurance</t>
  </si>
  <si>
    <t xml:space="preserve">Critical Illness Insurance in Canada (2026) | Instasure.ca</t>
  </si>
  <si>
    <t xml:space="preserve">A lump-sum payment after a covered diagnosis like cancer, heart attack or stroke — spend it however recovery requires. Instant critical illness insurance estimates…</t>
  </si>
  <si>
    <t xml:space="preserve">Critical Illness Insurance in Canada: Tax-Free Cash If You Get Sick</t>
  </si>
  <si>
    <t xml:space="preserve">critical illness insurance</t>
  </si>
  <si>
    <t xml:space="preserve">P0029</t>
  </si>
  <si>
    <t xml:space="preserve">https://instasure.ca/disability-insurance/</t>
  </si>
  <si>
    <t xml:space="preserve">Disability Insurance</t>
  </si>
  <si>
    <t xml:space="preserve">Disability Insurance in Canada (2026) | Instasure.ca</t>
  </si>
  <si>
    <t xml:space="preserve">Monthly income if illness or injury stops you from working — essential for the self-employed. Instant disability insurance estimates for every province,…</t>
  </si>
  <si>
    <t xml:space="preserve">Disability Insurance in Canada: Protect Your Income</t>
  </si>
  <si>
    <t xml:space="preserve">disability insurance</t>
  </si>
  <si>
    <t xml:space="preserve">P0030</t>
  </si>
  <si>
    <t xml:space="preserve">https://instasure.ca/group-benefits/</t>
  </si>
  <si>
    <t xml:space="preserve">Group Benefits</t>
  </si>
  <si>
    <t xml:space="preserve">Group Benefits for Small Businesses (2026) | Instasure.ca</t>
  </si>
  <si>
    <t xml:space="preserve">Attract and keep great people with a benefits plan sized for teams of 2 to 200. Instant group benefits estimates for every province, plain-language guidance and…</t>
  </si>
  <si>
    <t xml:space="preserve">Group Benefits for Small Businesses: Health, Dental &amp; More</t>
  </si>
  <si>
    <t xml:space="preserve">group benefits for small business</t>
  </si>
  <si>
    <t xml:space="preserve">P0031</t>
  </si>
  <si>
    <t xml:space="preserve">https://instasure.ca/health-dental-insurance/</t>
  </si>
  <si>
    <t xml:space="preserve">Health &amp; Dental Insurance</t>
  </si>
  <si>
    <t xml:space="preserve">Health &amp; Dental Insurance for Individuals and Families (2026)</t>
  </si>
  <si>
    <t xml:space="preserve">Prescription drugs, dental, vision and paramedical care that provincial plans don’t fully cover. Instant health &amp; dental insurance estimates for every province,…</t>
  </si>
  <si>
    <t xml:space="preserve">Health &amp; Dental Insurance for Individuals and Families</t>
  </si>
  <si>
    <t xml:space="preserve">dental insurance</t>
  </si>
  <si>
    <t xml:space="preserve">P0032</t>
  </si>
  <si>
    <t xml:space="preserve">https://instasure.ca/home-insurance/</t>
  </si>
  <si>
    <t xml:space="preserve">Home Insurance</t>
  </si>
  <si>
    <t xml:space="preserve">Home Insurance Quotes (2026) | Instasure.ca</t>
  </si>
  <si>
    <t xml:space="preserve">Coverage built for Canadian risks — water, wind, hail, wildfire and theft. Instant home insurance estimates for every province, plain-language guidance and…</t>
  </si>
  <si>
    <t xml:space="preserve">Home Insurance Quotes: Protect Your House, Belongings &amp; Liability</t>
  </si>
  <si>
    <t xml:space="preserve">home insurance</t>
  </si>
  <si>
    <t xml:space="preserve">P0033</t>
  </si>
  <si>
    <t xml:space="preserve">https://instasure.ca/life-insurance/</t>
  </si>
  <si>
    <t xml:space="preserve">Life Insurance</t>
  </si>
  <si>
    <t xml:space="preserve">Life Insurance in Canada (2026) | Instasure.ca</t>
  </si>
  <si>
    <t xml:space="preserve">Protect your family’s income, mortgage and future with term or permanent coverage from leading Canadian insurers. Instant life insurance estimates for every…</t>
  </si>
  <si>
    <t xml:space="preserve">Life Insurance in Canada: Compare Quotes in 60 Seconds</t>
  </si>
  <si>
    <t xml:space="preserve">life insurance</t>
  </si>
  <si>
    <t xml:space="preserve">P0034</t>
  </si>
  <si>
    <t xml:space="preserve">https://instasure.ca/mortgage-life-insurance/</t>
  </si>
  <si>
    <t xml:space="preserve">Mortgage Life Insurance</t>
  </si>
  <si>
    <t xml:space="preserve">Mortgage Life Insurance vs Term Life (2026) | Instasure.ca</t>
  </si>
  <si>
    <t xml:space="preserve">Make sure your family keeps the house — without overpaying for bank creditor insurance. Instant mortgage life insurance estimates for every province,…</t>
  </si>
  <si>
    <t xml:space="preserve">Mortgage Life Insurance vs Term Life: Protect Your Home for Less</t>
  </si>
  <si>
    <t xml:space="preserve">mortgage life insurance</t>
  </si>
  <si>
    <t xml:space="preserve">P0035</t>
  </si>
  <si>
    <t xml:space="preserve">https://instasure.ca/no-medical-life-insurance/</t>
  </si>
  <si>
    <t xml:space="preserve">No-Medical Life Insurance</t>
  </si>
  <si>
    <t xml:space="preserve">No-Medical Life Insurance in Canada (2026) | Instasure.ca</t>
  </si>
  <si>
    <t xml:space="preserve">Fast approval with health questions instead of needles — including options if you have a medical condition. Instant no-medical life insurance estimates for every…</t>
  </si>
  <si>
    <t xml:space="preserve">No-Medical Life Insurance in Canada: Get Covered Without an Exam</t>
  </si>
  <si>
    <t xml:space="preserve">no medical life insurance</t>
  </si>
  <si>
    <t xml:space="preserve">P0036</t>
  </si>
  <si>
    <t xml:space="preserve">https://instasure.ca/professional-liability-insurance/</t>
  </si>
  <si>
    <t xml:space="preserve">Professional Liability (E&amp;O) Insurance</t>
  </si>
  <si>
    <t xml:space="preserve">Professional Liability &amp; E&amp;O Insurance for Consultants and Professionals (2026)</t>
  </si>
  <si>
    <t xml:space="preserve">Protection when a client says your advice, design or service cost them money. Instant professional liability (e&amp;o) insurance estimates for every province,…</t>
  </si>
  <si>
    <t xml:space="preserve">Professional Liability &amp; E&amp;O Insurance for Consultants and Professionals</t>
  </si>
  <si>
    <t xml:space="preserve">professional liability insurance</t>
  </si>
  <si>
    <t xml:space="preserve">P0037</t>
  </si>
  <si>
    <t xml:space="preserve">https://instasure.ca/super-visa-insurance/</t>
  </si>
  <si>
    <t xml:space="preserve">Super Visa Insurance</t>
  </si>
  <si>
    <t xml:space="preserve">Super Visa Insurance (2026) | Instasure.ca</t>
  </si>
  <si>
    <t xml:space="preserve">Meet IRCC’s medical insurance requirement for the Parent and Grandparent Super Visa — with monthly payment options. Instant super visa insurance estimates for…</t>
  </si>
  <si>
    <t xml:space="preserve">Super Visa Insurance: Compare Monthly Plans for Parents &amp; Grandparents</t>
  </si>
  <si>
    <t xml:space="preserve">super visa insurance</t>
  </si>
  <si>
    <t xml:space="preserve">P0038</t>
  </si>
  <si>
    <t xml:space="preserve">https://instasure.ca/tenant-insurance/</t>
  </si>
  <si>
    <t xml:space="preserve">Tenant Insurance</t>
  </si>
  <si>
    <t xml:space="preserve">Tenant Insurance (2026) | Instasure.ca</t>
  </si>
  <si>
    <t xml:space="preserve">Protect your belongings and your liability — and meet your landlord’s lease requirement. Instant tenant insurance estimates for every province, plain-language…</t>
  </si>
  <si>
    <t xml:space="preserve">Tenant Insurance: Coverage for Renters from About a Coffee a Week</t>
  </si>
  <si>
    <t xml:space="preserve">tenant insurance</t>
  </si>
  <si>
    <t xml:space="preserve">P0039</t>
  </si>
  <si>
    <t xml:space="preserve">https://instasure.ca/term-life-insurance/</t>
  </si>
  <si>
    <t xml:space="preserve">Term Life Insurance</t>
  </si>
  <si>
    <t xml:space="preserve">Term Life Insurance Quotes (2026) | Instasure.ca</t>
  </si>
  <si>
    <t xml:space="preserve">The most affordable way to protect your family during your working and mortgage years. Instant term life insurance estimates for every province, plain-language…</t>
  </si>
  <si>
    <t xml:space="preserve">Term Life Insurance Quotes: 10, 20 &amp; 30-Year Rates</t>
  </si>
  <si>
    <t xml:space="preserve">term life insurance</t>
  </si>
  <si>
    <t xml:space="preserve">P0040</t>
  </si>
  <si>
    <t xml:space="preserve">https://instasure.ca/travel-insurance/</t>
  </si>
  <si>
    <t xml:space="preserve">Travel Insurance</t>
  </si>
  <si>
    <t xml:space="preserve">Travel Insurance for Canadians (2026) | Instasure.ca</t>
  </si>
  <si>
    <t xml:space="preserve">Provincial health plans cover very little outside Canada. One night in a U.S. hospital can cost thousands. Instant travel insurance estimates for every province,…</t>
  </si>
  <si>
    <t xml:space="preserve">Travel Insurance for Canadians: Emergency Medical &amp; Trip Protection</t>
  </si>
  <si>
    <t xml:space="preserve">travel insurance</t>
  </si>
  <si>
    <t xml:space="preserve">P0041</t>
  </si>
  <si>
    <t xml:space="preserve">https://instasure.ca/whole-life-insurance/</t>
  </si>
  <si>
    <t xml:space="preserve">Whole Life Insurance</t>
  </si>
  <si>
    <t xml:space="preserve">Whole Life Insurance in Canada (2026) | Instasure.ca</t>
  </si>
  <si>
    <t xml:space="preserve">Lifetime coverage with guaranteed premiums and cash value — for estate, legacy and business planning. Instant whole life insurance estimates for every province,…</t>
  </si>
  <si>
    <t xml:space="preserve">Whole Life Insurance in Canada: Costs, Cash Value &amp; When It Makes Sense</t>
  </si>
  <si>
    <t xml:space="preserve">whole life insurance</t>
  </si>
  <si>
    <t xml:space="preserve">P0042</t>
  </si>
  <si>
    <t xml:space="preserve">https://instasure.ca/atv-snowmobile-insurance/</t>
  </si>
  <si>
    <t xml:space="preserve">Service page</t>
  </si>
  <si>
    <t xml:space="preserve">ATV &amp; Snowmobile Insurance</t>
  </si>
  <si>
    <t xml:space="preserve">ATV &amp; Snowmobile Insurance in Canada | Instasure.ca</t>
  </si>
  <si>
    <t xml:space="preserve">Insurance for ATVs, side-by-sides and snowmobiles: when it is required, trail permits, liability and damage coverage, and seasonal pricing.</t>
  </si>
  <si>
    <t xml:space="preserve">snowmobile insurance</t>
  </si>
  <si>
    <t xml:space="preserve">sitemap-services.xml</t>
  </si>
  <si>
    <t xml:space="preserve">P0043</t>
  </si>
  <si>
    <t xml:space="preserve">https://instasure.ca/boat-insurance/</t>
  </si>
  <si>
    <t xml:space="preserve">Boat Insurance</t>
  </si>
  <si>
    <t xml:space="preserve">Boat Insurance in Canada: Pleasure Craft and Watercraft</t>
  </si>
  <si>
    <t xml:space="preserve">Boat and personal watercraft insurance in Canada: liability, hull and equipment coverage, what a home policy covers and marina requirements.</t>
  </si>
  <si>
    <t xml:space="preserve">boat insurance</t>
  </si>
  <si>
    <t xml:space="preserve">P0044</t>
  </si>
  <si>
    <t xml:space="preserve">https://instasure.ca/business-insurance/commercial-auto/</t>
  </si>
  <si>
    <t xml:space="preserve">Commercial Auto &amp; Fleet Insurance</t>
  </si>
  <si>
    <t xml:space="preserve">Commercial Auto Insurance: Vans, Trucks and Small Fleets</t>
  </si>
  <si>
    <t xml:space="preserve">Commercial vehicle insurance for Canadian businesses: work vans, pickups, small fleets, trucking and cargo, employee drivers and what personal policies exclude.</t>
  </si>
  <si>
    <t xml:space="preserve">commercial auto insurance</t>
  </si>
  <si>
    <t xml:space="preserve">P0045</t>
  </si>
  <si>
    <t xml:space="preserve">https://instasure.ca/business-insurance/cyber/</t>
  </si>
  <si>
    <t xml:space="preserve">Cyber Insurance</t>
  </si>
  <si>
    <t xml:space="preserve">Cyber Insurance for Canadian Small Businesses | Instasure.ca</t>
  </si>
  <si>
    <t xml:space="preserve">Cyber insurance for Canadian small businesses: data breaches, ransomware, downtime, privacy breach reporting and the security insurers expect.</t>
  </si>
  <si>
    <t xml:space="preserve">cyber insurance canada</t>
  </si>
  <si>
    <t xml:space="preserve">P0046</t>
  </si>
  <si>
    <t xml:space="preserve">https://instasure.ca/business-insurance/directors-and-officers/</t>
  </si>
  <si>
    <t xml:space="preserve">Directors &amp; Officers Insurance</t>
  </si>
  <si>
    <t xml:space="preserve">Directors &amp; Officers (D&amp;O) Insurance in Canada | Instasure.ca</t>
  </si>
  <si>
    <t xml:space="preserve">D&amp;O insurance for Canadian companies and non-profits: personal liability of directors and officers, what it covers, who needs it and typical exclusions.</t>
  </si>
  <si>
    <t xml:space="preserve">directors and officers insurance</t>
  </si>
  <si>
    <t xml:space="preserve">P0047</t>
  </si>
  <si>
    <t xml:space="preserve">https://instasure.ca/business-insurance/home-based/</t>
  </si>
  <si>
    <t xml:space="preserve">Home-Based Business Insurance</t>
  </si>
  <si>
    <t xml:space="preserve">Home-Based Business Insurance in Canada | Instasure.ca</t>
  </si>
  <si>
    <t xml:space="preserve">Insurance for businesses run from home: what your home policy excludes, home business endorsements vs commercial policies, clients and equipment.</t>
  </si>
  <si>
    <t xml:space="preserve">home based business insurance</t>
  </si>
  <si>
    <t xml:space="preserve">P0048</t>
  </si>
  <si>
    <t xml:space="preserve">https://instasure.ca/business-insurance/key-person/</t>
  </si>
  <si>
    <t xml:space="preserve">Key Person &amp; Buy-Sell Insurance</t>
  </si>
  <si>
    <t xml:space="preserve">Key Person &amp; Buy-Sell Insurance for Canadian Businesses</t>
  </si>
  <si>
    <t xml:space="preserve">Key person and buy-sell insurance for Canadian businesses: protect the company if an owner or key employee dies or falls ill, and fund shareholder agreements.</t>
  </si>
  <si>
    <t xml:space="preserve">key person insurance</t>
  </si>
  <si>
    <t xml:space="preserve">P0049</t>
  </si>
  <si>
    <t xml:space="preserve">https://instasure.ca/business-insurance/restaurants/</t>
  </si>
  <si>
    <t xml:space="preserve">Restaurant &amp; Food Service Insurance</t>
  </si>
  <si>
    <t xml:space="preserve">Restaurant &amp; Food Service Insurance in Canada | Instasure.ca</t>
  </si>
  <si>
    <t xml:space="preserve">Insurance for restaurants, cafés, bars and food trucks: general liability, liquor liability, property, equipment breakdown, spoilage and business interruption.</t>
  </si>
  <si>
    <t xml:space="preserve">restaurant insurance</t>
  </si>
  <si>
    <t xml:space="preserve">P0050</t>
  </si>
  <si>
    <t xml:space="preserve">https://instasure.ca/car-insurance/accident-benefits-review/</t>
  </si>
  <si>
    <t xml:space="preserve">Ontario Accident Benefits Review</t>
  </si>
  <si>
    <t xml:space="preserve">Ontario Accident Benefits Review: What to Keep After July 2026</t>
  </si>
  <si>
    <t xml:space="preserve">A free review of Ontario’s optional accident benefits (income replacement, caregiver, death and funeral and more): what to keep at renewal and what it costs.</t>
  </si>
  <si>
    <t xml:space="preserve">should i buy optional accident benefits</t>
  </si>
  <si>
    <t xml:space="preserve">P0051</t>
  </si>
  <si>
    <t xml:space="preserve">https://instasure.ca/car-insurance/classic-cars/</t>
  </si>
  <si>
    <t xml:space="preserve">Classic &amp; Collector Car Insurance</t>
  </si>
  <si>
    <t xml:space="preserve">Classic &amp; Collector Car Insurance in Canada | Instasure.ca</t>
  </si>
  <si>
    <t xml:space="preserve">Insurance for classic, antique and collector cars: agreed-value coverage, limited-use rules, storage requirements and who qualifies.</t>
  </si>
  <si>
    <t xml:space="preserve">classic car insurance</t>
  </si>
  <si>
    <t xml:space="preserve">P0052</t>
  </si>
  <si>
    <t xml:space="preserve">https://instasure.ca/car-insurance/electric-and-hybrid/</t>
  </si>
  <si>
    <t xml:space="preserve">Electric &amp; Hybrid Car Insurance</t>
  </si>
  <si>
    <t xml:space="preserve">Electric &amp; Hybrid Car Insurance in Canada | Instasure.ca</t>
  </si>
  <si>
    <t xml:space="preserve">How insurers price electric and hybrid cars in Canada: repair and battery costs, EV discounts, charging equipment and what to ask before you buy.</t>
  </si>
  <si>
    <t xml:space="preserve">electric car insurance</t>
  </si>
  <si>
    <t xml:space="preserve">P0053</t>
  </si>
  <si>
    <t xml:space="preserve">https://instasure.ca/car-insurance/high-risk-drivers/</t>
  </si>
  <si>
    <t xml:space="preserve">High-Risk Car Insurance</t>
  </si>
  <si>
    <t xml:space="preserve">High-Risk Car Insurance: After Tickets, Claims or a Lapse</t>
  </si>
  <si>
    <t xml:space="preserve">Car insurance after at-fault claims, convictions, a lapse or a cancellation: who still insures you, what it costs and how to get back to standard rates.</t>
  </si>
  <si>
    <t xml:space="preserve">high risk car insurance</t>
  </si>
  <si>
    <t xml:space="preserve">P0054</t>
  </si>
  <si>
    <t xml:space="preserve">https://instasure.ca/car-insurance/home-and-auto-bundle/</t>
  </si>
  <si>
    <t xml:space="preserve">Home &amp; Auto Insurance Bundle</t>
  </si>
  <si>
    <t xml:space="preserve">Home &amp; Auto Insurance Bundle: Is Bundling Cheaper? | Instasure.ca</t>
  </si>
  <si>
    <t xml:space="preserve">How home and auto bundles work in Canada, what multi-line discounts are worth, when separate insurers are cheaper, and how to compare both ways.</t>
  </si>
  <si>
    <t xml:space="preserve">home and auto insurance bundle</t>
  </si>
  <si>
    <t xml:space="preserve">P0055</t>
  </si>
  <si>
    <t xml:space="preserve">https://instasure.ca/car-insurance/new-drivers/</t>
  </si>
  <si>
    <t xml:space="preserve">Car Insurance for New Drivers</t>
  </si>
  <si>
    <t xml:space="preserve">Car Insurance for New Drivers: G1, G2, Class 7 and L/N</t>
  </si>
  <si>
    <t xml:space="preserve">How new drivers get insured in Canada: graduated licences (G1/G2, Class 7, L/N), adding a teen to a family policy, training discounts and costs.</t>
  </si>
  <si>
    <t xml:space="preserve">car insurance for new drivers</t>
  </si>
  <si>
    <t xml:space="preserve">P0056</t>
  </si>
  <si>
    <t xml:space="preserve">https://instasure.ca/car-insurance/newcomers/</t>
  </si>
  <si>
    <t xml:space="preserve">Car Insurance for Newcomers to Canada</t>
  </si>
  <si>
    <t xml:space="preserve">Car Insurance for Newcomers to Canada: Credit for Experience</t>
  </si>
  <si>
    <t xml:space="preserve">How newcomers, permanent residents and work-permit holders get car insurance in Canada, and how to get credit for driving experience abroad.</t>
  </si>
  <si>
    <t xml:space="preserve">car insurance for newcomers to canada</t>
  </si>
  <si>
    <t xml:space="preserve">P0057</t>
  </si>
  <si>
    <t xml:space="preserve">https://instasure.ca/car-insurance/rideshare-and-delivery/</t>
  </si>
  <si>
    <t xml:space="preserve">Rideshare &amp; Delivery Driver Insurance</t>
  </si>
  <si>
    <t xml:space="preserve">Rideshare &amp; Delivery Insurance: Uber, Lyft, DoorDash</t>
  </si>
  <si>
    <t xml:space="preserve">Insurance for Uber, Lyft and delivery drivers in Canada: what the app covers, what your personal policy excludes, endorsements and income protection.</t>
  </si>
  <si>
    <t xml:space="preserve">uber insurance canada</t>
  </si>
  <si>
    <t xml:space="preserve">P0058</t>
  </si>
  <si>
    <t xml:space="preserve">https://instasure.ca/car-insurance/senior-drivers/</t>
  </si>
  <si>
    <t xml:space="preserve">Car Insurance for Senior Drivers</t>
  </si>
  <si>
    <t xml:space="preserve">Car Insurance for Senior Drivers in Canada | Instasure.ca</t>
  </si>
  <si>
    <t xml:space="preserve">Car insurance for drivers 65 and older: retiree and low-mileage discounts, licence renewal rules, and how to keep premiums steady.</t>
  </si>
  <si>
    <t xml:space="preserve">senior car insurance</t>
  </si>
  <si>
    <t xml:space="preserve">P0059</t>
  </si>
  <si>
    <t xml:space="preserve">https://instasure.ca/contractor-insurance/cleaning/</t>
  </si>
  <si>
    <t xml:space="preserve">Insurance for Cleaning Businesses</t>
  </si>
  <si>
    <t xml:space="preserve">Cleaning Business Insurance in Canada: Liability and Tools</t>
  </si>
  <si>
    <t xml:space="preserve">Insurance for cleaning businesses in Canada: general liability, completed operations, tools and equipment, work vehicles and certificates of insurance.</t>
  </si>
  <si>
    <t xml:space="preserve">cleaning business insurance</t>
  </si>
  <si>
    <t xml:space="preserve">P0060</t>
  </si>
  <si>
    <t xml:space="preserve">https://instasure.ca/contractor-insurance/electrician/</t>
  </si>
  <si>
    <t xml:space="preserve">Insurance for Electricians</t>
  </si>
  <si>
    <t xml:space="preserve">Electrician Insurance in Canada: Liability and Tools</t>
  </si>
  <si>
    <t xml:space="preserve">Insurance for electricians in Canada: general liability, completed operations, tools and equipment, work vehicles and certificates of insurance.</t>
  </si>
  <si>
    <t xml:space="preserve">electrician insurance</t>
  </si>
  <si>
    <t xml:space="preserve">P0061</t>
  </si>
  <si>
    <t xml:space="preserve">https://instasure.ca/contractor-insurance/hvac/</t>
  </si>
  <si>
    <t xml:space="preserve">Insurance for HVAC Contractors</t>
  </si>
  <si>
    <t xml:space="preserve">HVAC Contractor Insurance in Canada: Liability and Tools</t>
  </si>
  <si>
    <t xml:space="preserve">Insurance for hvac contractors in Canada: general liability, completed operations, tools and equipment, work vehicles and certificates of insurance.</t>
  </si>
  <si>
    <t xml:space="preserve">hvac insurance</t>
  </si>
  <si>
    <t xml:space="preserve">P0062</t>
  </si>
  <si>
    <t xml:space="preserve">https://instasure.ca/contractor-insurance/landscaping/</t>
  </si>
  <si>
    <t xml:space="preserve">Insurance for Landscapers</t>
  </si>
  <si>
    <t xml:space="preserve">Landscaper Insurance in Canada: Liability and Tools</t>
  </si>
  <si>
    <t xml:space="preserve">Insurance for landscapers in Canada: general liability, completed operations, tools and equipment, work vehicles and certificates of insurance.</t>
  </si>
  <si>
    <t xml:space="preserve">landscaping insurance</t>
  </si>
  <si>
    <t xml:space="preserve">P0063</t>
  </si>
  <si>
    <t xml:space="preserve">https://instasure.ca/contractor-insurance/plumber/</t>
  </si>
  <si>
    <t xml:space="preserve">Insurance for Plumbers</t>
  </si>
  <si>
    <t xml:space="preserve">Plumber Insurance in Canada: Liability and Tools | Instasure.ca</t>
  </si>
  <si>
    <t xml:space="preserve">Insurance for plumbers in Canada: general liability, completed operations, tools and equipment, work vehicles and certificates of insurance.</t>
  </si>
  <si>
    <t xml:space="preserve">plumber insurance</t>
  </si>
  <si>
    <t xml:space="preserve">P0064</t>
  </si>
  <si>
    <t xml:space="preserve">https://instasure.ca/contractor-insurance/roofing/</t>
  </si>
  <si>
    <t xml:space="preserve">Insurance for Roofers</t>
  </si>
  <si>
    <t xml:space="preserve">Roofer Insurance in Canada: Liability and Tools | Instasure.ca</t>
  </si>
  <si>
    <t xml:space="preserve">Insurance for roofers in Canada: general liability, completed operations, tools and equipment, work vehicles and certificates of insurance.</t>
  </si>
  <si>
    <t xml:space="preserve">roofing insurance</t>
  </si>
  <si>
    <t xml:space="preserve">P0065</t>
  </si>
  <si>
    <t xml:space="preserve">https://instasure.ca/disability-insurance/self-employed/</t>
  </si>
  <si>
    <t xml:space="preserve">Disability Insurance for the Self-Employed</t>
  </si>
  <si>
    <t xml:space="preserve">Disability Insurance for the Self-Employed and Gig Workers</t>
  </si>
  <si>
    <t xml:space="preserve">Disability insurance for self-employed Canadians, contractors and gig workers: proving income, own-occupation definitions, waiting periods and overhead cover.</t>
  </si>
  <si>
    <t xml:space="preserve">disability insurance for self employed</t>
  </si>
  <si>
    <t xml:space="preserve">P0066</t>
  </si>
  <si>
    <t xml:space="preserve">https://instasure.ca/home-insurance/cottage-and-seasonal/</t>
  </si>
  <si>
    <t xml:space="preserve">Cottage &amp; Seasonal Home Insurance</t>
  </si>
  <si>
    <t xml:space="preserve">Cottage &amp; Seasonal Home Insurance in Canada | Instasure.ca</t>
  </si>
  <si>
    <t xml:space="preserve">Insurance for cottages, cabins and seasonal homes: vacancy rules, wood stoves, water access, distance from fire services, rentals, boats and docks.</t>
  </si>
  <si>
    <t xml:space="preserve">cottage insurance</t>
  </si>
  <si>
    <t xml:space="preserve">P0067</t>
  </si>
  <si>
    <t xml:space="preserve">https://instasure.ca/home-insurance/hard-to-insure/</t>
  </si>
  <si>
    <t xml:space="preserve">Hard-to-Insure Home Insurance</t>
  </si>
  <si>
    <t xml:space="preserve">Hard-to-Insure Homes: Declined, Non-Renewed or High Risk</t>
  </si>
  <si>
    <t xml:space="preserve">Home insurance after a decline or non-renewal: flood and wildfire zones, knob-and-tube wiring, oil tanks, past claims, vacant homes and renovations.</t>
  </si>
  <si>
    <t xml:space="preserve">cant get home insurance</t>
  </si>
  <si>
    <t xml:space="preserve">P0068</t>
  </si>
  <si>
    <t xml:space="preserve">https://instasure.ca/home-insurance/mobile-and-manufactured/</t>
  </si>
  <si>
    <t xml:space="preserve">Mobile &amp; Manufactured Home Insurance</t>
  </si>
  <si>
    <t xml:space="preserve">Mobile &amp; Manufactured Home Insurance in Canada | Instasure.ca</t>
  </si>
  <si>
    <t xml:space="preserve">Insurance for mobile, manufactured and modular homes: CSA certification, tie-downs, age limits, land-lease parks and what affects the price.</t>
  </si>
  <si>
    <t xml:space="preserve">mobile home insurance</t>
  </si>
  <si>
    <t xml:space="preserve">P0069</t>
  </si>
  <si>
    <t xml:space="preserve">https://instasure.ca/home-insurance/short-term-rental/</t>
  </si>
  <si>
    <t xml:space="preserve">Short-Term Rental (Airbnb) Insurance</t>
  </si>
  <si>
    <t xml:space="preserve">Short-Term Rental Insurance: Airbnb and VRBO Hosts in Canada</t>
  </si>
  <si>
    <t xml:space="preserve">Insurance for Airbnb and VRBO hosts in Canada: home-sharing endorsements, commercial short-term rental policies, platform protection limits and condo rules.</t>
  </si>
  <si>
    <t xml:space="preserve">airbnb insurance canada</t>
  </si>
  <si>
    <t xml:space="preserve">P0070</t>
  </si>
  <si>
    <t xml:space="preserve">https://instasure.ca/landlord-insurance/</t>
  </si>
  <si>
    <t xml:space="preserve">Landlord &amp; Rental Property Insurance</t>
  </si>
  <si>
    <t xml:space="preserve">Landlord Insurance in Canada: Rental Houses, Condos and Units</t>
  </si>
  <si>
    <t xml:space="preserve">Insurance for rental properties in Canada: rental dwelling policies, lost rental income, landlord liability, condo rentals and what tenant insurance excludes.</t>
  </si>
  <si>
    <t xml:space="preserve">landlord insurance</t>
  </si>
  <si>
    <t xml:space="preserve">P0071</t>
  </si>
  <si>
    <t xml:space="preserve">https://instasure.ca/life-insurance/children/</t>
  </si>
  <si>
    <t xml:space="preserve">Children’s Life Insurance</t>
  </si>
  <si>
    <t xml:space="preserve">Children’s Life Insurance in Canada: Pros and Cons | Instasure.ca</t>
  </si>
  <si>
    <t xml:space="preserve">Life insurance for children in Canada: guaranteed future insurability, low permanent premiums, child riders and when it makes sense.</t>
  </si>
  <si>
    <t xml:space="preserve">children's life insurance</t>
  </si>
  <si>
    <t xml:space="preserve">P0072</t>
  </si>
  <si>
    <t xml:space="preserve">https://instasure.ca/life-insurance/final-expense/</t>
  </si>
  <si>
    <t xml:space="preserve">Final Expense &amp; Funeral Insurance</t>
  </si>
  <si>
    <t xml:space="preserve">Final Expense &amp; Funeral Insurance in Canada | Instasure.ca</t>
  </si>
  <si>
    <t xml:space="preserve">Final expense and funeral insurance for Canadians: small permanent policies, simplified and guaranteed issue, waiting periods and how much you need.</t>
  </si>
  <si>
    <t xml:space="preserve">final expense insurance canada</t>
  </si>
  <si>
    <t xml:space="preserve">P0073</t>
  </si>
  <si>
    <t xml:space="preserve">https://instasure.ca/life-insurance/joint/</t>
  </si>
  <si>
    <t xml:space="preserve">Joint Life Insurance</t>
  </si>
  <si>
    <t xml:space="preserve">Joint Life Insurance: First-to-Die vs Last-to-Die | Instasure.ca</t>
  </si>
  <si>
    <t xml:space="preserve">Joint life insurance in Canada: first-to-die and last-to-die policies, when a joint policy suits couples and estates, and when two policies are better.</t>
  </si>
  <si>
    <t xml:space="preserve">joint life insurance</t>
  </si>
  <si>
    <t xml:space="preserve">P0074</t>
  </si>
  <si>
    <t xml:space="preserve">https://instasure.ca/life-insurance/medical-conditions/</t>
  </si>
  <si>
    <t xml:space="preserve">Life Insurance with Medical Conditions</t>
  </si>
  <si>
    <t xml:space="preserve">Life Insurance with Medical Conditions: Diabetes, Heart</t>
  </si>
  <si>
    <t xml:space="preserve">Life insurance with diabetes, heart disease, high blood pressure, cancer history or mental health conditions: rated policies, exclusions and no-medical options.</t>
  </si>
  <si>
    <t xml:space="preserve">life insurance for smokers</t>
  </si>
  <si>
    <t xml:space="preserve">P0075</t>
  </si>
  <si>
    <t xml:space="preserve">https://instasure.ca/life-insurance/newcomers/</t>
  </si>
  <si>
    <t xml:space="preserve">Life Insurance for Newcomers</t>
  </si>
  <si>
    <t xml:space="preserve">Life Insurance for Newcomers: PR, Work Permits and Students</t>
  </si>
  <si>
    <t xml:space="preserve">Life insurance for newcomers to Canada: eligibility for permanent residents, work-permit holders and students, coverage limits and advice in your language.</t>
  </si>
  <si>
    <t xml:space="preserve">life insurance for newcomers to canada</t>
  </si>
  <si>
    <t xml:space="preserve">P0076</t>
  </si>
  <si>
    <t xml:space="preserve">https://instasure.ca/life-insurance/seniors/</t>
  </si>
  <si>
    <t xml:space="preserve">Life Insurance for Seniors</t>
  </si>
  <si>
    <t xml:space="preserve">Life Insurance for Seniors: Term, Permanent and No-Medical</t>
  </si>
  <si>
    <t xml:space="preserve">Life insurance for Canadians over 60: term to age 80 or 85, permanent coverage, no-medical options, estate taxes and what it costs.</t>
  </si>
  <si>
    <t xml:space="preserve">life insurance for seniors</t>
  </si>
  <si>
    <t xml:space="preserve">P0077</t>
  </si>
  <si>
    <t xml:space="preserve">https://instasure.ca/life-insurance/universal-life/</t>
  </si>
  <si>
    <t xml:space="preserve">Universal Life Insurance</t>
  </si>
  <si>
    <t xml:space="preserve">Universal Life Insurance in Canada: How It Works | Instasure.ca</t>
  </si>
  <si>
    <t xml:space="preserve">Universal life insurance in Canada: permanent coverage with a tax-advantaged investment account, cost-of-insurance options and how it compares with whole life.</t>
  </si>
  <si>
    <t xml:space="preserve">universal life insurance</t>
  </si>
  <si>
    <t xml:space="preserve">P0078</t>
  </si>
  <si>
    <t xml:space="preserve">https://instasure.ca/long-term-care-insurance/</t>
  </si>
  <si>
    <t xml:space="preserve">Long-Term Care Insurance</t>
  </si>
  <si>
    <t xml:space="preserve">Long-Term Care Insurance in Canada | Instasure.ca</t>
  </si>
  <si>
    <t xml:space="preserve">Long-term care insurance in Canada: what triggers benefits, home care vs facility care, how it differs from critical illness and disability, and alternatives.</t>
  </si>
  <si>
    <t xml:space="preserve">long term care insurance canada</t>
  </si>
  <si>
    <t xml:space="preserve">P0079</t>
  </si>
  <si>
    <t xml:space="preserve">https://instasure.ca/motorcycle-insurance/</t>
  </si>
  <si>
    <t xml:space="preserve">Motorcycle Insurance</t>
  </si>
  <si>
    <t xml:space="preserve">Motorcycle Insurance in Canada: M1, M2 and Seasonal Coverage</t>
  </si>
  <si>
    <t xml:space="preserve">Motorcycle insurance in Canada: mandatory coverage, graduated motorcycle licences, seasonal riding, gear coverage and what drives the price.</t>
  </si>
  <si>
    <t xml:space="preserve">motorcycle insurance</t>
  </si>
  <si>
    <t xml:space="preserve">P0080</t>
  </si>
  <si>
    <t xml:space="preserve">https://instasure.ca/pet-insurance/</t>
  </si>
  <si>
    <t xml:space="preserve">Pet Insurance</t>
  </si>
  <si>
    <t xml:space="preserve">Pet Insurance in Canada: Accident, Illness and Wellness Plans</t>
  </si>
  <si>
    <t xml:space="preserve">Pet insurance for dogs and cats in Canada: accident-only, accident and illness, and wellness plans, waiting periods, pre-existing conditions and claims.</t>
  </si>
  <si>
    <t xml:space="preserve">pet insurance</t>
  </si>
  <si>
    <t xml:space="preserve">P0081</t>
  </si>
  <si>
    <t xml:space="preserve">https://instasure.ca/rv-insurance/</t>
  </si>
  <si>
    <t xml:space="preserve">RV &amp; Trailer Insurance</t>
  </si>
  <si>
    <t xml:space="preserve">RV &amp; Trailer Insurance in Canada: Motorhomes and Campers</t>
  </si>
  <si>
    <t xml:space="preserve">Insurance for motorhomes, travel trailers, fifth wheels and campers: what the tow vehicle covers, contents and seasonal-site coverage.</t>
  </si>
  <si>
    <t xml:space="preserve">rv insurance</t>
  </si>
  <si>
    <t xml:space="preserve">P0082</t>
  </si>
  <si>
    <t xml:space="preserve">https://instasure.ca/tenant-insurance/students/</t>
  </si>
  <si>
    <t xml:space="preserve">Tenant Insurance for Students</t>
  </si>
  <si>
    <t xml:space="preserve">Tenant Insurance for Students: Residence and Shared Houses</t>
  </si>
  <si>
    <t xml:space="preserve">Insurance for students renting in residence, shared houses or apartments: what a parent's policy covers, roommates, laptops, bikes and landlord rules.</t>
  </si>
  <si>
    <t xml:space="preserve">tenant insurance for students</t>
  </si>
  <si>
    <t xml:space="preserve">P0083</t>
  </si>
  <si>
    <t xml:space="preserve">https://instasure.ca/travel-insurance/international-students/</t>
  </si>
  <si>
    <t xml:space="preserve">International Student Health Insurance</t>
  </si>
  <si>
    <t xml:space="preserve">Health Insurance for International Students in Canada</t>
  </si>
  <si>
    <t xml:space="preserve">Health insurance for international students in Canada: provincial coverage rules, school plans such as UHIP, gaps before coverage starts and renters insurance.</t>
  </si>
  <si>
    <t xml:space="preserve">international student health insurance canada</t>
  </si>
  <si>
    <t xml:space="preserve">P0084</t>
  </si>
  <si>
    <t xml:space="preserve">https://instasure.ca/travel-insurance/snowbirds/</t>
  </si>
  <si>
    <t xml:space="preserve">Snowbird Travel Insurance</t>
  </si>
  <si>
    <t xml:space="preserve">Snowbird Travel Insurance: Long Stays and Stability Periods</t>
  </si>
  <si>
    <t xml:space="preserve">Travel medical insurance for Canadian snowbirds: long-stay coverage, medical questionnaires, stability periods, provincial time-away rules and top-ups.</t>
  </si>
  <si>
    <t xml:space="preserve">snowbird travel insurance</t>
  </si>
  <si>
    <t xml:space="preserve">P0085</t>
  </si>
  <si>
    <t xml:space="preserve">https://instasure.ca/travel-insurance/visitors-to-canada/</t>
  </si>
  <si>
    <t xml:space="preserve">Visitors to Canada Insurance</t>
  </si>
  <si>
    <t xml:space="preserve">Visitors to Canada Insurance: Emergency Medical for Guests</t>
  </si>
  <si>
    <t xml:space="preserve">Emergency medical insurance for visitors to Canada: who needs it, how it differs from Super Visa insurance, pre-existing conditions and deductibles.</t>
  </si>
  <si>
    <t xml:space="preserve">visitors insurance canada</t>
  </si>
  <si>
    <t xml:space="preserve">P0086</t>
  </si>
  <si>
    <t xml:space="preserve">https://instasure.ca/umbrella-insurance/</t>
  </si>
  <si>
    <t xml:space="preserve">Umbrella Liability Insurance</t>
  </si>
  <si>
    <t xml:space="preserve">Umbrella Liability Insurance in Canada | Instasure.ca</t>
  </si>
  <si>
    <t xml:space="preserve">Personal umbrella insurance in Canada: extra liability above your home, auto and boat policies, who needs it, required underlying limits and amounts.</t>
  </si>
  <si>
    <t xml:space="preserve">umbrella insurance</t>
  </si>
  <si>
    <t xml:space="preserve">P0087</t>
  </si>
  <si>
    <t xml:space="preserve">https://instasure.ca/business-insurance/alberta/</t>
  </si>
  <si>
    <t xml:space="preserve">Product × province</t>
  </si>
  <si>
    <t xml:space="preserve">Alberta</t>
  </si>
  <si>
    <t xml:space="preserve">Business Insurance in Alberta: Costs, Rules &amp; Quotes (2026)</t>
  </si>
  <si>
    <t xml:space="preserve">Business Insurance in Alberta: how it works under the Superintendent of Insurance, what drives price, instant estimates and advisors licensed in Alberta.</t>
  </si>
  <si>
    <t xml:space="preserve">Business Insurance in Alberta</t>
  </si>
  <si>
    <t xml:space="preserve">business insurance alberta</t>
  </si>
  <si>
    <t xml:space="preserve">Provincial</t>
  </si>
  <si>
    <t xml:space="preserve">sitemap-provinces.xml</t>
  </si>
  <si>
    <t xml:space="preserve">P0088</t>
  </si>
  <si>
    <t xml:space="preserve">https://instasure.ca/business-insurance/british-columbia/</t>
  </si>
  <si>
    <t xml:space="preserve">British Columbia</t>
  </si>
  <si>
    <t xml:space="preserve">Business Insurance in British Columbia: Costs, Rules &amp; Quotes (2026)</t>
  </si>
  <si>
    <t xml:space="preserve">Business Insurance in British Columbia: how it works under BCFSA, what drives price, instant estimates and advisors licensed in British Columbia.</t>
  </si>
  <si>
    <t xml:space="preserve">Business Insurance in British Columbia</t>
  </si>
  <si>
    <t xml:space="preserve">business insurance bc</t>
  </si>
  <si>
    <t xml:space="preserve">P0089</t>
  </si>
  <si>
    <t xml:space="preserve">https://instasure.ca/business-insurance/manitoba/</t>
  </si>
  <si>
    <t xml:space="preserve">Manitoba</t>
  </si>
  <si>
    <t xml:space="preserve">Business Insurance in Manitoba: Costs, Rules &amp; Quotes (2026)</t>
  </si>
  <si>
    <t xml:space="preserve">Business Insurance in Manitoba: how it works under FIRB, what drives price, instant estimates and advisors licensed in Manitoba.</t>
  </si>
  <si>
    <t xml:space="preserve">Business Insurance in Manitoba</t>
  </si>
  <si>
    <t xml:space="preserve">business insurance manitoba</t>
  </si>
  <si>
    <t xml:space="preserve">P0090</t>
  </si>
  <si>
    <t xml:space="preserve">https://instasure.ca/business-insurance/new-brunswick/</t>
  </si>
  <si>
    <t xml:space="preserve">New Brunswick</t>
  </si>
  <si>
    <t xml:space="preserve">Business Insurance in New Brunswick: Costs, Rules &amp; Quotes (2026)</t>
  </si>
  <si>
    <t xml:space="preserve">Business Insurance in New Brunswick: how it works under FCNB, what drives price, instant estimates and advisors licensed in New Brunswick.</t>
  </si>
  <si>
    <t xml:space="preserve">Business Insurance in New Brunswick</t>
  </si>
  <si>
    <t xml:space="preserve">business insurance new brunswick</t>
  </si>
  <si>
    <t xml:space="preserve">P0091</t>
  </si>
  <si>
    <t xml:space="preserve">https://instasure.ca/business-insurance/newfoundland-and-labrador/</t>
  </si>
  <si>
    <t xml:space="preserve">Newfoundland and Labrador</t>
  </si>
  <si>
    <t xml:space="preserve">Business Insurance in Newfoundland and Labrador: Costs, Rules &amp; Quotes (2026)</t>
  </si>
  <si>
    <t xml:space="preserve">Business Insurance in Newfoundland and Labrador: how it works under Service NL, what drives price, instant estimates and advisors licensed in Newfoundland and…</t>
  </si>
  <si>
    <t xml:space="preserve">Business Insurance in Newfoundland and Labrador</t>
  </si>
  <si>
    <t xml:space="preserve">business insurance newfoundland</t>
  </si>
  <si>
    <t xml:space="preserve">P0092</t>
  </si>
  <si>
    <t xml:space="preserve">https://instasure.ca/business-insurance/northwest-territories/</t>
  </si>
  <si>
    <t xml:space="preserve">Northwest Territories</t>
  </si>
  <si>
    <t xml:space="preserve">Business Insurance in Northwest Territories: Costs, Rules &amp; Quotes (2026)</t>
  </si>
  <si>
    <t xml:space="preserve">Business Insurance in Northwest Territories: how it works under the NWT Superintendent, what drives price, instant estimates and a waitlist for licensed advice in…</t>
  </si>
  <si>
    <t xml:space="preserve">Business Insurance in Northwest Territories</t>
  </si>
  <si>
    <t xml:space="preserve">business insurance northwest territories</t>
  </si>
  <si>
    <t xml:space="preserve">P0093</t>
  </si>
  <si>
    <t xml:space="preserve">https://instasure.ca/business-insurance/nova-scotia/</t>
  </si>
  <si>
    <t xml:space="preserve">Nova Scotia</t>
  </si>
  <si>
    <t xml:space="preserve">Business Insurance in Nova Scotia: Costs, Rules &amp; Quotes (2026)</t>
  </si>
  <si>
    <t xml:space="preserve">Business Insurance in Nova Scotia: how it works under the NS Superintendent of Insurance, what drives price, instant estimates and advisors licensed in Nova Scotia.</t>
  </si>
  <si>
    <t xml:space="preserve">Business Insurance in Nova Scotia</t>
  </si>
  <si>
    <t xml:space="preserve">business insurance nova scotia</t>
  </si>
  <si>
    <t xml:space="preserve">P0094</t>
  </si>
  <si>
    <t xml:space="preserve">https://instasure.ca/business-insurance/nunavut/</t>
  </si>
  <si>
    <t xml:space="preserve">Nunavut</t>
  </si>
  <si>
    <t xml:space="preserve">Business Insurance in Nunavut: Costs, Rules &amp; Quotes (2026)</t>
  </si>
  <si>
    <t xml:space="preserve">Business Insurance in Nunavut: how it works under the Nunavut Superintendent, what drives price, instant estimates and a waitlist for licensed advice in Nunavut.</t>
  </si>
  <si>
    <t xml:space="preserve">Business Insurance in Nunavut</t>
  </si>
  <si>
    <t xml:space="preserve">business insurance nunavut</t>
  </si>
  <si>
    <t xml:space="preserve">P0095</t>
  </si>
  <si>
    <t xml:space="preserve">https://instasure.ca/business-insurance/ontario/</t>
  </si>
  <si>
    <t xml:space="preserve">Ontario</t>
  </si>
  <si>
    <t xml:space="preserve">Business Insurance in Ontario: Costs, Rules &amp; Quotes (2026)</t>
  </si>
  <si>
    <t xml:space="preserve">Business Insurance in Ontario: how it works under FSRA, what drives price, instant estimates and advisors licensed in Ontario.</t>
  </si>
  <si>
    <t xml:space="preserve">Business Insurance in Ontario</t>
  </si>
  <si>
    <t xml:space="preserve">business insurance ontario</t>
  </si>
  <si>
    <t xml:space="preserve">P0096</t>
  </si>
  <si>
    <t xml:space="preserve">https://instasure.ca/business-insurance/prince-edward-island/</t>
  </si>
  <si>
    <t xml:space="preserve">Prince Edward Island</t>
  </si>
  <si>
    <t xml:space="preserve">Business Insurance in Prince Edward Island: Costs, Rules &amp; Quotes (2026)</t>
  </si>
  <si>
    <t xml:space="preserve">Business Insurance in Prince Edward Island: how it works under the PEI Superintendent, what drives price, instant estimates and advisors licensed in Prince Edward…</t>
  </si>
  <si>
    <t xml:space="preserve">Business Insurance in Prince Edward Island</t>
  </si>
  <si>
    <t xml:space="preserve">business insurance prince edward island</t>
  </si>
  <si>
    <t xml:space="preserve">P0097</t>
  </si>
  <si>
    <t xml:space="preserve">https://instasure.ca/business-insurance/quebec/</t>
  </si>
  <si>
    <t xml:space="preserve">Quebec</t>
  </si>
  <si>
    <t xml:space="preserve">Business Insurance in Quebec: Costs, Rules &amp; Quotes (2026)</t>
  </si>
  <si>
    <t xml:space="preserve">Business Insurance in Quebec: how it works under AMF, what drives price, instant estimates and a waitlist for licensed advice in Quebec.</t>
  </si>
  <si>
    <t xml:space="preserve">Business Insurance in Quebec</t>
  </si>
  <si>
    <t xml:space="preserve">business insurance quebec</t>
  </si>
  <si>
    <t xml:space="preserve">P0098</t>
  </si>
  <si>
    <t xml:space="preserve">https://instasure.ca/business-insurance/saskatchewan/</t>
  </si>
  <si>
    <t xml:space="preserve">Saskatchewan</t>
  </si>
  <si>
    <t xml:space="preserve">Business Insurance in Saskatchewan: Costs, Rules &amp; Quotes (2026)</t>
  </si>
  <si>
    <t xml:space="preserve">Business Insurance in Saskatchewan: how it works under FCAA, what drives price, instant estimates and advisors licensed in Saskatchewan.</t>
  </si>
  <si>
    <t xml:space="preserve">Business Insurance in Saskatchewan</t>
  </si>
  <si>
    <t xml:space="preserve">business insurance saskatchewan</t>
  </si>
  <si>
    <t xml:space="preserve">P0099</t>
  </si>
  <si>
    <t xml:space="preserve">https://instasure.ca/business-insurance/yukon/</t>
  </si>
  <si>
    <t xml:space="preserve">Yukon</t>
  </si>
  <si>
    <t xml:space="preserve">Business Insurance in Yukon: Costs, Rules &amp; Quotes (2026)</t>
  </si>
  <si>
    <t xml:space="preserve">Business Insurance in Yukon: how it works under the Yukon Superintendent, what drives price, instant estimates and a waitlist for licensed advice in Yukon.</t>
  </si>
  <si>
    <t xml:space="preserve">Business Insurance in Yukon</t>
  </si>
  <si>
    <t xml:space="preserve">business insurance yukon</t>
  </si>
  <si>
    <t xml:space="preserve">P0100</t>
  </si>
  <si>
    <t xml:space="preserve">https://instasure.ca/car-insurance/alberta/</t>
  </si>
  <si>
    <t xml:space="preserve">Car Insurance in Alberta: Costs, Rules &amp; Quotes (2026)</t>
  </si>
  <si>
    <t xml:space="preserve">Car Insurance in Alberta: how it works under the Superintendent of Insurance, what drives price, instant estimates and advisors licensed in Alberta.</t>
  </si>
  <si>
    <t xml:space="preserve">Car Insurance in Alberta</t>
  </si>
  <si>
    <t xml:space="preserve">car insurance alberta</t>
  </si>
  <si>
    <t xml:space="preserve">P0101</t>
  </si>
  <si>
    <t xml:space="preserve">https://instasure.ca/car-insurance/british-columbia/</t>
  </si>
  <si>
    <t xml:space="preserve">Car Insurance in British Columbia: Costs, Rules &amp; Quotes (2026)</t>
  </si>
  <si>
    <t xml:space="preserve">Car Insurance in British Columbia: how it works under BCFSA, what drives price, instant estimates and advisors licensed in British Columbia.</t>
  </si>
  <si>
    <t xml:space="preserve">Car Insurance in British Columbia</t>
  </si>
  <si>
    <t xml:space="preserve">car insurance bc</t>
  </si>
  <si>
    <t xml:space="preserve">P0102</t>
  </si>
  <si>
    <t xml:space="preserve">https://instasure.ca/car-insurance/manitoba/</t>
  </si>
  <si>
    <t xml:space="preserve">Car Insurance in Manitoba: Costs, Rules &amp; Quotes (2026)</t>
  </si>
  <si>
    <t xml:space="preserve">Car Insurance in Manitoba: how it works under FIRB, what drives price, instant estimates and advisors licensed in Manitoba.</t>
  </si>
  <si>
    <t xml:space="preserve">Car Insurance in Manitoba</t>
  </si>
  <si>
    <t xml:space="preserve">car insurance manitoba</t>
  </si>
  <si>
    <t xml:space="preserve">P0103</t>
  </si>
  <si>
    <t xml:space="preserve">https://instasure.ca/car-insurance/new-brunswick/</t>
  </si>
  <si>
    <t xml:space="preserve">Car Insurance in New Brunswick: Costs, Rules &amp; Quotes (2026)</t>
  </si>
  <si>
    <t xml:space="preserve">Car Insurance in New Brunswick: how it works under FCNB, what drives price, instant estimates and advisors licensed in New Brunswick.</t>
  </si>
  <si>
    <t xml:space="preserve">Car Insurance in New Brunswick</t>
  </si>
  <si>
    <t xml:space="preserve">car insurance new brunswick</t>
  </si>
  <si>
    <t xml:space="preserve">P0104</t>
  </si>
  <si>
    <t xml:space="preserve">https://instasure.ca/car-insurance/newfoundland-and-labrador/</t>
  </si>
  <si>
    <t xml:space="preserve">Car Insurance in Newfoundland and Labrador: Costs, Rules &amp; Quotes (2026)</t>
  </si>
  <si>
    <t xml:space="preserve">Car Insurance in Newfoundland and Labrador: how it works under Service NL, what drives price, instant estimates and advisors licensed in Newfoundland and Labrador.</t>
  </si>
  <si>
    <t xml:space="preserve">Car Insurance in Newfoundland and Labrador</t>
  </si>
  <si>
    <t xml:space="preserve">car insurance newfoundland</t>
  </si>
  <si>
    <t xml:space="preserve">P0105</t>
  </si>
  <si>
    <t xml:space="preserve">https://instasure.ca/car-insurance/northwest-territories/</t>
  </si>
  <si>
    <t xml:space="preserve">Car Insurance in Northwest Territories: Costs, Rules &amp; Quotes (2026)</t>
  </si>
  <si>
    <t xml:space="preserve">Car Insurance in Northwest Territories: how it works under the NWT Superintendent, what drives price, instant estimates and a waitlist for licensed advice in…</t>
  </si>
  <si>
    <t xml:space="preserve">Car Insurance in Northwest Territories</t>
  </si>
  <si>
    <t xml:space="preserve">car insurance northwest territories</t>
  </si>
  <si>
    <t xml:space="preserve">P0106</t>
  </si>
  <si>
    <t xml:space="preserve">https://instasure.ca/car-insurance/nova-scotia/</t>
  </si>
  <si>
    <t xml:space="preserve">Car Insurance in Nova Scotia: Costs, Rules &amp; Quotes (2026)</t>
  </si>
  <si>
    <t xml:space="preserve">Car Insurance in Nova Scotia: how it works under the NS Superintendent of Insurance, what drives price, instant estimates and advisors licensed in Nova Scotia.</t>
  </si>
  <si>
    <t xml:space="preserve">Car Insurance in Nova Scotia</t>
  </si>
  <si>
    <t xml:space="preserve">car insurance nova scotia</t>
  </si>
  <si>
    <t xml:space="preserve">P0107</t>
  </si>
  <si>
    <t xml:space="preserve">https://instasure.ca/car-insurance/nunavut/</t>
  </si>
  <si>
    <t xml:space="preserve">Car Insurance in Nunavut: Costs, Rules &amp; Quotes (2026)</t>
  </si>
  <si>
    <t xml:space="preserve">Car Insurance in Nunavut: how it works under the Nunavut Superintendent, what drives price, instant estimates and a waitlist for licensed advice in Nunavut.</t>
  </si>
  <si>
    <t xml:space="preserve">Car Insurance in Nunavut</t>
  </si>
  <si>
    <t xml:space="preserve">car insurance nunavut</t>
  </si>
  <si>
    <t xml:space="preserve">P0108</t>
  </si>
  <si>
    <t xml:space="preserve">https://instasure.ca/car-insurance/ontario/</t>
  </si>
  <si>
    <t xml:space="preserve">Car Insurance in Ontario: Costs, Rules &amp; Quotes (2026)</t>
  </si>
  <si>
    <t xml:space="preserve">Car Insurance in Ontario: how it works under FSRA, what drives price, instant estimates and advisors licensed in Ontario.</t>
  </si>
  <si>
    <t xml:space="preserve">Car Insurance in Ontario</t>
  </si>
  <si>
    <t xml:space="preserve">car insurance ontario</t>
  </si>
  <si>
    <t xml:space="preserve">P0109</t>
  </si>
  <si>
    <t xml:space="preserve">https://instasure.ca/car-insurance/prince-edward-island/</t>
  </si>
  <si>
    <t xml:space="preserve">Car Insurance in Prince Edward Island: Costs, Rules &amp; Quotes (2026)</t>
  </si>
  <si>
    <t xml:space="preserve">Car Insurance in Prince Edward Island: how it works under the PEI Superintendent, what drives price, instant estimates and advisors licensed in Prince Edward Island.</t>
  </si>
  <si>
    <t xml:space="preserve">Car Insurance in Prince Edward Island</t>
  </si>
  <si>
    <t xml:space="preserve">car insurance pei</t>
  </si>
  <si>
    <t xml:space="preserve">P0110</t>
  </si>
  <si>
    <t xml:space="preserve">https://instasure.ca/car-insurance/quebec/</t>
  </si>
  <si>
    <t xml:space="preserve">Car Insurance in Quebec: Costs, Rules &amp; Quotes (2026)</t>
  </si>
  <si>
    <t xml:space="preserve">Car Insurance in Quebec: how it works under AMF, what drives price, instant estimates and a waitlist for licensed advice in Quebec.</t>
  </si>
  <si>
    <t xml:space="preserve">Car Insurance in Quebec</t>
  </si>
  <si>
    <t xml:space="preserve">car insurance quebec</t>
  </si>
  <si>
    <t xml:space="preserve">P0111</t>
  </si>
  <si>
    <t xml:space="preserve">https://instasure.ca/car-insurance/saskatchewan/</t>
  </si>
  <si>
    <t xml:space="preserve">Car Insurance in Saskatchewan: Costs, Rules &amp; Quotes (2026)</t>
  </si>
  <si>
    <t xml:space="preserve">Car Insurance in Saskatchewan: how it works under FCAA, what drives price, instant estimates and advisors licensed in Saskatchewan.</t>
  </si>
  <si>
    <t xml:space="preserve">Car Insurance in Saskatchewan</t>
  </si>
  <si>
    <t xml:space="preserve">car insurance saskatchewan</t>
  </si>
  <si>
    <t xml:space="preserve">P0112</t>
  </si>
  <si>
    <t xml:space="preserve">https://instasure.ca/car-insurance/yukon/</t>
  </si>
  <si>
    <t xml:space="preserve">Car Insurance in Yukon: Costs, Rules &amp; Quotes (2026)</t>
  </si>
  <si>
    <t xml:space="preserve">Car Insurance in Yukon: how it works under the Yukon Superintendent, what drives price, instant estimates and a waitlist for licensed advice in Yukon.</t>
  </si>
  <si>
    <t xml:space="preserve">Car Insurance in Yukon</t>
  </si>
  <si>
    <t xml:space="preserve">car insurance yukon</t>
  </si>
  <si>
    <t xml:space="preserve">P0113</t>
  </si>
  <si>
    <t xml:space="preserve">https://instasure.ca/condo-insurance/alberta/</t>
  </si>
  <si>
    <t xml:space="preserve">Condo Insurance in Alberta: Costs, Rules &amp; Quotes (2026)</t>
  </si>
  <si>
    <t xml:space="preserve">Condo Insurance in Alberta: how it works under the Superintendent of Insurance, what drives price, instant estimates and advisors licensed in Alberta.</t>
  </si>
  <si>
    <t xml:space="preserve">Condo Insurance in Alberta</t>
  </si>
  <si>
    <t xml:space="preserve">condo insurance alberta</t>
  </si>
  <si>
    <t xml:space="preserve">P0114</t>
  </si>
  <si>
    <t xml:space="preserve">https://instasure.ca/condo-insurance/british-columbia/</t>
  </si>
  <si>
    <t xml:space="preserve">Condo Insurance in British Columbia: Costs, Rules &amp; Quotes (2026)</t>
  </si>
  <si>
    <t xml:space="preserve">Condo Insurance in British Columbia: how it works under BCFSA, what drives price, instant estimates and advisors licensed in British Columbia.</t>
  </si>
  <si>
    <t xml:space="preserve">Condo Insurance in British Columbia</t>
  </si>
  <si>
    <t xml:space="preserve">condo insurance bc</t>
  </si>
  <si>
    <t xml:space="preserve">P0115</t>
  </si>
  <si>
    <t xml:space="preserve">https://instasure.ca/condo-insurance/manitoba/</t>
  </si>
  <si>
    <t xml:space="preserve">Condo Insurance in Manitoba: Costs, Rules &amp; Quotes (2026)</t>
  </si>
  <si>
    <t xml:space="preserve">Condo Insurance in Manitoba: how it works under FIRB, what drives price, instant estimates and advisors licensed in Manitoba.</t>
  </si>
  <si>
    <t xml:space="preserve">Condo Insurance in Manitoba</t>
  </si>
  <si>
    <t xml:space="preserve">condo insurance manitoba</t>
  </si>
  <si>
    <t xml:space="preserve">P0116</t>
  </si>
  <si>
    <t xml:space="preserve">https://instasure.ca/condo-insurance/new-brunswick/</t>
  </si>
  <si>
    <t xml:space="preserve">Condo Insurance in New Brunswick: Costs, Rules &amp; Quotes (2026)</t>
  </si>
  <si>
    <t xml:space="preserve">Condo Insurance in New Brunswick: how it works under FCNB, what drives price, instant estimates and advisors licensed in New Brunswick.</t>
  </si>
  <si>
    <t xml:space="preserve">Condo Insurance in New Brunswick</t>
  </si>
  <si>
    <t xml:space="preserve">condo insurance new brunswick</t>
  </si>
  <si>
    <t xml:space="preserve">P0117</t>
  </si>
  <si>
    <t xml:space="preserve">https://instasure.ca/condo-insurance/newfoundland-and-labrador/</t>
  </si>
  <si>
    <t xml:space="preserve">Condo Insurance in Newfoundland and Labrador: Costs, Rules &amp; Quotes (2026)</t>
  </si>
  <si>
    <t xml:space="preserve">Condo Insurance in Newfoundland and Labrador: how it works under Service NL, what drives price, instant estimates and advisors licensed in Newfoundland and Labrador.</t>
  </si>
  <si>
    <t xml:space="preserve">Condo Insurance in Newfoundland and Labrador</t>
  </si>
  <si>
    <t xml:space="preserve">condo insurance newfoundland</t>
  </si>
  <si>
    <t xml:space="preserve">P0118</t>
  </si>
  <si>
    <t xml:space="preserve">https://instasure.ca/condo-insurance/northwest-territories/</t>
  </si>
  <si>
    <t xml:space="preserve">Condo Insurance in Northwest Territories: Costs, Rules &amp; Quotes (2026)</t>
  </si>
  <si>
    <t xml:space="preserve">Condo Insurance in Northwest Territories: how it works under the NWT Superintendent, what drives price, instant estimates and a waitlist for licensed advice in…</t>
  </si>
  <si>
    <t xml:space="preserve">Condo Insurance in Northwest Territories</t>
  </si>
  <si>
    <t xml:space="preserve">condo insurance northwest territories</t>
  </si>
  <si>
    <t xml:space="preserve">P0119</t>
  </si>
  <si>
    <t xml:space="preserve">https://instasure.ca/condo-insurance/nova-scotia/</t>
  </si>
  <si>
    <t xml:space="preserve">Condo Insurance in Nova Scotia: Costs, Rules &amp; Quotes (2026)</t>
  </si>
  <si>
    <t xml:space="preserve">Condo Insurance in Nova Scotia: how it works under the NS Superintendent of Insurance, what drives price, instant estimates and advisors licensed in Nova Scotia.</t>
  </si>
  <si>
    <t xml:space="preserve">Condo Insurance in Nova Scotia</t>
  </si>
  <si>
    <t xml:space="preserve">condo insurance nova scotia</t>
  </si>
  <si>
    <t xml:space="preserve">P0120</t>
  </si>
  <si>
    <t xml:space="preserve">https://instasure.ca/condo-insurance/nunavut/</t>
  </si>
  <si>
    <t xml:space="preserve">Condo Insurance in Nunavut: Costs, Rules &amp; Quotes (2026)</t>
  </si>
  <si>
    <t xml:space="preserve">Condo Insurance in Nunavut: how it works under the Nunavut Superintendent, what drives price, instant estimates and a waitlist for licensed advice in Nunavut.</t>
  </si>
  <si>
    <t xml:space="preserve">Condo Insurance in Nunavut</t>
  </si>
  <si>
    <t xml:space="preserve">condo insurance nunavut</t>
  </si>
  <si>
    <t xml:space="preserve">P0121</t>
  </si>
  <si>
    <t xml:space="preserve">https://instasure.ca/condo-insurance/ontario/</t>
  </si>
  <si>
    <t xml:space="preserve">Condo Insurance in Ontario: Costs, Rules &amp; Quotes (2026)</t>
  </si>
  <si>
    <t xml:space="preserve">Condo Insurance in Ontario: how it works under FSRA, what drives price, instant estimates and advisors licensed in Ontario.</t>
  </si>
  <si>
    <t xml:space="preserve">Condo Insurance in Ontario</t>
  </si>
  <si>
    <t xml:space="preserve">condo insurance ontario</t>
  </si>
  <si>
    <t xml:space="preserve">P0122</t>
  </si>
  <si>
    <t xml:space="preserve">https://instasure.ca/condo-insurance/prince-edward-island/</t>
  </si>
  <si>
    <t xml:space="preserve">Condo Insurance in Prince Edward Island: Costs, Rules &amp; Quotes (2026)</t>
  </si>
  <si>
    <t xml:space="preserve">Condo Insurance in Prince Edward Island: how it works under the PEI Superintendent, what drives price, instant estimates and advisors licensed in Prince Edward…</t>
  </si>
  <si>
    <t xml:space="preserve">Condo Insurance in Prince Edward Island</t>
  </si>
  <si>
    <t xml:space="preserve">condo insurance prince edward island</t>
  </si>
  <si>
    <t xml:space="preserve">P0123</t>
  </si>
  <si>
    <t xml:space="preserve">https://instasure.ca/condo-insurance/quebec/</t>
  </si>
  <si>
    <t xml:space="preserve">Condo Insurance in Quebec: Costs, Rules &amp; Quotes (2026)</t>
  </si>
  <si>
    <t xml:space="preserve">Condo Insurance in Quebec: how it works under AMF, what drives price, instant estimates and a waitlist for licensed advice in Quebec.</t>
  </si>
  <si>
    <t xml:space="preserve">Condo Insurance in Quebec</t>
  </si>
  <si>
    <t xml:space="preserve">condo insurance quebec</t>
  </si>
  <si>
    <t xml:space="preserve">P0124</t>
  </si>
  <si>
    <t xml:space="preserve">https://instasure.ca/condo-insurance/saskatchewan/</t>
  </si>
  <si>
    <t xml:space="preserve">Condo Insurance in Saskatchewan: Costs, Rules &amp; Quotes (2026)</t>
  </si>
  <si>
    <t xml:space="preserve">Condo Insurance in Saskatchewan: how it works under FCAA, what drives price, instant estimates and advisors licensed in Saskatchewan.</t>
  </si>
  <si>
    <t xml:space="preserve">Condo Insurance in Saskatchewan</t>
  </si>
  <si>
    <t xml:space="preserve">condo insurance saskatchewan</t>
  </si>
  <si>
    <t xml:space="preserve">P0125</t>
  </si>
  <si>
    <t xml:space="preserve">https://instasure.ca/condo-insurance/yukon/</t>
  </si>
  <si>
    <t xml:space="preserve">Condo Insurance in Yukon: Costs, Rules &amp; Quotes (2026)</t>
  </si>
  <si>
    <t xml:space="preserve">Condo Insurance in Yukon: how it works under the Yukon Superintendent, what drives price, instant estimates and a waitlist for licensed advice in Yukon.</t>
  </si>
  <si>
    <t xml:space="preserve">Condo Insurance in Yukon</t>
  </si>
  <si>
    <t xml:space="preserve">condo insurance yukon</t>
  </si>
  <si>
    <t xml:space="preserve">P0126</t>
  </si>
  <si>
    <t xml:space="preserve">https://instasure.ca/contractor-insurance/alberta/</t>
  </si>
  <si>
    <t xml:space="preserve">Contractor Insurance in Alberta: Costs, Rules &amp; Quotes (2026)</t>
  </si>
  <si>
    <t xml:space="preserve">Contractor Insurance in Alberta: how it works under the Superintendent of Insurance, what drives price, instant estimates and advisors licensed in Alberta.</t>
  </si>
  <si>
    <t xml:space="preserve">Contractor Insurance in Alberta</t>
  </si>
  <si>
    <t xml:space="preserve">contractor insurance alberta</t>
  </si>
  <si>
    <t xml:space="preserve">P0127</t>
  </si>
  <si>
    <t xml:space="preserve">https://instasure.ca/contractor-insurance/british-columbia/</t>
  </si>
  <si>
    <t xml:space="preserve">Contractor Insurance in British Columbia: Costs, Rules &amp; Quotes (2026)</t>
  </si>
  <si>
    <t xml:space="preserve">Contractor Insurance in British Columbia: how it works under BCFSA, what drives price, instant estimates and advisors licensed in British Columbia.</t>
  </si>
  <si>
    <t xml:space="preserve">Contractor Insurance in British Columbia</t>
  </si>
  <si>
    <t xml:space="preserve">contractor insurance bc</t>
  </si>
  <si>
    <t xml:space="preserve">P0128</t>
  </si>
  <si>
    <t xml:space="preserve">https://instasure.ca/contractor-insurance/manitoba/</t>
  </si>
  <si>
    <t xml:space="preserve">Contractor Insurance in Manitoba: Costs, Rules &amp; Quotes (2026)</t>
  </si>
  <si>
    <t xml:space="preserve">Contractor Insurance in Manitoba: how it works under FIRB, what drives price, instant estimates and advisors licensed in Manitoba.</t>
  </si>
  <si>
    <t xml:space="preserve">Contractor Insurance in Manitoba</t>
  </si>
  <si>
    <t xml:space="preserve">contractor insurance manitoba</t>
  </si>
  <si>
    <t xml:space="preserve">P0129</t>
  </si>
  <si>
    <t xml:space="preserve">https://instasure.ca/contractor-insurance/new-brunswick/</t>
  </si>
  <si>
    <t xml:space="preserve">Contractor Insurance in New Brunswick: Costs, Rules &amp; Quotes (2026)</t>
  </si>
  <si>
    <t xml:space="preserve">Contractor Insurance in New Brunswick: how it works under FCNB, what drives price, instant estimates and advisors licensed in New Brunswick.</t>
  </si>
  <si>
    <t xml:space="preserve">Contractor Insurance in New Brunswick</t>
  </si>
  <si>
    <t xml:space="preserve">contractor insurance new brunswick</t>
  </si>
  <si>
    <t xml:space="preserve">P0130</t>
  </si>
  <si>
    <t xml:space="preserve">https://instasure.ca/contractor-insurance/newfoundland-and-labrador/</t>
  </si>
  <si>
    <t xml:space="preserve">Contractor Insurance in Newfoundland and Labrador: Costs, Rules &amp; Quotes (2026)</t>
  </si>
  <si>
    <t xml:space="preserve">Contractor Insurance in Newfoundland and Labrador: how it works under Service NL, what drives price, instant estimates and advisors licensed in Newfoundland and…</t>
  </si>
  <si>
    <t xml:space="preserve">Contractor Insurance in Newfoundland and Labrador</t>
  </si>
  <si>
    <t xml:space="preserve">contractor insurance newfoundland and labrador</t>
  </si>
  <si>
    <t xml:space="preserve">P0131</t>
  </si>
  <si>
    <t xml:space="preserve">https://instasure.ca/contractor-insurance/northwest-territories/</t>
  </si>
  <si>
    <t xml:space="preserve">Contractor Insurance in Northwest Territories: Costs, Rules &amp; Quotes (2026)</t>
  </si>
  <si>
    <t xml:space="preserve">Contractor Insurance in Northwest Territories: how it works under the NWT Superintendent, what drives price, instant estimates and a waitlist for licensed advice…</t>
  </si>
  <si>
    <t xml:space="preserve">Contractor Insurance in Northwest Territories</t>
  </si>
  <si>
    <t xml:space="preserve">contractor insurance northwest territories</t>
  </si>
  <si>
    <t xml:space="preserve">P0132</t>
  </si>
  <si>
    <t xml:space="preserve">https://instasure.ca/contractor-insurance/nova-scotia/</t>
  </si>
  <si>
    <t xml:space="preserve">Contractor Insurance in Nova Scotia: Costs, Rules &amp; Quotes (2026)</t>
  </si>
  <si>
    <t xml:space="preserve">Contractor Insurance in Nova Scotia: how it works under the NS Superintendent of Insurance, what drives price, instant estimates and advisors licensed in Nova…</t>
  </si>
  <si>
    <t xml:space="preserve">Contractor Insurance in Nova Scotia</t>
  </si>
  <si>
    <t xml:space="preserve">contractor insurance nova scotia</t>
  </si>
  <si>
    <t xml:space="preserve">P0133</t>
  </si>
  <si>
    <t xml:space="preserve">https://instasure.ca/contractor-insurance/nunavut/</t>
  </si>
  <si>
    <t xml:space="preserve">Contractor Insurance in Nunavut: Costs, Rules &amp; Quotes (2026)</t>
  </si>
  <si>
    <t xml:space="preserve">Contractor Insurance in Nunavut: how it works under the Nunavut Superintendent, what drives price, instant estimates and a waitlist for licensed advice in Nunavut.</t>
  </si>
  <si>
    <t xml:space="preserve">Contractor Insurance in Nunavut</t>
  </si>
  <si>
    <t xml:space="preserve">contractor insurance nunavut</t>
  </si>
  <si>
    <t xml:space="preserve">P0134</t>
  </si>
  <si>
    <t xml:space="preserve">https://instasure.ca/contractor-insurance/ontario/</t>
  </si>
  <si>
    <t xml:space="preserve">Contractor Insurance in Ontario: Costs, Rules &amp; Quotes (2026)</t>
  </si>
  <si>
    <t xml:space="preserve">Contractor Insurance in Ontario: how it works under FSRA, what drives price, instant estimates and advisors licensed in Ontario.</t>
  </si>
  <si>
    <t xml:space="preserve">Contractor Insurance in Ontario</t>
  </si>
  <si>
    <t xml:space="preserve">contractor insurance ontario</t>
  </si>
  <si>
    <t xml:space="preserve">P0135</t>
  </si>
  <si>
    <t xml:space="preserve">https://instasure.ca/contractor-insurance/prince-edward-island/</t>
  </si>
  <si>
    <t xml:space="preserve">Contractor Insurance in Prince Edward Island: Costs, Rules &amp; Quotes (2026)</t>
  </si>
  <si>
    <t xml:space="preserve">Contractor Insurance in Prince Edward Island: how it works under the PEI Superintendent, what drives price, instant estimates and advisors licensed in Prince…</t>
  </si>
  <si>
    <t xml:space="preserve">Contractor Insurance in Prince Edward Island</t>
  </si>
  <si>
    <t xml:space="preserve">contractor insurance prince edward island</t>
  </si>
  <si>
    <t xml:space="preserve">P0136</t>
  </si>
  <si>
    <t xml:space="preserve">https://instasure.ca/contractor-insurance/quebec/</t>
  </si>
  <si>
    <t xml:space="preserve">Contractor Insurance in Quebec: Costs, Rules &amp; Quotes (2026)</t>
  </si>
  <si>
    <t xml:space="preserve">Contractor Insurance in Quebec: how it works under AMF, what drives price, instant estimates and a waitlist for licensed advice in Quebec.</t>
  </si>
  <si>
    <t xml:space="preserve">Contractor Insurance in Quebec</t>
  </si>
  <si>
    <t xml:space="preserve">contractor insurance quebec</t>
  </si>
  <si>
    <t xml:space="preserve">P0137</t>
  </si>
  <si>
    <t xml:space="preserve">https://instasure.ca/contractor-insurance/saskatchewan/</t>
  </si>
  <si>
    <t xml:space="preserve">Contractor Insurance in Saskatchewan: Costs, Rules &amp; Quotes (2026)</t>
  </si>
  <si>
    <t xml:space="preserve">Contractor Insurance in Saskatchewan: how it works under FCAA, what drives price, instant estimates and advisors licensed in Saskatchewan.</t>
  </si>
  <si>
    <t xml:space="preserve">Contractor Insurance in Saskatchewan</t>
  </si>
  <si>
    <t xml:space="preserve">contractor insurance saskatchewan</t>
  </si>
  <si>
    <t xml:space="preserve">P0138</t>
  </si>
  <si>
    <t xml:space="preserve">https://instasure.ca/contractor-insurance/yukon/</t>
  </si>
  <si>
    <t xml:space="preserve">Contractor Insurance in Yukon: Costs, Rules &amp; Quotes (2026)</t>
  </si>
  <si>
    <t xml:space="preserve">Contractor Insurance in Yukon: how it works under the Yukon Superintendent, what drives price, instant estimates and a waitlist for licensed advice in Yukon.</t>
  </si>
  <si>
    <t xml:space="preserve">Contractor Insurance in Yukon</t>
  </si>
  <si>
    <t xml:space="preserve">contractor insurance yukon</t>
  </si>
  <si>
    <t xml:space="preserve">P0139</t>
  </si>
  <si>
    <t xml:space="preserve">https://instasure.ca/critical-illness-insurance/alberta/</t>
  </si>
  <si>
    <t xml:space="preserve">Critical Illness Insurance in Alberta: Costs, Rules &amp; Quotes (2026)</t>
  </si>
  <si>
    <t xml:space="preserve">Critical Illness Insurance in Alberta: how it works under the Superintendent of Insurance, what drives price, instant estimates and advisors licensed in Alberta.</t>
  </si>
  <si>
    <t xml:space="preserve">Critical Illness Insurance in Alberta</t>
  </si>
  <si>
    <t xml:space="preserve">critical illness insurance alberta</t>
  </si>
  <si>
    <t xml:space="preserve">P0140</t>
  </si>
  <si>
    <t xml:space="preserve">https://instasure.ca/critical-illness-insurance/british-columbia/</t>
  </si>
  <si>
    <t xml:space="preserve">Critical Illness Insurance in British Columbia: Costs, Rules &amp; Quotes (2026)</t>
  </si>
  <si>
    <t xml:space="preserve">Critical Illness Insurance in British Columbia: how it works under BCFSA, what drives price, instant estimates and advisors licensed in British Columbia.</t>
  </si>
  <si>
    <t xml:space="preserve">Critical Illness Insurance in British Columbia</t>
  </si>
  <si>
    <t xml:space="preserve">critical illness insurance bc</t>
  </si>
  <si>
    <t xml:space="preserve">P0141</t>
  </si>
  <si>
    <t xml:space="preserve">https://instasure.ca/critical-illness-insurance/manitoba/</t>
  </si>
  <si>
    <t xml:space="preserve">Critical Illness Insurance in Manitoba: Costs, Rules &amp; Quotes (2026)</t>
  </si>
  <si>
    <t xml:space="preserve">Critical Illness Insurance in Manitoba: how it works under FIRB, what drives price, instant estimates and advisors licensed in Manitoba.</t>
  </si>
  <si>
    <t xml:space="preserve">Critical Illness Insurance in Manitoba</t>
  </si>
  <si>
    <t xml:space="preserve">critical illness insurance manitoba</t>
  </si>
  <si>
    <t xml:space="preserve">P0142</t>
  </si>
  <si>
    <t xml:space="preserve">https://instasure.ca/critical-illness-insurance/new-brunswick/</t>
  </si>
  <si>
    <t xml:space="preserve">Critical Illness Insurance in New Brunswick: Costs, Rules &amp; Quotes (2026)</t>
  </si>
  <si>
    <t xml:space="preserve">Critical Illness Insurance in New Brunswick: how it works under FCNB, what drives price, instant estimates and advisors licensed in New Brunswick.</t>
  </si>
  <si>
    <t xml:space="preserve">Critical Illness Insurance in New Brunswick</t>
  </si>
  <si>
    <t xml:space="preserve">critical illness insurance new brunswick</t>
  </si>
  <si>
    <t xml:space="preserve">P0143</t>
  </si>
  <si>
    <t xml:space="preserve">https://instasure.ca/critical-illness-insurance/newfoundland-and-labrador/</t>
  </si>
  <si>
    <t xml:space="preserve">Critical Illness Insurance in Newfoundland and Labrador: Costs, Rules &amp; Quotes (2026)</t>
  </si>
  <si>
    <t xml:space="preserve">Critical Illness Insurance in Newfoundland and Labrador: how it works under Service NL, what drives price, instant estimates and advisors licensed in Newfoundland…</t>
  </si>
  <si>
    <t xml:space="preserve">Critical Illness Insurance in Newfoundland and Labrador</t>
  </si>
  <si>
    <t xml:space="preserve">critical illness insurance newfoundland and labrador</t>
  </si>
  <si>
    <t xml:space="preserve">P0144</t>
  </si>
  <si>
    <t xml:space="preserve">https://instasure.ca/critical-illness-insurance/northwest-territories/</t>
  </si>
  <si>
    <t xml:space="preserve">Critical Illness Insurance in Northwest Territories: Costs, Rules &amp; Quotes (2026)</t>
  </si>
  <si>
    <t xml:space="preserve">Critical Illness Insurance in Northwest Territories: how it works under the NWT Superintendent, what drives price, instant estimates and a waitlist for licensed…</t>
  </si>
  <si>
    <t xml:space="preserve">Critical Illness Insurance in Northwest Territories</t>
  </si>
  <si>
    <t xml:space="preserve">critical illness insurance northwest territories</t>
  </si>
  <si>
    <t xml:space="preserve">P0145</t>
  </si>
  <si>
    <t xml:space="preserve">https://instasure.ca/critical-illness-insurance/nova-scotia/</t>
  </si>
  <si>
    <t xml:space="preserve">Critical Illness Insurance in Nova Scotia: Costs, Rules &amp; Quotes (2026)</t>
  </si>
  <si>
    <t xml:space="preserve">Critical Illness Insurance in Nova Scotia: how it works under the NS Superintendent of Insurance, what drives price, instant estimates and advisors licensed in…</t>
  </si>
  <si>
    <t xml:space="preserve">Critical Illness Insurance in Nova Scotia</t>
  </si>
  <si>
    <t xml:space="preserve">critical illness insurance nova scotia</t>
  </si>
  <si>
    <t xml:space="preserve">P0146</t>
  </si>
  <si>
    <t xml:space="preserve">https://instasure.ca/critical-illness-insurance/nunavut/</t>
  </si>
  <si>
    <t xml:space="preserve">Critical Illness Insurance in Nunavut: Costs, Rules &amp; Quotes (2026)</t>
  </si>
  <si>
    <t xml:space="preserve">Critical Illness Insurance in Nunavut: how it works under the Nunavut Superintendent, what drives price, instant estimates and a waitlist for licensed advice in…</t>
  </si>
  <si>
    <t xml:space="preserve">Critical Illness Insurance in Nunavut</t>
  </si>
  <si>
    <t xml:space="preserve">critical illness insurance nunavut</t>
  </si>
  <si>
    <t xml:space="preserve">P0147</t>
  </si>
  <si>
    <t xml:space="preserve">https://instasure.ca/critical-illness-insurance/ontario/</t>
  </si>
  <si>
    <t xml:space="preserve">Critical Illness Insurance in Ontario: Costs, Rules &amp; Quotes (2026)</t>
  </si>
  <si>
    <t xml:space="preserve">Critical Illness Insurance in Ontario: how it works under FSRA, what drives price, instant estimates and advisors licensed in Ontario.</t>
  </si>
  <si>
    <t xml:space="preserve">Critical Illness Insurance in Ontario</t>
  </si>
  <si>
    <t xml:space="preserve">critical illness insurance ontario</t>
  </si>
  <si>
    <t xml:space="preserve">P0148</t>
  </si>
  <si>
    <t xml:space="preserve">https://instasure.ca/critical-illness-insurance/prince-edward-island/</t>
  </si>
  <si>
    <t xml:space="preserve">Critical Illness Insurance in Prince Edward Island: Costs, Rules &amp; Quotes (2026)</t>
  </si>
  <si>
    <t xml:space="preserve">Critical Illness Insurance in Prince Edward Island: how it works under the PEI Superintendent, what drives price, instant estimates and advisors licensed in Prince…</t>
  </si>
  <si>
    <t xml:space="preserve">Critical Illness Insurance in Prince Edward Island</t>
  </si>
  <si>
    <t xml:space="preserve">critical illness insurance prince edward island</t>
  </si>
  <si>
    <t xml:space="preserve">P0149</t>
  </si>
  <si>
    <t xml:space="preserve">https://instasure.ca/critical-illness-insurance/quebec/</t>
  </si>
  <si>
    <t xml:space="preserve">Critical Illness Insurance in Quebec: Costs, Rules &amp; Quotes (2026)</t>
  </si>
  <si>
    <t xml:space="preserve">Critical Illness Insurance in Quebec: how it works under AMF, what drives price, instant estimates and a waitlist for licensed advice in Quebec.</t>
  </si>
  <si>
    <t xml:space="preserve">Critical Illness Insurance in Quebec</t>
  </si>
  <si>
    <t xml:space="preserve">critical illness insurance quebec</t>
  </si>
  <si>
    <t xml:space="preserve">P0150</t>
  </si>
  <si>
    <t xml:space="preserve">https://instasure.ca/critical-illness-insurance/saskatchewan/</t>
  </si>
  <si>
    <t xml:space="preserve">Critical Illness Insurance in Saskatchewan: Costs, Rules &amp; Quotes (2026)</t>
  </si>
  <si>
    <t xml:space="preserve">Critical Illness Insurance in Saskatchewan: how it works under FCAA, what drives price, instant estimates and advisors licensed in Saskatchewan.</t>
  </si>
  <si>
    <t xml:space="preserve">Critical Illness Insurance in Saskatchewan</t>
  </si>
  <si>
    <t xml:space="preserve">critical illness insurance saskatchewan</t>
  </si>
  <si>
    <t xml:space="preserve">P0151</t>
  </si>
  <si>
    <t xml:space="preserve">https://instasure.ca/critical-illness-insurance/yukon/</t>
  </si>
  <si>
    <t xml:space="preserve">Critical Illness Insurance in Yukon: Costs, Rules &amp; Quotes (2026)</t>
  </si>
  <si>
    <t xml:space="preserve">Critical Illness Insurance in Yukon: how it works under the Yukon Superintendent, what drives price, instant estimates and a waitlist for licensed advice in Yukon.</t>
  </si>
  <si>
    <t xml:space="preserve">Critical Illness Insurance in Yukon</t>
  </si>
  <si>
    <t xml:space="preserve">critical illness insurance yukon</t>
  </si>
  <si>
    <t xml:space="preserve">P0152</t>
  </si>
  <si>
    <t xml:space="preserve">https://instasure.ca/disability-insurance/alberta/</t>
  </si>
  <si>
    <t xml:space="preserve">Disability Insurance in Alberta: Costs, Rules &amp; Quotes (2026)</t>
  </si>
  <si>
    <t xml:space="preserve">Disability Insurance in Alberta: how it works under the Superintendent of Insurance, what drives price, instant estimates and advisors licensed in Alberta.</t>
  </si>
  <si>
    <t xml:space="preserve">Disability Insurance in Alberta</t>
  </si>
  <si>
    <t xml:space="preserve">disability insurance alberta</t>
  </si>
  <si>
    <t xml:space="preserve">P0153</t>
  </si>
  <si>
    <t xml:space="preserve">https://instasure.ca/disability-insurance/british-columbia/</t>
  </si>
  <si>
    <t xml:space="preserve">Disability Insurance in British Columbia: Costs, Rules &amp; Quotes (2026)</t>
  </si>
  <si>
    <t xml:space="preserve">Disability Insurance in British Columbia: how it works under BCFSA, what drives price, instant estimates and advisors licensed in British Columbia.</t>
  </si>
  <si>
    <t xml:space="preserve">Disability Insurance in British Columbia</t>
  </si>
  <si>
    <t xml:space="preserve">disability insurance bc</t>
  </si>
  <si>
    <t xml:space="preserve">P0154</t>
  </si>
  <si>
    <t xml:space="preserve">https://instasure.ca/disability-insurance/manitoba/</t>
  </si>
  <si>
    <t xml:space="preserve">Disability Insurance in Manitoba: Costs, Rules &amp; Quotes (2026)</t>
  </si>
  <si>
    <t xml:space="preserve">Disability Insurance in Manitoba: how it works under FIRB, what drives price, instant estimates and advisors licensed in Manitoba.</t>
  </si>
  <si>
    <t xml:space="preserve">Disability Insurance in Manitoba</t>
  </si>
  <si>
    <t xml:space="preserve">disability insurance manitoba</t>
  </si>
  <si>
    <t xml:space="preserve">P0155</t>
  </si>
  <si>
    <t xml:space="preserve">https://instasure.ca/disability-insurance/new-brunswick/</t>
  </si>
  <si>
    <t xml:space="preserve">Disability Insurance in New Brunswick: Costs, Rules &amp; Quotes (2026)</t>
  </si>
  <si>
    <t xml:space="preserve">Disability Insurance in New Brunswick: how it works under FCNB, what drives price, instant estimates and advisors licensed in New Brunswick.</t>
  </si>
  <si>
    <t xml:space="preserve">Disability Insurance in New Brunswick</t>
  </si>
  <si>
    <t xml:space="preserve">disability insurance new brunswick</t>
  </si>
  <si>
    <t xml:space="preserve">P0156</t>
  </si>
  <si>
    <t xml:space="preserve">https://instasure.ca/disability-insurance/newfoundland-and-labrador/</t>
  </si>
  <si>
    <t xml:space="preserve">Disability Insurance in Newfoundland and Labrador: Costs, Rules &amp; Quotes (2026)</t>
  </si>
  <si>
    <t xml:space="preserve">Disability Insurance in Newfoundland and Labrador: how it works under Service NL, what drives price, instant estimates and advisors licensed in Newfoundland and…</t>
  </si>
  <si>
    <t xml:space="preserve">Disability Insurance in Newfoundland and Labrador</t>
  </si>
  <si>
    <t xml:space="preserve">disability insurance newfoundland and labrador</t>
  </si>
  <si>
    <t xml:space="preserve">P0157</t>
  </si>
  <si>
    <t xml:space="preserve">https://instasure.ca/disability-insurance/northwest-territories/</t>
  </si>
  <si>
    <t xml:space="preserve">Disability Insurance in Northwest Territories: Costs, Rules &amp; Quotes (2026)</t>
  </si>
  <si>
    <t xml:space="preserve">Disability Insurance in Northwest Territories: how it works under the NWT Superintendent, what drives price, instant estimates and a waitlist for licensed advice…</t>
  </si>
  <si>
    <t xml:space="preserve">Disability Insurance in Northwest Territories</t>
  </si>
  <si>
    <t xml:space="preserve">disability insurance northwest territories</t>
  </si>
  <si>
    <t xml:space="preserve">P0158</t>
  </si>
  <si>
    <t xml:space="preserve">https://instasure.ca/disability-insurance/nova-scotia/</t>
  </si>
  <si>
    <t xml:space="preserve">Disability Insurance in Nova Scotia: Costs, Rules &amp; Quotes (2026)</t>
  </si>
  <si>
    <t xml:space="preserve">Disability Insurance in Nova Scotia: how it works under the NS Superintendent of Insurance, what drives price, instant estimates and advisors licensed in Nova…</t>
  </si>
  <si>
    <t xml:space="preserve">Disability Insurance in Nova Scotia</t>
  </si>
  <si>
    <t xml:space="preserve">disability insurance nova scotia</t>
  </si>
  <si>
    <t xml:space="preserve">P0159</t>
  </si>
  <si>
    <t xml:space="preserve">https://instasure.ca/disability-insurance/nunavut/</t>
  </si>
  <si>
    <t xml:space="preserve">Disability Insurance in Nunavut: Costs, Rules &amp; Quotes (2026)</t>
  </si>
  <si>
    <t xml:space="preserve">Disability Insurance in Nunavut: how it works under the Nunavut Superintendent, what drives price, instant estimates and a waitlist for licensed advice in Nunavut.</t>
  </si>
  <si>
    <t xml:space="preserve">Disability Insurance in Nunavut</t>
  </si>
  <si>
    <t xml:space="preserve">disability insurance nunavut</t>
  </si>
  <si>
    <t xml:space="preserve">P0160</t>
  </si>
  <si>
    <t xml:space="preserve">https://instasure.ca/disability-insurance/ontario/</t>
  </si>
  <si>
    <t xml:space="preserve">Disability Insurance in Ontario: Costs, Rules &amp; Quotes (2026)</t>
  </si>
  <si>
    <t xml:space="preserve">Disability Insurance in Ontario: how it works under FSRA, what drives price, instant estimates and advisors licensed in Ontario.</t>
  </si>
  <si>
    <t xml:space="preserve">Disability Insurance in Ontario</t>
  </si>
  <si>
    <t xml:space="preserve">disability insurance ontario</t>
  </si>
  <si>
    <t xml:space="preserve">P0161</t>
  </si>
  <si>
    <t xml:space="preserve">https://instasure.ca/disability-insurance/prince-edward-island/</t>
  </si>
  <si>
    <t xml:space="preserve">Disability Insurance in Prince Edward Island: Costs, Rules &amp; Quotes (2026)</t>
  </si>
  <si>
    <t xml:space="preserve">Disability Insurance in Prince Edward Island: how it works under the PEI Superintendent, what drives price, instant estimates and advisors licensed in Prince…</t>
  </si>
  <si>
    <t xml:space="preserve">Disability Insurance in Prince Edward Island</t>
  </si>
  <si>
    <t xml:space="preserve">disability insurance prince edward island</t>
  </si>
  <si>
    <t xml:space="preserve">P0162</t>
  </si>
  <si>
    <t xml:space="preserve">https://instasure.ca/disability-insurance/quebec/</t>
  </si>
  <si>
    <t xml:space="preserve">Disability Insurance in Quebec: Costs, Rules &amp; Quotes (2026)</t>
  </si>
  <si>
    <t xml:space="preserve">Disability Insurance in Quebec: how it works under AMF, what drives price, instant estimates and a waitlist for licensed advice in Quebec.</t>
  </si>
  <si>
    <t xml:space="preserve">Disability Insurance in Quebec</t>
  </si>
  <si>
    <t xml:space="preserve">disability insurance quebec</t>
  </si>
  <si>
    <t xml:space="preserve">P0163</t>
  </si>
  <si>
    <t xml:space="preserve">https://instasure.ca/disability-insurance/saskatchewan/</t>
  </si>
  <si>
    <t xml:space="preserve">Disability Insurance in Saskatchewan: Costs, Rules &amp; Quotes (2026)</t>
  </si>
  <si>
    <t xml:space="preserve">Disability Insurance in Saskatchewan: how it works under FCAA, what drives price, instant estimates and advisors licensed in Saskatchewan.</t>
  </si>
  <si>
    <t xml:space="preserve">Disability Insurance in Saskatchewan</t>
  </si>
  <si>
    <t xml:space="preserve">disability insurance saskatchewan</t>
  </si>
  <si>
    <t xml:space="preserve">P0164</t>
  </si>
  <si>
    <t xml:space="preserve">https://instasure.ca/disability-insurance/yukon/</t>
  </si>
  <si>
    <t xml:space="preserve">Disability Insurance in Yukon: Costs, Rules &amp; Quotes (2026)</t>
  </si>
  <si>
    <t xml:space="preserve">Disability Insurance in Yukon: how it works under the Yukon Superintendent, what drives price, instant estimates and a waitlist for licensed advice in Yukon.</t>
  </si>
  <si>
    <t xml:space="preserve">Disability Insurance in Yukon</t>
  </si>
  <si>
    <t xml:space="preserve">disability insurance yukon</t>
  </si>
  <si>
    <t xml:space="preserve">P0165</t>
  </si>
  <si>
    <t xml:space="preserve">https://instasure.ca/group-benefits/alberta/</t>
  </si>
  <si>
    <t xml:space="preserve">Group Benefits in Alberta: Costs, Rules &amp; Quotes (2026)</t>
  </si>
  <si>
    <t xml:space="preserve">Group Benefits in Alberta: how it works under the Superintendent of Insurance, what drives price, instant estimates and advisors licensed in Alberta.</t>
  </si>
  <si>
    <t xml:space="preserve">Group Benefits in Alberta</t>
  </si>
  <si>
    <t xml:space="preserve">group benefits alberta</t>
  </si>
  <si>
    <t xml:space="preserve">P0166</t>
  </si>
  <si>
    <t xml:space="preserve">https://instasure.ca/group-benefits/british-columbia/</t>
  </si>
  <si>
    <t xml:space="preserve">Group Benefits in British Columbia: Costs, Rules &amp; Quotes (2026)</t>
  </si>
  <si>
    <t xml:space="preserve">Group Benefits in British Columbia: how it works under BCFSA, what drives price, instant estimates and advisors licensed in British Columbia.</t>
  </si>
  <si>
    <t xml:space="preserve">Group Benefits in British Columbia</t>
  </si>
  <si>
    <t xml:space="preserve">group benefits bc</t>
  </si>
  <si>
    <t xml:space="preserve">P0167</t>
  </si>
  <si>
    <t xml:space="preserve">https://instasure.ca/group-benefits/manitoba/</t>
  </si>
  <si>
    <t xml:space="preserve">Group Benefits in Manitoba: Costs, Rules &amp; Quotes (2026)</t>
  </si>
  <si>
    <t xml:space="preserve">Group Benefits in Manitoba: how it works under FIRB, what drives price, instant estimates and advisors licensed in Manitoba.</t>
  </si>
  <si>
    <t xml:space="preserve">Group Benefits in Manitoba</t>
  </si>
  <si>
    <t xml:space="preserve">group benefits manitoba</t>
  </si>
  <si>
    <t xml:space="preserve">P0168</t>
  </si>
  <si>
    <t xml:space="preserve">https://instasure.ca/group-benefits/new-brunswick/</t>
  </si>
  <si>
    <t xml:space="preserve">Group Benefits in New Brunswick: Costs, Rules &amp; Quotes (2026)</t>
  </si>
  <si>
    <t xml:space="preserve">Group Benefits in New Brunswick: how it works under FCNB, what drives price, instant estimates and advisors licensed in New Brunswick.</t>
  </si>
  <si>
    <t xml:space="preserve">Group Benefits in New Brunswick</t>
  </si>
  <si>
    <t xml:space="preserve">group benefits new brunswick</t>
  </si>
  <si>
    <t xml:space="preserve">P0169</t>
  </si>
  <si>
    <t xml:space="preserve">https://instasure.ca/group-benefits/newfoundland-and-labrador/</t>
  </si>
  <si>
    <t xml:space="preserve">Group Benefits in Newfoundland and Labrador: Costs, Rules &amp; Quotes (2026)</t>
  </si>
  <si>
    <t xml:space="preserve">Group Benefits in Newfoundland and Labrador: how it works under Service NL, what drives price, instant estimates and advisors licensed in Newfoundland and Labrador.</t>
  </si>
  <si>
    <t xml:space="preserve">Group Benefits in Newfoundland and Labrador</t>
  </si>
  <si>
    <t xml:space="preserve">group benefits newfoundland and labrador</t>
  </si>
  <si>
    <t xml:space="preserve">P0170</t>
  </si>
  <si>
    <t xml:space="preserve">https://instasure.ca/group-benefits/northwest-territories/</t>
  </si>
  <si>
    <t xml:space="preserve">Group Benefits in Northwest Territories: Costs, Rules &amp; Quotes (2026)</t>
  </si>
  <si>
    <t xml:space="preserve">Group Benefits in Northwest Territories: how it works under the NWT Superintendent, what drives price, instant estimates and a waitlist for licensed advice in…</t>
  </si>
  <si>
    <t xml:space="preserve">Group Benefits in Northwest Territories</t>
  </si>
  <si>
    <t xml:space="preserve">group benefits northwest territories</t>
  </si>
  <si>
    <t xml:space="preserve">P0171</t>
  </si>
  <si>
    <t xml:space="preserve">https://instasure.ca/group-benefits/nova-scotia/</t>
  </si>
  <si>
    <t xml:space="preserve">Group Benefits in Nova Scotia: Costs, Rules &amp; Quotes (2026)</t>
  </si>
  <si>
    <t xml:space="preserve">Group Benefits in Nova Scotia: how it works under the NS Superintendent of Insurance, what drives price, instant estimates and advisors licensed in Nova Scotia.</t>
  </si>
  <si>
    <t xml:space="preserve">Group Benefits in Nova Scotia</t>
  </si>
  <si>
    <t xml:space="preserve">group benefits nova scotia</t>
  </si>
  <si>
    <t xml:space="preserve">P0172</t>
  </si>
  <si>
    <t xml:space="preserve">https://instasure.ca/group-benefits/nunavut/</t>
  </si>
  <si>
    <t xml:space="preserve">Group Benefits in Nunavut: Costs, Rules &amp; Quotes (2026)</t>
  </si>
  <si>
    <t xml:space="preserve">Group Benefits in Nunavut: how it works under the Nunavut Superintendent, what drives price, instant estimates and a waitlist for licensed advice in Nunavut.</t>
  </si>
  <si>
    <t xml:space="preserve">Group Benefits in Nunavut</t>
  </si>
  <si>
    <t xml:space="preserve">group benefits nunavut</t>
  </si>
  <si>
    <t xml:space="preserve">P0173</t>
  </si>
  <si>
    <t xml:space="preserve">https://instasure.ca/group-benefits/ontario/</t>
  </si>
  <si>
    <t xml:space="preserve">Group Benefits in Ontario: Costs, Rules &amp; Quotes (2026)</t>
  </si>
  <si>
    <t xml:space="preserve">Group Benefits in Ontario: how it works under FSRA, what drives price, instant estimates and advisors licensed in Ontario.</t>
  </si>
  <si>
    <t xml:space="preserve">Group Benefits in Ontario</t>
  </si>
  <si>
    <t xml:space="preserve">group benefits ontario</t>
  </si>
  <si>
    <t xml:space="preserve">P0174</t>
  </si>
  <si>
    <t xml:space="preserve">https://instasure.ca/group-benefits/prince-edward-island/</t>
  </si>
  <si>
    <t xml:space="preserve">Group Benefits in Prince Edward Island: Costs, Rules &amp; Quotes (2026)</t>
  </si>
  <si>
    <t xml:space="preserve">Group Benefits in Prince Edward Island: how it works under the PEI Superintendent, what drives price, instant estimates and advisors licensed in Prince Edward…</t>
  </si>
  <si>
    <t xml:space="preserve">Group Benefits in Prince Edward Island</t>
  </si>
  <si>
    <t xml:space="preserve">group benefits prince edward island</t>
  </si>
  <si>
    <t xml:space="preserve">P0175</t>
  </si>
  <si>
    <t xml:space="preserve">https://instasure.ca/group-benefits/quebec/</t>
  </si>
  <si>
    <t xml:space="preserve">Group Benefits in Quebec: Costs, Rules &amp; Quotes (2026)</t>
  </si>
  <si>
    <t xml:space="preserve">Group Benefits in Quebec: how it works under AMF, what drives price, instant estimates and a waitlist for licensed advice in Quebec.</t>
  </si>
  <si>
    <t xml:space="preserve">Group Benefits in Quebec</t>
  </si>
  <si>
    <t xml:space="preserve">group benefits quebec</t>
  </si>
  <si>
    <t xml:space="preserve">P0176</t>
  </si>
  <si>
    <t xml:space="preserve">https://instasure.ca/group-benefits/saskatchewan/</t>
  </si>
  <si>
    <t xml:space="preserve">Group Benefits in Saskatchewan: Costs, Rules &amp; Quotes (2026)</t>
  </si>
  <si>
    <t xml:space="preserve">Group Benefits in Saskatchewan: how it works under FCAA, what drives price, instant estimates and advisors licensed in Saskatchewan.</t>
  </si>
  <si>
    <t xml:space="preserve">Group Benefits in Saskatchewan</t>
  </si>
  <si>
    <t xml:space="preserve">group benefits saskatchewan</t>
  </si>
  <si>
    <t xml:space="preserve">P0177</t>
  </si>
  <si>
    <t xml:space="preserve">https://instasure.ca/group-benefits/yukon/</t>
  </si>
  <si>
    <t xml:space="preserve">Group Benefits in Yukon: Costs, Rules &amp; Quotes (2026)</t>
  </si>
  <si>
    <t xml:space="preserve">Group Benefits in Yukon: how it works under the Yukon Superintendent, what drives price, instant estimates and a waitlist for licensed advice in Yukon.</t>
  </si>
  <si>
    <t xml:space="preserve">Group Benefits in Yukon</t>
  </si>
  <si>
    <t xml:space="preserve">group benefits yukon</t>
  </si>
  <si>
    <t xml:space="preserve">P0178</t>
  </si>
  <si>
    <t xml:space="preserve">https://instasure.ca/health-dental-insurance/alberta/</t>
  </si>
  <si>
    <t xml:space="preserve">Health &amp; Dental Insurance in Alberta: Costs, Rules &amp; Quotes (2026)</t>
  </si>
  <si>
    <t xml:space="preserve">Health &amp; Dental Insurance in Alberta: how it works under the Superintendent of Insurance, what drives price, instant estimates and advisors licensed in Alberta.</t>
  </si>
  <si>
    <t xml:space="preserve">Health &amp; Dental Insurance in Alberta</t>
  </si>
  <si>
    <t xml:space="preserve">health insurance alberta</t>
  </si>
  <si>
    <t xml:space="preserve">P0179</t>
  </si>
  <si>
    <t xml:space="preserve">https://instasure.ca/health-dental-insurance/british-columbia/</t>
  </si>
  <si>
    <t xml:space="preserve">Health &amp; Dental Insurance in British Columbia: Costs, Rules &amp; Quotes (2026)</t>
  </si>
  <si>
    <t xml:space="preserve">Health &amp; Dental Insurance in British Columbia: how it works under BCFSA, what drives price, instant estimates and advisors licensed in British Columbia.</t>
  </si>
  <si>
    <t xml:space="preserve">Health &amp; Dental Insurance in British Columbia</t>
  </si>
  <si>
    <t xml:space="preserve">health insurance bc</t>
  </si>
  <si>
    <t xml:space="preserve">P0180</t>
  </si>
  <si>
    <t xml:space="preserve">https://instasure.ca/health-dental-insurance/manitoba/</t>
  </si>
  <si>
    <t xml:space="preserve">Health &amp; Dental Insurance in Manitoba: Costs, Rules &amp; Quotes (2026)</t>
  </si>
  <si>
    <t xml:space="preserve">Health &amp; Dental Insurance in Manitoba: how it works under FIRB, what drives price, instant estimates and advisors licensed in Manitoba.</t>
  </si>
  <si>
    <t xml:space="preserve">Health &amp; Dental Insurance in Manitoba</t>
  </si>
  <si>
    <t xml:space="preserve">health insurance manitoba</t>
  </si>
  <si>
    <t xml:space="preserve">P0181</t>
  </si>
  <si>
    <t xml:space="preserve">https://instasure.ca/health-dental-insurance/new-brunswick/</t>
  </si>
  <si>
    <t xml:space="preserve">Health &amp; Dental Insurance in New Brunswick: Costs, Rules &amp; Quotes (2026)</t>
  </si>
  <si>
    <t xml:space="preserve">Health &amp; Dental Insurance in New Brunswick: how it works under FCNB, what drives price, instant estimates and advisors licensed in New Brunswick.</t>
  </si>
  <si>
    <t xml:space="preserve">Health &amp; Dental Insurance in New Brunswick</t>
  </si>
  <si>
    <t xml:space="preserve">health insurance new brunswick</t>
  </si>
  <si>
    <t xml:space="preserve">P0182</t>
  </si>
  <si>
    <t xml:space="preserve">https://instasure.ca/health-dental-insurance/newfoundland-and-labrador/</t>
  </si>
  <si>
    <t xml:space="preserve">Health &amp; Dental Insurance in Newfoundland and Labrador: Costs, Rules &amp; Quotes (2026)</t>
  </si>
  <si>
    <t xml:space="preserve">Health &amp; Dental Insurance in Newfoundland and Labrador: how it works under Service NL, what drives price, instant estimates and advisors licensed in Newfoundland…</t>
  </si>
  <si>
    <t xml:space="preserve">Health &amp; Dental Insurance in Newfoundland and Labrador</t>
  </si>
  <si>
    <t xml:space="preserve">health insurance newfoundland</t>
  </si>
  <si>
    <t xml:space="preserve">P0183</t>
  </si>
  <si>
    <t xml:space="preserve">https://instasure.ca/health-dental-insurance/northwest-territories/</t>
  </si>
  <si>
    <t xml:space="preserve">Health &amp; Dental Insurance in Northwest Territories: Costs, Rules &amp; Quotes (2026)</t>
  </si>
  <si>
    <t xml:space="preserve">Health &amp; Dental Insurance in Northwest Territories: how it works under the NWT Superintendent, what drives price, instant estimates and a waitlist for licensed…</t>
  </si>
  <si>
    <t xml:space="preserve">Health &amp; Dental Insurance in Northwest Territories</t>
  </si>
  <si>
    <t xml:space="preserve">health &amp; dental insurance northwest territories</t>
  </si>
  <si>
    <t xml:space="preserve">P0184</t>
  </si>
  <si>
    <t xml:space="preserve">https://instasure.ca/health-dental-insurance/nova-scotia/</t>
  </si>
  <si>
    <t xml:space="preserve">Health &amp; Dental Insurance in Nova Scotia: Costs, Rules &amp; Quotes (2026)</t>
  </si>
  <si>
    <t xml:space="preserve">Health &amp; Dental Insurance in Nova Scotia: how it works under the NS Superintendent of Insurance, what drives price, instant estimates and advisors licensed in Nova…</t>
  </si>
  <si>
    <t xml:space="preserve">Health &amp; Dental Insurance in Nova Scotia</t>
  </si>
  <si>
    <t xml:space="preserve">health insurance nova scotia</t>
  </si>
  <si>
    <t xml:space="preserve">P0185</t>
  </si>
  <si>
    <t xml:space="preserve">https://instasure.ca/health-dental-insurance/nunavut/</t>
  </si>
  <si>
    <t xml:space="preserve">Health &amp; Dental Insurance in Nunavut: Costs, Rules &amp; Quotes (2026)</t>
  </si>
  <si>
    <t xml:space="preserve">Health &amp; Dental Insurance in Nunavut: how it works under the Nunavut Superintendent, what drives price, instant estimates and a waitlist for licensed advice in…</t>
  </si>
  <si>
    <t xml:space="preserve">Health &amp; Dental Insurance in Nunavut</t>
  </si>
  <si>
    <t xml:space="preserve">health &amp; dental insurance nunavut</t>
  </si>
  <si>
    <t xml:space="preserve">P0186</t>
  </si>
  <si>
    <t xml:space="preserve">https://instasure.ca/health-dental-insurance/ontario/</t>
  </si>
  <si>
    <t xml:space="preserve">Health &amp; Dental Insurance in Ontario: Costs, Rules &amp; Quotes (2026)</t>
  </si>
  <si>
    <t xml:space="preserve">Health &amp; Dental Insurance in Ontario: how it works under FSRA, what drives price, instant estimates and advisors licensed in Ontario.</t>
  </si>
  <si>
    <t xml:space="preserve">Health &amp; Dental Insurance in Ontario</t>
  </si>
  <si>
    <t xml:space="preserve">health insurance ontario</t>
  </si>
  <si>
    <t xml:space="preserve">P0187</t>
  </si>
  <si>
    <t xml:space="preserve">https://instasure.ca/health-dental-insurance/prince-edward-island/</t>
  </si>
  <si>
    <t xml:space="preserve">Health &amp; Dental Insurance in Prince Edward Island: Costs, Rules &amp; Quotes (2026)</t>
  </si>
  <si>
    <t xml:space="preserve">Health &amp; Dental Insurance in Prince Edward Island: how it works under the PEI Superintendent, what drives price, instant estimates and advisors licensed in Prince…</t>
  </si>
  <si>
    <t xml:space="preserve">Health &amp; Dental Insurance in Prince Edward Island</t>
  </si>
  <si>
    <t xml:space="preserve">health insurance pei</t>
  </si>
  <si>
    <t xml:space="preserve">P0188</t>
  </si>
  <si>
    <t xml:space="preserve">https://instasure.ca/health-dental-insurance/quebec/</t>
  </si>
  <si>
    <t xml:space="preserve">Health &amp; Dental Insurance in Quebec: Costs, Rules &amp; Quotes (2026)</t>
  </si>
  <si>
    <t xml:space="preserve">Health &amp; Dental Insurance in Quebec: how it works under AMF, what drives price, instant estimates and a waitlist for licensed advice in Quebec.</t>
  </si>
  <si>
    <t xml:space="preserve">Health &amp; Dental Insurance in Quebec</t>
  </si>
  <si>
    <t xml:space="preserve">health insurance quebec</t>
  </si>
  <si>
    <t xml:space="preserve">P0189</t>
  </si>
  <si>
    <t xml:space="preserve">https://instasure.ca/health-dental-insurance/saskatchewan/</t>
  </si>
  <si>
    <t xml:space="preserve">Health &amp; Dental Insurance in Saskatchewan: Costs, Rules &amp; Quotes (2026)</t>
  </si>
  <si>
    <t xml:space="preserve">Health &amp; Dental Insurance in Saskatchewan: how it works under FCAA, what drives price, instant estimates and advisors licensed in Saskatchewan.</t>
  </si>
  <si>
    <t xml:space="preserve">Health &amp; Dental Insurance in Saskatchewan</t>
  </si>
  <si>
    <t xml:space="preserve">health insurance saskatchewan</t>
  </si>
  <si>
    <t xml:space="preserve">P0190</t>
  </si>
  <si>
    <t xml:space="preserve">https://instasure.ca/health-dental-insurance/yukon/</t>
  </si>
  <si>
    <t xml:space="preserve">Health &amp; Dental Insurance in Yukon: Costs, Rules &amp; Quotes (2026)</t>
  </si>
  <si>
    <t xml:space="preserve">Health &amp; Dental Insurance in Yukon: how it works under the Yukon Superintendent, what drives price, instant estimates and a waitlist for licensed advice in Yukon.</t>
  </si>
  <si>
    <t xml:space="preserve">Health &amp; Dental Insurance in Yukon</t>
  </si>
  <si>
    <t xml:space="preserve">health &amp; dental insurance yukon</t>
  </si>
  <si>
    <t xml:space="preserve">P0191</t>
  </si>
  <si>
    <t xml:space="preserve">https://instasure.ca/home-insurance/alberta/</t>
  </si>
  <si>
    <t xml:space="preserve">Home Insurance in Alberta: Costs, Rules &amp; Quotes (2026)</t>
  </si>
  <si>
    <t xml:space="preserve">Home Insurance in Alberta: how it works under the Superintendent of Insurance, what drives price, instant estimates and advisors licensed in Alberta.</t>
  </si>
  <si>
    <t xml:space="preserve">Home Insurance in Alberta</t>
  </si>
  <si>
    <t xml:space="preserve">home insurance alberta</t>
  </si>
  <si>
    <t xml:space="preserve">P0192</t>
  </si>
  <si>
    <t xml:space="preserve">https://instasure.ca/home-insurance/british-columbia/</t>
  </si>
  <si>
    <t xml:space="preserve">Home Insurance in British Columbia: Costs, Rules &amp; Quotes (2026)</t>
  </si>
  <si>
    <t xml:space="preserve">Home Insurance in British Columbia: how it works under BCFSA, what drives price, instant estimates and advisors licensed in British Columbia.</t>
  </si>
  <si>
    <t xml:space="preserve">Home Insurance in British Columbia</t>
  </si>
  <si>
    <t xml:space="preserve">home insurance bc</t>
  </si>
  <si>
    <t xml:space="preserve">P0193</t>
  </si>
  <si>
    <t xml:space="preserve">https://instasure.ca/home-insurance/manitoba/</t>
  </si>
  <si>
    <t xml:space="preserve">Home Insurance in Manitoba: Costs, Rules &amp; Quotes (2026)</t>
  </si>
  <si>
    <t xml:space="preserve">Home Insurance in Manitoba: how it works under FIRB, what drives price, instant estimates and advisors licensed in Manitoba.</t>
  </si>
  <si>
    <t xml:space="preserve">Home Insurance in Manitoba</t>
  </si>
  <si>
    <t xml:space="preserve">home insurance manitoba</t>
  </si>
  <si>
    <t xml:space="preserve">P0194</t>
  </si>
  <si>
    <t xml:space="preserve">https://instasure.ca/home-insurance/new-brunswick/</t>
  </si>
  <si>
    <t xml:space="preserve">Home Insurance in New Brunswick: Costs, Rules &amp; Quotes (2026)</t>
  </si>
  <si>
    <t xml:space="preserve">Home Insurance in New Brunswick: how it works under FCNB, what drives price, instant estimates and advisors licensed in New Brunswick.</t>
  </si>
  <si>
    <t xml:space="preserve">Home Insurance in New Brunswick</t>
  </si>
  <si>
    <t xml:space="preserve">home insurance new brunswick</t>
  </si>
  <si>
    <t xml:space="preserve">P0195</t>
  </si>
  <si>
    <t xml:space="preserve">https://instasure.ca/home-insurance/newfoundland-and-labrador/</t>
  </si>
  <si>
    <t xml:space="preserve">Home Insurance in Newfoundland and Labrador: Costs, Rules &amp; Quotes (2026)</t>
  </si>
  <si>
    <t xml:space="preserve">Home Insurance in Newfoundland and Labrador: how it works under Service NL, what drives price, instant estimates and advisors licensed in Newfoundland and Labrador.</t>
  </si>
  <si>
    <t xml:space="preserve">Home Insurance in Newfoundland and Labrador</t>
  </si>
  <si>
    <t xml:space="preserve">home insurance newfoundland</t>
  </si>
  <si>
    <t xml:space="preserve">P0196</t>
  </si>
  <si>
    <t xml:space="preserve">https://instasure.ca/home-insurance/northwest-territories/</t>
  </si>
  <si>
    <t xml:space="preserve">Home Insurance in Northwest Territories: Costs, Rules &amp; Quotes (2026)</t>
  </si>
  <si>
    <t xml:space="preserve">Home Insurance in Northwest Territories: how it works under the NWT Superintendent, what drives price, instant estimates and a waitlist for licensed advice in…</t>
  </si>
  <si>
    <t xml:space="preserve">Home Insurance in Northwest Territories</t>
  </si>
  <si>
    <t xml:space="preserve">home insurance northwest territories</t>
  </si>
  <si>
    <t xml:space="preserve">P0197</t>
  </si>
  <si>
    <t xml:space="preserve">https://instasure.ca/home-insurance/nova-scotia/</t>
  </si>
  <si>
    <t xml:space="preserve">Home Insurance in Nova Scotia: Costs, Rules &amp; Quotes (2026)</t>
  </si>
  <si>
    <t xml:space="preserve">Home Insurance in Nova Scotia: how it works under the NS Superintendent of Insurance, what drives price, instant estimates and advisors licensed in Nova Scotia.</t>
  </si>
  <si>
    <t xml:space="preserve">Home Insurance in Nova Scotia</t>
  </si>
  <si>
    <t xml:space="preserve">home insurance nova scotia</t>
  </si>
  <si>
    <t xml:space="preserve">P0198</t>
  </si>
  <si>
    <t xml:space="preserve">https://instasure.ca/home-insurance/nunavut/</t>
  </si>
  <si>
    <t xml:space="preserve">Home Insurance in Nunavut: Costs, Rules &amp; Quotes (2026)</t>
  </si>
  <si>
    <t xml:space="preserve">Home Insurance in Nunavut: how it works under the Nunavut Superintendent, what drives price, instant estimates and a waitlist for licensed advice in Nunavut.</t>
  </si>
  <si>
    <t xml:space="preserve">Home Insurance in Nunavut</t>
  </si>
  <si>
    <t xml:space="preserve">home insurance nunavut</t>
  </si>
  <si>
    <t xml:space="preserve">P0199</t>
  </si>
  <si>
    <t xml:space="preserve">https://instasure.ca/home-insurance/ontario/</t>
  </si>
  <si>
    <t xml:space="preserve">Home Insurance in Ontario: Costs, Rules &amp; Quotes (2026)</t>
  </si>
  <si>
    <t xml:space="preserve">Home Insurance in Ontario: how it works under FSRA, what drives price, instant estimates and advisors licensed in Ontario.</t>
  </si>
  <si>
    <t xml:space="preserve">Home Insurance in Ontario</t>
  </si>
  <si>
    <t xml:space="preserve">home insurance ontario</t>
  </si>
  <si>
    <t xml:space="preserve">P0200</t>
  </si>
  <si>
    <t xml:space="preserve">https://instasure.ca/home-insurance/prince-edward-island/</t>
  </si>
  <si>
    <t xml:space="preserve">Home Insurance in Prince Edward Island: Costs, Rules &amp; Quotes (2026)</t>
  </si>
  <si>
    <t xml:space="preserve">Home Insurance in Prince Edward Island: how it works under the PEI Superintendent, what drives price, instant estimates and advisors licensed in Prince Edward…</t>
  </si>
  <si>
    <t xml:space="preserve">Home Insurance in Prince Edward Island</t>
  </si>
  <si>
    <t xml:space="preserve">home insurance pei</t>
  </si>
  <si>
    <t xml:space="preserve">P0201</t>
  </si>
  <si>
    <t xml:space="preserve">https://instasure.ca/home-insurance/quebec/</t>
  </si>
  <si>
    <t xml:space="preserve">Home Insurance in Quebec: Costs, Rules &amp; Quotes (2026)</t>
  </si>
  <si>
    <t xml:space="preserve">Home Insurance in Quebec: how it works under AMF, what drives price, instant estimates and a waitlist for licensed advice in Quebec.</t>
  </si>
  <si>
    <t xml:space="preserve">Home Insurance in Quebec</t>
  </si>
  <si>
    <t xml:space="preserve">home insurance quebec</t>
  </si>
  <si>
    <t xml:space="preserve">P0202</t>
  </si>
  <si>
    <t xml:space="preserve">https://instasure.ca/home-insurance/saskatchewan/</t>
  </si>
  <si>
    <t xml:space="preserve">Home Insurance in Saskatchewan: Costs, Rules &amp; Quotes (2026)</t>
  </si>
  <si>
    <t xml:space="preserve">Home Insurance in Saskatchewan: how it works under FCAA, what drives price, instant estimates and advisors licensed in Saskatchewan.</t>
  </si>
  <si>
    <t xml:space="preserve">Home Insurance in Saskatchewan</t>
  </si>
  <si>
    <t xml:space="preserve">home insurance saskatchewan</t>
  </si>
  <si>
    <t xml:space="preserve">P0203</t>
  </si>
  <si>
    <t xml:space="preserve">https://instasure.ca/home-insurance/yukon/</t>
  </si>
  <si>
    <t xml:space="preserve">Home Insurance in Yukon: Costs, Rules &amp; Quotes (2026)</t>
  </si>
  <si>
    <t xml:space="preserve">Home Insurance in Yukon: how it works under the Yukon Superintendent, what drives price, instant estimates and a waitlist for licensed advice in Yukon.</t>
  </si>
  <si>
    <t xml:space="preserve">Home Insurance in Yukon</t>
  </si>
  <si>
    <t xml:space="preserve">home insurance yukon</t>
  </si>
  <si>
    <t xml:space="preserve">P0204</t>
  </si>
  <si>
    <t xml:space="preserve">https://instasure.ca/life-insurance/alberta/</t>
  </si>
  <si>
    <t xml:space="preserve">Life Insurance in Alberta: Costs, Rules &amp; Quotes (2026)</t>
  </si>
  <si>
    <t xml:space="preserve">Life Insurance in Alberta: how it works under the Superintendent of Insurance, what drives price, instant estimates and advisors licensed in Alberta.</t>
  </si>
  <si>
    <t xml:space="preserve">Life Insurance in Alberta</t>
  </si>
  <si>
    <t xml:space="preserve">life insurance alberta</t>
  </si>
  <si>
    <t xml:space="preserve">P0205</t>
  </si>
  <si>
    <t xml:space="preserve">https://instasure.ca/life-insurance/british-columbia/</t>
  </si>
  <si>
    <t xml:space="preserve">Life Insurance in British Columbia: Costs, Rules &amp; Quotes (2026)</t>
  </si>
  <si>
    <t xml:space="preserve">Life Insurance in British Columbia: how it works under BCFSA, what drives price, instant estimates and advisors licensed in British Columbia.</t>
  </si>
  <si>
    <t xml:space="preserve">Life Insurance in British Columbia</t>
  </si>
  <si>
    <t xml:space="preserve">life insurance bc</t>
  </si>
  <si>
    <t xml:space="preserve">P0206</t>
  </si>
  <si>
    <t xml:space="preserve">https://instasure.ca/life-insurance/manitoba/</t>
  </si>
  <si>
    <t xml:space="preserve">Life Insurance in Manitoba: Costs, Rules &amp; Quotes (2026)</t>
  </si>
  <si>
    <t xml:space="preserve">Life Insurance in Manitoba: how it works under FIRB, what drives price, instant estimates and advisors licensed in Manitoba.</t>
  </si>
  <si>
    <t xml:space="preserve">Life Insurance in Manitoba</t>
  </si>
  <si>
    <t xml:space="preserve">life insurance manitoba</t>
  </si>
  <si>
    <t xml:space="preserve">P0207</t>
  </si>
  <si>
    <t xml:space="preserve">https://instasure.ca/life-insurance/new-brunswick/</t>
  </si>
  <si>
    <t xml:space="preserve">Life Insurance in New Brunswick: Costs, Rules &amp; Quotes (2026)</t>
  </si>
  <si>
    <t xml:space="preserve">Life Insurance in New Brunswick: how it works under FCNB, what drives price, instant estimates and advisors licensed in New Brunswick.</t>
  </si>
  <si>
    <t xml:space="preserve">Life Insurance in New Brunswick</t>
  </si>
  <si>
    <t xml:space="preserve">life insurance new brunswick</t>
  </si>
  <si>
    <t xml:space="preserve">P0208</t>
  </si>
  <si>
    <t xml:space="preserve">https://instasure.ca/life-insurance/newfoundland-and-labrador/</t>
  </si>
  <si>
    <t xml:space="preserve">Life Insurance in Newfoundland and Labrador: Costs, Rules &amp; Quotes (2026)</t>
  </si>
  <si>
    <t xml:space="preserve">Life Insurance in Newfoundland and Labrador: how it works under Service NL, what drives price, instant estimates and advisors licensed in Newfoundland and Labrador.</t>
  </si>
  <si>
    <t xml:space="preserve">Life Insurance in Newfoundland and Labrador</t>
  </si>
  <si>
    <t xml:space="preserve">life insurance newfoundland</t>
  </si>
  <si>
    <t xml:space="preserve">P0209</t>
  </si>
  <si>
    <t xml:space="preserve">https://instasure.ca/life-insurance/northwest-territories/</t>
  </si>
  <si>
    <t xml:space="preserve">Life Insurance in Northwest Territories: Costs, Rules &amp; Quotes (2026)</t>
  </si>
  <si>
    <t xml:space="preserve">Life Insurance in Northwest Territories: how it works under the NWT Superintendent, what drives price, instant estimates and a waitlist for licensed advice in…</t>
  </si>
  <si>
    <t xml:space="preserve">Life Insurance in Northwest Territories</t>
  </si>
  <si>
    <t xml:space="preserve">life insurance northwest territories</t>
  </si>
  <si>
    <t xml:space="preserve">P0210</t>
  </si>
  <si>
    <t xml:space="preserve">https://instasure.ca/life-insurance/nova-scotia/</t>
  </si>
  <si>
    <t xml:space="preserve">Life Insurance in Nova Scotia: Costs, Rules &amp; Quotes (2026)</t>
  </si>
  <si>
    <t xml:space="preserve">Life Insurance in Nova Scotia: how it works under the NS Superintendent of Insurance, what drives price, instant estimates and advisors licensed in Nova Scotia.</t>
  </si>
  <si>
    <t xml:space="preserve">Life Insurance in Nova Scotia</t>
  </si>
  <si>
    <t xml:space="preserve">life insurance nova scotia</t>
  </si>
  <si>
    <t xml:space="preserve">P0211</t>
  </si>
  <si>
    <t xml:space="preserve">https://instasure.ca/life-insurance/nunavut/</t>
  </si>
  <si>
    <t xml:space="preserve">Life Insurance in Nunavut: Costs, Rules &amp; Quotes (2026)</t>
  </si>
  <si>
    <t xml:space="preserve">Life Insurance in Nunavut: how it works under the Nunavut Superintendent, what drives price, instant estimates and a waitlist for licensed advice in Nunavut.</t>
  </si>
  <si>
    <t xml:space="preserve">Life Insurance in Nunavut</t>
  </si>
  <si>
    <t xml:space="preserve">life insurance nunavut</t>
  </si>
  <si>
    <t xml:space="preserve">P0212</t>
  </si>
  <si>
    <t xml:space="preserve">https://instasure.ca/life-insurance/ontario/</t>
  </si>
  <si>
    <t xml:space="preserve">Life Insurance in Ontario: Costs, Rules &amp; Quotes (2026)</t>
  </si>
  <si>
    <t xml:space="preserve">Life Insurance in Ontario: how it works under FSRA, what drives price, instant estimates and advisors licensed in Ontario.</t>
  </si>
  <si>
    <t xml:space="preserve">Life Insurance in Ontario</t>
  </si>
  <si>
    <t xml:space="preserve">life insurance ontario</t>
  </si>
  <si>
    <t xml:space="preserve">P0213</t>
  </si>
  <si>
    <t xml:space="preserve">https://instasure.ca/life-insurance/prince-edward-island/</t>
  </si>
  <si>
    <t xml:space="preserve">Life Insurance in Prince Edward Island: Costs, Rules &amp; Quotes (2026)</t>
  </si>
  <si>
    <t xml:space="preserve">Life Insurance in Prince Edward Island: how it works under the PEI Superintendent, what drives price, instant estimates and advisors licensed in Prince Edward…</t>
  </si>
  <si>
    <t xml:space="preserve">Life Insurance in Prince Edward Island</t>
  </si>
  <si>
    <t xml:space="preserve">life insurance prince edward island</t>
  </si>
  <si>
    <t xml:space="preserve">P0214</t>
  </si>
  <si>
    <t xml:space="preserve">https://instasure.ca/life-insurance/quebec/</t>
  </si>
  <si>
    <t xml:space="preserve">Life Insurance in Quebec: Costs, Rules &amp; Quotes (2026)</t>
  </si>
  <si>
    <t xml:space="preserve">Life Insurance in Quebec: how it works under AMF, what drives price, instant estimates and a waitlist for licensed advice in Quebec.</t>
  </si>
  <si>
    <t xml:space="preserve">Life Insurance in Quebec</t>
  </si>
  <si>
    <t xml:space="preserve">life insurance quebec</t>
  </si>
  <si>
    <t xml:space="preserve">P0215</t>
  </si>
  <si>
    <t xml:space="preserve">https://instasure.ca/life-insurance/saskatchewan/</t>
  </si>
  <si>
    <t xml:space="preserve">Life Insurance in Saskatchewan: Costs, Rules &amp; Quotes (2026)</t>
  </si>
  <si>
    <t xml:space="preserve">Life Insurance in Saskatchewan: how it works under FCAA, what drives price, instant estimates and advisors licensed in Saskatchewan.</t>
  </si>
  <si>
    <t xml:space="preserve">Life Insurance in Saskatchewan</t>
  </si>
  <si>
    <t xml:space="preserve">life insurance saskatchewan</t>
  </si>
  <si>
    <t xml:space="preserve">P0216</t>
  </si>
  <si>
    <t xml:space="preserve">https://instasure.ca/life-insurance/yukon/</t>
  </si>
  <si>
    <t xml:space="preserve">Life Insurance in Yukon: Costs, Rules &amp; Quotes (2026)</t>
  </si>
  <si>
    <t xml:space="preserve">Life Insurance in Yukon: how it works under the Yukon Superintendent, what drives price, instant estimates and a waitlist for licensed advice in Yukon.</t>
  </si>
  <si>
    <t xml:space="preserve">Life Insurance in Yukon</t>
  </si>
  <si>
    <t xml:space="preserve">life insurance yukon</t>
  </si>
  <si>
    <t xml:space="preserve">P0217</t>
  </si>
  <si>
    <t xml:space="preserve">https://instasure.ca/mortgage-life-insurance/alberta/</t>
  </si>
  <si>
    <t xml:space="preserve">Mortgage Life Insurance in Alberta: Costs, Rules &amp; Quotes (2026)</t>
  </si>
  <si>
    <t xml:space="preserve">Mortgage Life Insurance in Alberta: how it works under the Superintendent of Insurance, what drives price, instant estimates and advisors licensed in Alberta.</t>
  </si>
  <si>
    <t xml:space="preserve">Mortgage Life Insurance in Alberta</t>
  </si>
  <si>
    <t xml:space="preserve">mortgage life insurance alberta</t>
  </si>
  <si>
    <t xml:space="preserve">P0218</t>
  </si>
  <si>
    <t xml:space="preserve">https://instasure.ca/mortgage-life-insurance/british-columbia/</t>
  </si>
  <si>
    <t xml:space="preserve">Mortgage Life Insurance in British Columbia: Costs, Rules &amp; Quotes (2026)</t>
  </si>
  <si>
    <t xml:space="preserve">Mortgage Life Insurance in British Columbia: how it works under BCFSA, what drives price, instant estimates and advisors licensed in British Columbia.</t>
  </si>
  <si>
    <t xml:space="preserve">Mortgage Life Insurance in British Columbia</t>
  </si>
  <si>
    <t xml:space="preserve">mortgage life insurance bc</t>
  </si>
  <si>
    <t xml:space="preserve">P0219</t>
  </si>
  <si>
    <t xml:space="preserve">https://instasure.ca/mortgage-life-insurance/manitoba/</t>
  </si>
  <si>
    <t xml:space="preserve">Mortgage Life Insurance in Manitoba: Costs, Rules &amp; Quotes (2026)</t>
  </si>
  <si>
    <t xml:space="preserve">Mortgage Life Insurance in Manitoba: how it works under FIRB, what drives price, instant estimates and advisors licensed in Manitoba.</t>
  </si>
  <si>
    <t xml:space="preserve">Mortgage Life Insurance in Manitoba</t>
  </si>
  <si>
    <t xml:space="preserve">mortgage life insurance manitoba</t>
  </si>
  <si>
    <t xml:space="preserve">P0220</t>
  </si>
  <si>
    <t xml:space="preserve">https://instasure.ca/mortgage-life-insurance/new-brunswick/</t>
  </si>
  <si>
    <t xml:space="preserve">Mortgage Life Insurance in New Brunswick: Costs, Rules &amp; Quotes (2026)</t>
  </si>
  <si>
    <t xml:space="preserve">Mortgage Life Insurance in New Brunswick: how it works under FCNB, what drives price, instant estimates and advisors licensed in New Brunswick.</t>
  </si>
  <si>
    <t xml:space="preserve">Mortgage Life Insurance in New Brunswick</t>
  </si>
  <si>
    <t xml:space="preserve">mortgage life insurance new brunswick</t>
  </si>
  <si>
    <t xml:space="preserve">P0221</t>
  </si>
  <si>
    <t xml:space="preserve">https://instasure.ca/mortgage-life-insurance/newfoundland-and-labrador/</t>
  </si>
  <si>
    <t xml:space="preserve">Mortgage Life Insurance in Newfoundland and Labrador: Costs, Rules &amp; Quotes (2026)</t>
  </si>
  <si>
    <t xml:space="preserve">Mortgage Life Insurance in Newfoundland and Labrador: how it works under Service NL, what drives price, instant estimates and advisors licensed in Newfoundland and…</t>
  </si>
  <si>
    <t xml:space="preserve">Mortgage Life Insurance in Newfoundland and Labrador</t>
  </si>
  <si>
    <t xml:space="preserve">mortgage life insurance newfoundland and labrador</t>
  </si>
  <si>
    <t xml:space="preserve">P0222</t>
  </si>
  <si>
    <t xml:space="preserve">https://instasure.ca/mortgage-life-insurance/northwest-territories/</t>
  </si>
  <si>
    <t xml:space="preserve">Mortgage Life Insurance in Northwest Territories: Costs, Rules &amp; Quotes (2026)</t>
  </si>
  <si>
    <t xml:space="preserve">Mortgage Life Insurance in Northwest Territories: how it works under the NWT Superintendent, what drives price, instant estimates and a waitlist for licensed…</t>
  </si>
  <si>
    <t xml:space="preserve">Mortgage Life Insurance in Northwest Territories</t>
  </si>
  <si>
    <t xml:space="preserve">mortgage life insurance northwest territories</t>
  </si>
  <si>
    <t xml:space="preserve">P0223</t>
  </si>
  <si>
    <t xml:space="preserve">https://instasure.ca/mortgage-life-insurance/nova-scotia/</t>
  </si>
  <si>
    <t xml:space="preserve">Mortgage Life Insurance in Nova Scotia: Costs, Rules &amp; Quotes (2026)</t>
  </si>
  <si>
    <t xml:space="preserve">Mortgage Life Insurance in Nova Scotia: how it works under the NS Superintendent of Insurance, what drives price, instant estimates and advisors licensed in Nova…</t>
  </si>
  <si>
    <t xml:space="preserve">Mortgage Life Insurance in Nova Scotia</t>
  </si>
  <si>
    <t xml:space="preserve">mortgage life insurance nova scotia</t>
  </si>
  <si>
    <t xml:space="preserve">P0224</t>
  </si>
  <si>
    <t xml:space="preserve">https://instasure.ca/mortgage-life-insurance/nunavut/</t>
  </si>
  <si>
    <t xml:space="preserve">Mortgage Life Insurance in Nunavut: Costs, Rules &amp; Quotes (2026)</t>
  </si>
  <si>
    <t xml:space="preserve">Mortgage Life Insurance in Nunavut: how it works under the Nunavut Superintendent, what drives price, instant estimates and a waitlist for licensed advice in…</t>
  </si>
  <si>
    <t xml:space="preserve">Mortgage Life Insurance in Nunavut</t>
  </si>
  <si>
    <t xml:space="preserve">mortgage life insurance nunavut</t>
  </si>
  <si>
    <t xml:space="preserve">P0225</t>
  </si>
  <si>
    <t xml:space="preserve">https://instasure.ca/mortgage-life-insurance/ontario/</t>
  </si>
  <si>
    <t xml:space="preserve">Mortgage Life Insurance in Ontario: Costs, Rules &amp; Quotes (2026)</t>
  </si>
  <si>
    <t xml:space="preserve">Mortgage Life Insurance in Ontario: how it works under FSRA, what drives price, instant estimates and advisors licensed in Ontario.</t>
  </si>
  <si>
    <t xml:space="preserve">Mortgage Life Insurance in Ontario</t>
  </si>
  <si>
    <t xml:space="preserve">mortgage life insurance ontario</t>
  </si>
  <si>
    <t xml:space="preserve">P0226</t>
  </si>
  <si>
    <t xml:space="preserve">https://instasure.ca/mortgage-life-insurance/prince-edward-island/</t>
  </si>
  <si>
    <t xml:space="preserve">Mortgage Life Insurance in Prince Edward Island: Costs, Rules &amp; Quotes (2026)</t>
  </si>
  <si>
    <t xml:space="preserve">Mortgage Life Insurance in Prince Edward Island: how it works under the PEI Superintendent, what drives price, instant estimates and advisors licensed in Prince…</t>
  </si>
  <si>
    <t xml:space="preserve">Mortgage Life Insurance in Prince Edward Island</t>
  </si>
  <si>
    <t xml:space="preserve">mortgage life insurance prince edward island</t>
  </si>
  <si>
    <t xml:space="preserve">P0227</t>
  </si>
  <si>
    <t xml:space="preserve">https://instasure.ca/mortgage-life-insurance/quebec/</t>
  </si>
  <si>
    <t xml:space="preserve">Mortgage Life Insurance in Quebec: Costs, Rules &amp; Quotes (2026)</t>
  </si>
  <si>
    <t xml:space="preserve">Mortgage Life Insurance in Quebec: how it works under AMF, what drives price, instant estimates and a waitlist for licensed advice in Quebec.</t>
  </si>
  <si>
    <t xml:space="preserve">Mortgage Life Insurance in Quebec</t>
  </si>
  <si>
    <t xml:space="preserve">mortgage life insurance quebec</t>
  </si>
  <si>
    <t xml:space="preserve">P0228</t>
  </si>
  <si>
    <t xml:space="preserve">https://instasure.ca/mortgage-life-insurance/saskatchewan/</t>
  </si>
  <si>
    <t xml:space="preserve">Mortgage Life Insurance in Saskatchewan: Costs, Rules &amp; Quotes (2026)</t>
  </si>
  <si>
    <t xml:space="preserve">Mortgage Life Insurance in Saskatchewan: how it works under FCAA, what drives price, instant estimates and advisors licensed in Saskatchewan.</t>
  </si>
  <si>
    <t xml:space="preserve">Mortgage Life Insurance in Saskatchewan</t>
  </si>
  <si>
    <t xml:space="preserve">mortgage life insurance saskatchewan</t>
  </si>
  <si>
    <t xml:space="preserve">P0229</t>
  </si>
  <si>
    <t xml:space="preserve">https://instasure.ca/mortgage-life-insurance/yukon/</t>
  </si>
  <si>
    <t xml:space="preserve">Mortgage Life Insurance in Yukon: Costs, Rules &amp; Quotes (2026)</t>
  </si>
  <si>
    <t xml:space="preserve">Mortgage Life Insurance in Yukon: how it works under the Yukon Superintendent, what drives price, instant estimates and a waitlist for licensed advice in Yukon.</t>
  </si>
  <si>
    <t xml:space="preserve">Mortgage Life Insurance in Yukon</t>
  </si>
  <si>
    <t xml:space="preserve">mortgage life insurance yukon</t>
  </si>
  <si>
    <t xml:space="preserve">P0230</t>
  </si>
  <si>
    <t xml:space="preserve">https://instasure.ca/no-medical-life-insurance/alberta/</t>
  </si>
  <si>
    <t xml:space="preserve">No-Medical Life Insurance in Alberta: Costs, Rules &amp; Quotes (2026)</t>
  </si>
  <si>
    <t xml:space="preserve">No-Medical Life Insurance in Alberta: how it works under the Superintendent of Insurance, what drives price, instant estimates and advisors licensed in Alberta.</t>
  </si>
  <si>
    <t xml:space="preserve">No-Medical Life Insurance in Alberta</t>
  </si>
  <si>
    <t xml:space="preserve">no-medical life insurance alberta</t>
  </si>
  <si>
    <t xml:space="preserve">P0231</t>
  </si>
  <si>
    <t xml:space="preserve">https://instasure.ca/no-medical-life-insurance/british-columbia/</t>
  </si>
  <si>
    <t xml:space="preserve">No-Medical Life Insurance in British Columbia: Costs, Rules &amp; Quotes (2026)</t>
  </si>
  <si>
    <t xml:space="preserve">No-Medical Life Insurance in British Columbia: how it works under BCFSA, what drives price, instant estimates and advisors licensed in British Columbia.</t>
  </si>
  <si>
    <t xml:space="preserve">No-Medical Life Insurance in British Columbia</t>
  </si>
  <si>
    <t xml:space="preserve">no-medical life insurance british columbia</t>
  </si>
  <si>
    <t xml:space="preserve">P0232</t>
  </si>
  <si>
    <t xml:space="preserve">https://instasure.ca/no-medical-life-insurance/manitoba/</t>
  </si>
  <si>
    <t xml:space="preserve">No-Medical Life Insurance in Manitoba: Costs, Rules &amp; Quotes (2026)</t>
  </si>
  <si>
    <t xml:space="preserve">No-Medical Life Insurance in Manitoba: how it works under FIRB, what drives price, instant estimates and advisors licensed in Manitoba.</t>
  </si>
  <si>
    <t xml:space="preserve">No-Medical Life Insurance in Manitoba</t>
  </si>
  <si>
    <t xml:space="preserve">no-medical life insurance manitoba</t>
  </si>
  <si>
    <t xml:space="preserve">P0233</t>
  </si>
  <si>
    <t xml:space="preserve">https://instasure.ca/no-medical-life-insurance/new-brunswick/</t>
  </si>
  <si>
    <t xml:space="preserve">No-Medical Life Insurance in New Brunswick: Costs, Rules &amp; Quotes (2026)</t>
  </si>
  <si>
    <t xml:space="preserve">No-Medical Life Insurance in New Brunswick: how it works under FCNB, what drives price, instant estimates and advisors licensed in New Brunswick.</t>
  </si>
  <si>
    <t xml:space="preserve">No-Medical Life Insurance in New Brunswick</t>
  </si>
  <si>
    <t xml:space="preserve">no-medical life insurance new brunswick</t>
  </si>
  <si>
    <t xml:space="preserve">P0234</t>
  </si>
  <si>
    <t xml:space="preserve">https://instasure.ca/no-medical-life-insurance/newfoundland-and-labrador/</t>
  </si>
  <si>
    <t xml:space="preserve">No-Medical Life Insurance in Newfoundland and Labrador: Costs, Rules &amp; Quotes (2026)</t>
  </si>
  <si>
    <t xml:space="preserve">No-Medical Life Insurance in Newfoundland and Labrador: how it works under Service NL, what drives price, instant estimates and advisors licensed in Newfoundland…</t>
  </si>
  <si>
    <t xml:space="preserve">No-Medical Life Insurance in Newfoundland and Labrador</t>
  </si>
  <si>
    <t xml:space="preserve">no-medical life insurance newfoundland and labrador</t>
  </si>
  <si>
    <t xml:space="preserve">P0235</t>
  </si>
  <si>
    <t xml:space="preserve">https://instasure.ca/no-medical-life-insurance/northwest-territories/</t>
  </si>
  <si>
    <t xml:space="preserve">No-Medical Life Insurance in Northwest Territories: Costs, Rules &amp; Quotes (2026)</t>
  </si>
  <si>
    <t xml:space="preserve">No-Medical Life Insurance in Northwest Territories: how it works under the NWT Superintendent, what drives price, instant estimates and a waitlist for licensed…</t>
  </si>
  <si>
    <t xml:space="preserve">No-Medical Life Insurance in Northwest Territories</t>
  </si>
  <si>
    <t xml:space="preserve">no-medical life insurance northwest territories</t>
  </si>
  <si>
    <t xml:space="preserve">P0236</t>
  </si>
  <si>
    <t xml:space="preserve">https://instasure.ca/no-medical-life-insurance/nova-scotia/</t>
  </si>
  <si>
    <t xml:space="preserve">No-Medical Life Insurance in Nova Scotia: Costs, Rules &amp; Quotes (2026)</t>
  </si>
  <si>
    <t xml:space="preserve">No-Medical Life Insurance in Nova Scotia: how it works under the NS Superintendent of Insurance, what drives price, instant estimates and advisors licensed in Nova…</t>
  </si>
  <si>
    <t xml:space="preserve">No-Medical Life Insurance in Nova Scotia</t>
  </si>
  <si>
    <t xml:space="preserve">no-medical life insurance nova scotia</t>
  </si>
  <si>
    <t xml:space="preserve">P0237</t>
  </si>
  <si>
    <t xml:space="preserve">https://instasure.ca/no-medical-life-insurance/nunavut/</t>
  </si>
  <si>
    <t xml:space="preserve">No-Medical Life Insurance in Nunavut: Costs, Rules &amp; Quotes (2026)</t>
  </si>
  <si>
    <t xml:space="preserve">No-Medical Life Insurance in Nunavut: how it works under the Nunavut Superintendent, what drives price, instant estimates and a waitlist for licensed advice in…</t>
  </si>
  <si>
    <t xml:space="preserve">No-Medical Life Insurance in Nunavut</t>
  </si>
  <si>
    <t xml:space="preserve">no-medical life insurance nunavut</t>
  </si>
  <si>
    <t xml:space="preserve">P0238</t>
  </si>
  <si>
    <t xml:space="preserve">https://instasure.ca/no-medical-life-insurance/ontario/</t>
  </si>
  <si>
    <t xml:space="preserve">No-Medical Life Insurance in Ontario: Costs, Rules &amp; Quotes (2026)</t>
  </si>
  <si>
    <t xml:space="preserve">No-Medical Life Insurance in Ontario: how it works under FSRA, what drives price, instant estimates and advisors licensed in Ontario.</t>
  </si>
  <si>
    <t xml:space="preserve">No-Medical Life Insurance in Ontario</t>
  </si>
  <si>
    <t xml:space="preserve">no-medical life insurance ontario</t>
  </si>
  <si>
    <t xml:space="preserve">P0239</t>
  </si>
  <si>
    <t xml:space="preserve">https://instasure.ca/no-medical-life-insurance/prince-edward-island/</t>
  </si>
  <si>
    <t xml:space="preserve">No-Medical Life Insurance in Prince Edward Island: Costs, Rules &amp; Quotes (2026)</t>
  </si>
  <si>
    <t xml:space="preserve">No-Medical Life Insurance in Prince Edward Island: how it works under the PEI Superintendent, what drives price, instant estimates and advisors licensed in Prince…</t>
  </si>
  <si>
    <t xml:space="preserve">No-Medical Life Insurance in Prince Edward Island</t>
  </si>
  <si>
    <t xml:space="preserve">no-medical life insurance prince edward island</t>
  </si>
  <si>
    <t xml:space="preserve">P0240</t>
  </si>
  <si>
    <t xml:space="preserve">https://instasure.ca/no-medical-life-insurance/quebec/</t>
  </si>
  <si>
    <t xml:space="preserve">No-Medical Life Insurance in Quebec: Costs, Rules &amp; Quotes (2026)</t>
  </si>
  <si>
    <t xml:space="preserve">No-Medical Life Insurance in Quebec: how it works under AMF, what drives price, instant estimates and a waitlist for licensed advice in Quebec.</t>
  </si>
  <si>
    <t xml:space="preserve">No-Medical Life Insurance in Quebec</t>
  </si>
  <si>
    <t xml:space="preserve">no-medical life insurance quebec</t>
  </si>
  <si>
    <t xml:space="preserve">P0241</t>
  </si>
  <si>
    <t xml:space="preserve">https://instasure.ca/no-medical-life-insurance/saskatchewan/</t>
  </si>
  <si>
    <t xml:space="preserve">No-Medical Life Insurance in Saskatchewan: Costs, Rules &amp; Quotes (2026)</t>
  </si>
  <si>
    <t xml:space="preserve">No-Medical Life Insurance in Saskatchewan: how it works under FCAA, what drives price, instant estimates and advisors licensed in Saskatchewan.</t>
  </si>
  <si>
    <t xml:space="preserve">No-Medical Life Insurance in Saskatchewan</t>
  </si>
  <si>
    <t xml:space="preserve">no-medical life insurance saskatchewan</t>
  </si>
  <si>
    <t xml:space="preserve">P0242</t>
  </si>
  <si>
    <t xml:space="preserve">https://instasure.ca/no-medical-life-insurance/yukon/</t>
  </si>
  <si>
    <t xml:space="preserve">No-Medical Life Insurance in Yukon: Costs, Rules &amp; Quotes (2026)</t>
  </si>
  <si>
    <t xml:space="preserve">No-Medical Life Insurance in Yukon: how it works under the Yukon Superintendent, what drives price, instant estimates and a waitlist for licensed advice in Yukon.</t>
  </si>
  <si>
    <t xml:space="preserve">No-Medical Life Insurance in Yukon</t>
  </si>
  <si>
    <t xml:space="preserve">no-medical life insurance yukon</t>
  </si>
  <si>
    <t xml:space="preserve">P0243</t>
  </si>
  <si>
    <t xml:space="preserve">https://instasure.ca/professional-liability-insurance/alberta/</t>
  </si>
  <si>
    <t xml:space="preserve">Professional Liability (E&amp;O) Insurance in Alberta: Costs, Rules &amp; Quotes (2026)</t>
  </si>
  <si>
    <t xml:space="preserve">Professional Liability (E&amp;O) Insurance in Alberta: how it works under the Superintendent of Insurance, what drives price, instant estimates and advisors licensed…</t>
  </si>
  <si>
    <t xml:space="preserve">Professional Liability (E&amp;O) Insurance in Alberta</t>
  </si>
  <si>
    <t xml:space="preserve">professional liability insurance alberta</t>
  </si>
  <si>
    <t xml:space="preserve">P0244</t>
  </si>
  <si>
    <t xml:space="preserve">https://instasure.ca/professional-liability-insurance/british-columbia/</t>
  </si>
  <si>
    <t xml:space="preserve">Professional Liability (E&amp;O) Insurance in British Columbia: Costs, Rules &amp; Quotes (2026)</t>
  </si>
  <si>
    <t xml:space="preserve">Professional Liability (E&amp;O) Insurance in British Columbia: how it works under BCFSA, what drives price, instant estimates and advisors licensed in British Columbia.</t>
  </si>
  <si>
    <t xml:space="preserve">Professional Liability (E&amp;O) Insurance in British Columbia</t>
  </si>
  <si>
    <t xml:space="preserve">professional liability insurance british columbia</t>
  </si>
  <si>
    <t xml:space="preserve">P0245</t>
  </si>
  <si>
    <t xml:space="preserve">https://instasure.ca/professional-liability-insurance/manitoba/</t>
  </si>
  <si>
    <t xml:space="preserve">Professional Liability (E&amp;O) Insurance in Manitoba: Costs, Rules &amp; Quotes (2026)</t>
  </si>
  <si>
    <t xml:space="preserve">Professional Liability (E&amp;O) Insurance in Manitoba: how it works under FIRB, what drives price, instant estimates and advisors licensed in Manitoba.</t>
  </si>
  <si>
    <t xml:space="preserve">Professional Liability (E&amp;O) Insurance in Manitoba</t>
  </si>
  <si>
    <t xml:space="preserve">professional liability insurance manitoba</t>
  </si>
  <si>
    <t xml:space="preserve">P0246</t>
  </si>
  <si>
    <t xml:space="preserve">https://instasure.ca/professional-liability-insurance/new-brunswick/</t>
  </si>
  <si>
    <t xml:space="preserve">Professional Liability (E&amp;O) Insurance in New Brunswick: Costs, Rules &amp; Quotes (2026)</t>
  </si>
  <si>
    <t xml:space="preserve">Professional Liability (E&amp;O) Insurance in New Brunswick: how it works under FCNB, what drives price, instant estimates and advisors licensed in New Brunswick.</t>
  </si>
  <si>
    <t xml:space="preserve">Professional Liability (E&amp;O) Insurance in New Brunswick</t>
  </si>
  <si>
    <t xml:space="preserve">professional liability insurance new brunswick</t>
  </si>
  <si>
    <t xml:space="preserve">P0247</t>
  </si>
  <si>
    <t xml:space="preserve">https://instasure.ca/professional-liability-insurance/newfoundland-and-labrador/</t>
  </si>
  <si>
    <t xml:space="preserve">Professional Liability (E&amp;O) Insurance in Newfoundland and Labrador: Costs, Rules &amp; Quotes (2026)</t>
  </si>
  <si>
    <t xml:space="preserve">Professional Liability (E&amp;O) Insurance in Newfoundland and Labrador: how it works under Service NL, what drives price, instant estimates and advisors licensed in…</t>
  </si>
  <si>
    <t xml:space="preserve">Professional Liability (E&amp;O) Insurance in Newfoundland and Labrador</t>
  </si>
  <si>
    <t xml:space="preserve">professional liability insurance newfoundland and labrador</t>
  </si>
  <si>
    <t xml:space="preserve">P0248</t>
  </si>
  <si>
    <t xml:space="preserve">https://instasure.ca/professional-liability-insurance/northwest-territories/</t>
  </si>
  <si>
    <t xml:space="preserve">Professional Liability (E&amp;O) Insurance in Northwest Territories: Costs, Rules &amp; Quotes (2026)</t>
  </si>
  <si>
    <t xml:space="preserve">Professional Liability (E&amp;O) Insurance in Northwest Territories: how it works under the NWT Superintendent, what drives price, instant estimates and a waitlist for…</t>
  </si>
  <si>
    <t xml:space="preserve">Professional Liability (E&amp;O) Insurance in Northwest Territories</t>
  </si>
  <si>
    <t xml:space="preserve">professional liability insurance northwest territories</t>
  </si>
  <si>
    <t xml:space="preserve">P0249</t>
  </si>
  <si>
    <t xml:space="preserve">https://instasure.ca/professional-liability-insurance/nova-scotia/</t>
  </si>
  <si>
    <t xml:space="preserve">Professional Liability (E&amp;O) Insurance in Nova Scotia: Costs, Rules &amp; Quotes (2026)</t>
  </si>
  <si>
    <t xml:space="preserve">Professional Liability (E&amp;O) Insurance in Nova Scotia: how it works under the NS Superintendent of Insurance, what drives price, instant estimates and advisors…</t>
  </si>
  <si>
    <t xml:space="preserve">Professional Liability (E&amp;O) Insurance in Nova Scotia</t>
  </si>
  <si>
    <t xml:space="preserve">professional liability insurance nova scotia</t>
  </si>
  <si>
    <t xml:space="preserve">P0250</t>
  </si>
  <si>
    <t xml:space="preserve">https://instasure.ca/professional-liability-insurance/nunavut/</t>
  </si>
  <si>
    <t xml:space="preserve">Professional Liability (E&amp;O) Insurance in Nunavut: Costs, Rules &amp; Quotes (2026)</t>
  </si>
  <si>
    <t xml:space="preserve">Professional Liability (E&amp;O) Insurance in Nunavut: how it works under the Nunavut Superintendent, what drives price, instant estimates and a waitlist for licensed…</t>
  </si>
  <si>
    <t xml:space="preserve">Professional Liability (E&amp;O) Insurance in Nunavut</t>
  </si>
  <si>
    <t xml:space="preserve">professional liability insurance nunavut</t>
  </si>
  <si>
    <t xml:space="preserve">P0251</t>
  </si>
  <si>
    <t xml:space="preserve">https://instasure.ca/professional-liability-insurance/ontario/</t>
  </si>
  <si>
    <t xml:space="preserve">Professional Liability (E&amp;O) Insurance in Ontario: Costs, Rules &amp; Quotes (2026)</t>
  </si>
  <si>
    <t xml:space="preserve">Professional Liability (E&amp;O) Insurance in Ontario: how it works under FSRA, what drives price, instant estimates and advisors licensed in Ontario.</t>
  </si>
  <si>
    <t xml:space="preserve">Professional Liability (E&amp;O) Insurance in Ontario</t>
  </si>
  <si>
    <t xml:space="preserve">professional liability insurance ontario</t>
  </si>
  <si>
    <t xml:space="preserve">P0252</t>
  </si>
  <si>
    <t xml:space="preserve">https://instasure.ca/professional-liability-insurance/prince-edward-island/</t>
  </si>
  <si>
    <t xml:space="preserve">Professional Liability (E&amp;O) Insurance in Prince Edward Island: Costs, Rules &amp; Quotes (2026)</t>
  </si>
  <si>
    <t xml:space="preserve">Professional Liability (E&amp;O) Insurance in Prince Edward Island: how it works under the PEI Superintendent, what drives price, instant estimates and advisors…</t>
  </si>
  <si>
    <t xml:space="preserve">Professional Liability (E&amp;O) Insurance in Prince Edward Island</t>
  </si>
  <si>
    <t xml:space="preserve">professional liability insurance prince edward island</t>
  </si>
  <si>
    <t xml:space="preserve">P0253</t>
  </si>
  <si>
    <t xml:space="preserve">https://instasure.ca/professional-liability-insurance/quebec/</t>
  </si>
  <si>
    <t xml:space="preserve">Professional Liability (E&amp;O) Insurance in Quebec: Costs, Rules &amp; Quotes (2026)</t>
  </si>
  <si>
    <t xml:space="preserve">Professional Liability (E&amp;O) Insurance in Quebec: how it works under AMF, what drives price, instant estimates and a waitlist for licensed advice in Quebec.</t>
  </si>
  <si>
    <t xml:space="preserve">Professional Liability (E&amp;O) Insurance in Quebec</t>
  </si>
  <si>
    <t xml:space="preserve">professional liability insurance quebec</t>
  </si>
  <si>
    <t xml:space="preserve">P0254</t>
  </si>
  <si>
    <t xml:space="preserve">https://instasure.ca/professional-liability-insurance/saskatchewan/</t>
  </si>
  <si>
    <t xml:space="preserve">Professional Liability (E&amp;O) Insurance in Saskatchewan: Costs, Rules &amp; Quotes (2026)</t>
  </si>
  <si>
    <t xml:space="preserve">Professional Liability (E&amp;O) Insurance in Saskatchewan: how it works under FCAA, what drives price, instant estimates and advisors licensed in Saskatchewan.</t>
  </si>
  <si>
    <t xml:space="preserve">Professional Liability (E&amp;O) Insurance in Saskatchewan</t>
  </si>
  <si>
    <t xml:space="preserve">professional liability insurance saskatchewan</t>
  </si>
  <si>
    <t xml:space="preserve">P0255</t>
  </si>
  <si>
    <t xml:space="preserve">https://instasure.ca/professional-liability-insurance/yukon/</t>
  </si>
  <si>
    <t xml:space="preserve">Professional Liability (E&amp;O) Insurance in Yukon: Costs, Rules &amp; Quotes (2026)</t>
  </si>
  <si>
    <t xml:space="preserve">Professional Liability (E&amp;O) Insurance in Yukon: how it works under the Yukon Superintendent, what drives price, instant estimates and a waitlist for licensed…</t>
  </si>
  <si>
    <t xml:space="preserve">Professional Liability (E&amp;O) Insurance in Yukon</t>
  </si>
  <si>
    <t xml:space="preserve">professional liability insurance yukon</t>
  </si>
  <si>
    <t xml:space="preserve">P0256</t>
  </si>
  <si>
    <t xml:space="preserve">https://instasure.ca/super-visa-insurance/alberta/</t>
  </si>
  <si>
    <t xml:space="preserve">Super Visa Insurance in Alberta: Costs, Rules &amp; Quotes (2026)</t>
  </si>
  <si>
    <t xml:space="preserve">Super Visa Insurance in Alberta: how it works under the Superintendent of Insurance, what drives price, instant estimates and advisors licensed in Alberta.</t>
  </si>
  <si>
    <t xml:space="preserve">Super Visa Insurance in Alberta</t>
  </si>
  <si>
    <t xml:space="preserve">super visa insurance alberta</t>
  </si>
  <si>
    <t xml:space="preserve">P0257</t>
  </si>
  <si>
    <t xml:space="preserve">https://instasure.ca/super-visa-insurance/british-columbia/</t>
  </si>
  <si>
    <t xml:space="preserve">Super Visa Insurance in British Columbia: Costs, Rules &amp; Quotes (2026)</t>
  </si>
  <si>
    <t xml:space="preserve">Super Visa Insurance in British Columbia: how it works under BCFSA, what drives price, instant estimates and advisors licensed in British Columbia.</t>
  </si>
  <si>
    <t xml:space="preserve">Super Visa Insurance in British Columbia</t>
  </si>
  <si>
    <t xml:space="preserve">super visa insurance bc</t>
  </si>
  <si>
    <t xml:space="preserve">P0258</t>
  </si>
  <si>
    <t xml:space="preserve">https://instasure.ca/super-visa-insurance/manitoba/</t>
  </si>
  <si>
    <t xml:space="preserve">Super Visa Insurance in Manitoba: Costs, Rules &amp; Quotes (2026)</t>
  </si>
  <si>
    <t xml:space="preserve">Super Visa Insurance in Manitoba: how it works under FIRB, what drives price, instant estimates and advisors licensed in Manitoba.</t>
  </si>
  <si>
    <t xml:space="preserve">Super Visa Insurance in Manitoba</t>
  </si>
  <si>
    <t xml:space="preserve">super visa insurance manitoba</t>
  </si>
  <si>
    <t xml:space="preserve">P0259</t>
  </si>
  <si>
    <t xml:space="preserve">https://instasure.ca/super-visa-insurance/new-brunswick/</t>
  </si>
  <si>
    <t xml:space="preserve">Super Visa Insurance in New Brunswick: Costs, Rules &amp; Quotes (2026)</t>
  </si>
  <si>
    <t xml:space="preserve">Super Visa Insurance in New Brunswick: how it works under FCNB, what drives price, instant estimates and advisors licensed in New Brunswick.</t>
  </si>
  <si>
    <t xml:space="preserve">Super Visa Insurance in New Brunswick</t>
  </si>
  <si>
    <t xml:space="preserve">super visa insurance new brunswick</t>
  </si>
  <si>
    <t xml:space="preserve">P0260</t>
  </si>
  <si>
    <t xml:space="preserve">https://instasure.ca/super-visa-insurance/newfoundland-and-labrador/</t>
  </si>
  <si>
    <t xml:space="preserve">Super Visa Insurance in Newfoundland and Labrador: Costs, Rules &amp; Quotes (2026)</t>
  </si>
  <si>
    <t xml:space="preserve">Super Visa Insurance in Newfoundland and Labrador: how it works under Service NL, what drives price, instant estimates and advisors licensed in Newfoundland and…</t>
  </si>
  <si>
    <t xml:space="preserve">Super Visa Insurance in Newfoundland and Labrador</t>
  </si>
  <si>
    <t xml:space="preserve">super visa insurance newfoundland</t>
  </si>
  <si>
    <t xml:space="preserve">P0261</t>
  </si>
  <si>
    <t xml:space="preserve">https://instasure.ca/super-visa-insurance/northwest-territories/</t>
  </si>
  <si>
    <t xml:space="preserve">Super Visa Insurance in Northwest Territories: Costs, Rules &amp; Quotes (2026)</t>
  </si>
  <si>
    <t xml:space="preserve">Super Visa Insurance in Northwest Territories: how it works under the NWT Superintendent, what drives price, instant estimates and a waitlist for licensed advice…</t>
  </si>
  <si>
    <t xml:space="preserve">Super Visa Insurance in Northwest Territories</t>
  </si>
  <si>
    <t xml:space="preserve">super visa insurance northwest territories</t>
  </si>
  <si>
    <t xml:space="preserve">P0262</t>
  </si>
  <si>
    <t xml:space="preserve">https://instasure.ca/super-visa-insurance/nova-scotia/</t>
  </si>
  <si>
    <t xml:space="preserve">Super Visa Insurance in Nova Scotia: Costs, Rules &amp; Quotes (2026)</t>
  </si>
  <si>
    <t xml:space="preserve">Super Visa Insurance in Nova Scotia: how it works under the NS Superintendent of Insurance, what drives price, instant estimates and advisors licensed in Nova…</t>
  </si>
  <si>
    <t xml:space="preserve">Super Visa Insurance in Nova Scotia</t>
  </si>
  <si>
    <t xml:space="preserve">super visa insurance nova scotia</t>
  </si>
  <si>
    <t xml:space="preserve">P0263</t>
  </si>
  <si>
    <t xml:space="preserve">https://instasure.ca/super-visa-insurance/nunavut/</t>
  </si>
  <si>
    <t xml:space="preserve">Super Visa Insurance in Nunavut: Costs, Rules &amp; Quotes (2026)</t>
  </si>
  <si>
    <t xml:space="preserve">Super Visa Insurance in Nunavut: how it works under the Nunavut Superintendent, what drives price, instant estimates and a waitlist for licensed advice in Nunavut.</t>
  </si>
  <si>
    <t xml:space="preserve">Super Visa Insurance in Nunavut</t>
  </si>
  <si>
    <t xml:space="preserve">super visa insurance nunavut</t>
  </si>
  <si>
    <t xml:space="preserve">P0264</t>
  </si>
  <si>
    <t xml:space="preserve">https://instasure.ca/super-visa-insurance/ontario/</t>
  </si>
  <si>
    <t xml:space="preserve">Super Visa Insurance in Ontario: Costs, Rules &amp; Quotes (2026)</t>
  </si>
  <si>
    <t xml:space="preserve">Super Visa Insurance in Ontario: how it works under FSRA, what drives price, instant estimates and advisors licensed in Ontario.</t>
  </si>
  <si>
    <t xml:space="preserve">Super Visa Insurance in Ontario</t>
  </si>
  <si>
    <t xml:space="preserve">super visa insurance ontario</t>
  </si>
  <si>
    <t xml:space="preserve">P0265</t>
  </si>
  <si>
    <t xml:space="preserve">https://instasure.ca/super-visa-insurance/prince-edward-island/</t>
  </si>
  <si>
    <t xml:space="preserve">Super Visa Insurance in Prince Edward Island: Costs, Rules &amp; Quotes (2026)</t>
  </si>
  <si>
    <t xml:space="preserve">Super Visa Insurance in Prince Edward Island: how it works under the PEI Superintendent, what drives price, instant estimates and advisors licensed in Prince…</t>
  </si>
  <si>
    <t xml:space="preserve">Super Visa Insurance in Prince Edward Island</t>
  </si>
  <si>
    <t xml:space="preserve">super visa insurance prince edward island</t>
  </si>
  <si>
    <t xml:space="preserve">P0266</t>
  </si>
  <si>
    <t xml:space="preserve">https://instasure.ca/super-visa-insurance/quebec/</t>
  </si>
  <si>
    <t xml:space="preserve">Super Visa Insurance in Quebec: Costs, Rules &amp; Quotes (2026)</t>
  </si>
  <si>
    <t xml:space="preserve">Super Visa Insurance in Quebec: how it works under AMF, what drives price, instant estimates and a waitlist for licensed advice in Quebec.</t>
  </si>
  <si>
    <t xml:space="preserve">Super Visa Insurance in Quebec</t>
  </si>
  <si>
    <t xml:space="preserve">super visa insurance quebec</t>
  </si>
  <si>
    <t xml:space="preserve">P0267</t>
  </si>
  <si>
    <t xml:space="preserve">https://instasure.ca/super-visa-insurance/saskatchewan/</t>
  </si>
  <si>
    <t xml:space="preserve">Super Visa Insurance in Saskatchewan: Costs, Rules &amp; Quotes (2026)</t>
  </si>
  <si>
    <t xml:space="preserve">Super Visa Insurance in Saskatchewan: how it works under FCAA, what drives price, instant estimates and advisors licensed in Saskatchewan.</t>
  </si>
  <si>
    <t xml:space="preserve">Super Visa Insurance in Saskatchewan</t>
  </si>
  <si>
    <t xml:space="preserve">super visa insurance saskatchewan</t>
  </si>
  <si>
    <t xml:space="preserve">P0268</t>
  </si>
  <si>
    <t xml:space="preserve">https://instasure.ca/super-visa-insurance/yukon/</t>
  </si>
  <si>
    <t xml:space="preserve">Super Visa Insurance in Yukon: Costs, Rules &amp; Quotes (2026)</t>
  </si>
  <si>
    <t xml:space="preserve">Super Visa Insurance in Yukon: how it works under the Yukon Superintendent, what drives price, instant estimates and a waitlist for licensed advice in Yukon.</t>
  </si>
  <si>
    <t xml:space="preserve">Super Visa Insurance in Yukon</t>
  </si>
  <si>
    <t xml:space="preserve">super visa insurance yukon</t>
  </si>
  <si>
    <t xml:space="preserve">P0269</t>
  </si>
  <si>
    <t xml:space="preserve">https://instasure.ca/tenant-insurance/alberta/</t>
  </si>
  <si>
    <t xml:space="preserve">Tenant Insurance in Alberta: Costs, Rules &amp; Quotes (2026)</t>
  </si>
  <si>
    <t xml:space="preserve">Tenant Insurance in Alberta: how it works under the Superintendent of Insurance, what drives price, instant estimates and advisors licensed in Alberta.</t>
  </si>
  <si>
    <t xml:space="preserve">Tenant Insurance in Alberta</t>
  </si>
  <si>
    <t xml:space="preserve">tenant insurance alberta</t>
  </si>
  <si>
    <t xml:space="preserve">P0270</t>
  </si>
  <si>
    <t xml:space="preserve">https://instasure.ca/tenant-insurance/british-columbia/</t>
  </si>
  <si>
    <t xml:space="preserve">Tenant Insurance in British Columbia: Costs, Rules &amp; Quotes (2026)</t>
  </si>
  <si>
    <t xml:space="preserve">Tenant Insurance in British Columbia: how it works under BCFSA, what drives price, instant estimates and advisors licensed in British Columbia.</t>
  </si>
  <si>
    <t xml:space="preserve">Tenant Insurance in British Columbia</t>
  </si>
  <si>
    <t xml:space="preserve">tenant insurance bc</t>
  </si>
  <si>
    <t xml:space="preserve">P0271</t>
  </si>
  <si>
    <t xml:space="preserve">https://instasure.ca/tenant-insurance/manitoba/</t>
  </si>
  <si>
    <t xml:space="preserve">Tenant Insurance in Manitoba: Costs, Rules &amp; Quotes (2026)</t>
  </si>
  <si>
    <t xml:space="preserve">Tenant Insurance in Manitoba: how it works under FIRB, what drives price, instant estimates and advisors licensed in Manitoba.</t>
  </si>
  <si>
    <t xml:space="preserve">Tenant Insurance in Manitoba</t>
  </si>
  <si>
    <t xml:space="preserve">tenant insurance manitoba</t>
  </si>
  <si>
    <t xml:space="preserve">P0272</t>
  </si>
  <si>
    <t xml:space="preserve">https://instasure.ca/tenant-insurance/new-brunswick/</t>
  </si>
  <si>
    <t xml:space="preserve">Tenant Insurance in New Brunswick: Costs, Rules &amp; Quotes (2026)</t>
  </si>
  <si>
    <t xml:space="preserve">Tenant Insurance in New Brunswick: how it works under FCNB, what drives price, instant estimates and advisors licensed in New Brunswick.</t>
  </si>
  <si>
    <t xml:space="preserve">Tenant Insurance in New Brunswick</t>
  </si>
  <si>
    <t xml:space="preserve">tenant insurance new brunswick</t>
  </si>
  <si>
    <t xml:space="preserve">P0273</t>
  </si>
  <si>
    <t xml:space="preserve">https://instasure.ca/tenant-insurance/newfoundland-and-labrador/</t>
  </si>
  <si>
    <t xml:space="preserve">Tenant Insurance in Newfoundland and Labrador: Costs, Rules &amp; Quotes (2026)</t>
  </si>
  <si>
    <t xml:space="preserve">Tenant Insurance in Newfoundland and Labrador: how it works under Service NL, what drives price, instant estimates and advisors licensed in Newfoundland and…</t>
  </si>
  <si>
    <t xml:space="preserve">Tenant Insurance in Newfoundland and Labrador</t>
  </si>
  <si>
    <t xml:space="preserve">tenant insurance newfoundland</t>
  </si>
  <si>
    <t xml:space="preserve">P0274</t>
  </si>
  <si>
    <t xml:space="preserve">https://instasure.ca/tenant-insurance/northwest-territories/</t>
  </si>
  <si>
    <t xml:space="preserve">Tenant Insurance in Northwest Territories: Costs, Rules &amp; Quotes (2026)</t>
  </si>
  <si>
    <t xml:space="preserve">Tenant Insurance in Northwest Territories: how it works under the NWT Superintendent, what drives price, instant estimates and a waitlist for licensed advice in…</t>
  </si>
  <si>
    <t xml:space="preserve">Tenant Insurance in Northwest Territories</t>
  </si>
  <si>
    <t xml:space="preserve">tenant insurance northwest territories</t>
  </si>
  <si>
    <t xml:space="preserve">P0275</t>
  </si>
  <si>
    <t xml:space="preserve">https://instasure.ca/tenant-insurance/nova-scotia/</t>
  </si>
  <si>
    <t xml:space="preserve">Tenant Insurance in Nova Scotia: Costs, Rules &amp; Quotes (2026)</t>
  </si>
  <si>
    <t xml:space="preserve">Tenant Insurance in Nova Scotia: how it works under the NS Superintendent of Insurance, what drives price, instant estimates and advisors licensed in Nova Scotia.</t>
  </si>
  <si>
    <t xml:space="preserve">Tenant Insurance in Nova Scotia</t>
  </si>
  <si>
    <t xml:space="preserve">tenant insurance nova scotia</t>
  </si>
  <si>
    <t xml:space="preserve">P0276</t>
  </si>
  <si>
    <t xml:space="preserve">https://instasure.ca/tenant-insurance/nunavut/</t>
  </si>
  <si>
    <t xml:space="preserve">Tenant Insurance in Nunavut: Costs, Rules &amp; Quotes (2026)</t>
  </si>
  <si>
    <t xml:space="preserve">Tenant Insurance in Nunavut: how it works under the Nunavut Superintendent, what drives price, instant estimates and a waitlist for licensed advice in Nunavut.</t>
  </si>
  <si>
    <t xml:space="preserve">Tenant Insurance in Nunavut</t>
  </si>
  <si>
    <t xml:space="preserve">tenant insurance nunavut</t>
  </si>
  <si>
    <t xml:space="preserve">P0277</t>
  </si>
  <si>
    <t xml:space="preserve">https://instasure.ca/tenant-insurance/ontario/</t>
  </si>
  <si>
    <t xml:space="preserve">Tenant Insurance in Ontario: Costs, Rules &amp; Quotes (2026)</t>
  </si>
  <si>
    <t xml:space="preserve">Tenant Insurance in Ontario: how it works under FSRA, what drives price, instant estimates and advisors licensed in Ontario.</t>
  </si>
  <si>
    <t xml:space="preserve">Tenant Insurance in Ontario</t>
  </si>
  <si>
    <t xml:space="preserve">tenant insurance ontario</t>
  </si>
  <si>
    <t xml:space="preserve">P0278</t>
  </si>
  <si>
    <t xml:space="preserve">https://instasure.ca/tenant-insurance/prince-edward-island/</t>
  </si>
  <si>
    <t xml:space="preserve">Tenant Insurance in Prince Edward Island: Costs, Rules &amp; Quotes (2026)</t>
  </si>
  <si>
    <t xml:space="preserve">Tenant Insurance in Prince Edward Island: how it works under the PEI Superintendent, what drives price, instant estimates and advisors licensed in Prince Edward…</t>
  </si>
  <si>
    <t xml:space="preserve">Tenant Insurance in Prince Edward Island</t>
  </si>
  <si>
    <t xml:space="preserve">tenant insurance pei</t>
  </si>
  <si>
    <t xml:space="preserve">P0279</t>
  </si>
  <si>
    <t xml:space="preserve">https://instasure.ca/tenant-insurance/quebec/</t>
  </si>
  <si>
    <t xml:space="preserve">Tenant Insurance in Quebec: Costs, Rules &amp; Quotes (2026)</t>
  </si>
  <si>
    <t xml:space="preserve">Tenant Insurance in Quebec: how it works under AMF, what drives price, instant estimates and a waitlist for licensed advice in Quebec.</t>
  </si>
  <si>
    <t xml:space="preserve">Tenant Insurance in Quebec</t>
  </si>
  <si>
    <t xml:space="preserve">tenant insurance quebec</t>
  </si>
  <si>
    <t xml:space="preserve">P0280</t>
  </si>
  <si>
    <t xml:space="preserve">https://instasure.ca/tenant-insurance/saskatchewan/</t>
  </si>
  <si>
    <t xml:space="preserve">Tenant Insurance in Saskatchewan: Costs, Rules &amp; Quotes (2026)</t>
  </si>
  <si>
    <t xml:space="preserve">Tenant Insurance in Saskatchewan: how it works under FCAA, what drives price, instant estimates and advisors licensed in Saskatchewan.</t>
  </si>
  <si>
    <t xml:space="preserve">Tenant Insurance in Saskatchewan</t>
  </si>
  <si>
    <t xml:space="preserve">tenant insurance saskatchewan</t>
  </si>
  <si>
    <t xml:space="preserve">P0281</t>
  </si>
  <si>
    <t xml:space="preserve">https://instasure.ca/tenant-insurance/yukon/</t>
  </si>
  <si>
    <t xml:space="preserve">Tenant Insurance in Yukon: Costs, Rules &amp; Quotes (2026)</t>
  </si>
  <si>
    <t xml:space="preserve">Tenant Insurance in Yukon: how it works under the Yukon Superintendent, what drives price, instant estimates and a waitlist for licensed advice in Yukon.</t>
  </si>
  <si>
    <t xml:space="preserve">Tenant Insurance in Yukon</t>
  </si>
  <si>
    <t xml:space="preserve">tenant insurance yukon</t>
  </si>
  <si>
    <t xml:space="preserve">P0282</t>
  </si>
  <si>
    <t xml:space="preserve">https://instasure.ca/term-life-insurance/alberta/</t>
  </si>
  <si>
    <t xml:space="preserve">Term Life Insurance in Alberta: Costs, Rules &amp; Quotes (2026)</t>
  </si>
  <si>
    <t xml:space="preserve">Term Life Insurance in Alberta: how it works under the Superintendent of Insurance, what drives price, instant estimates and advisors licensed in Alberta.</t>
  </si>
  <si>
    <t xml:space="preserve">Term Life Insurance in Alberta</t>
  </si>
  <si>
    <t xml:space="preserve">term life insurance alberta</t>
  </si>
  <si>
    <t xml:space="preserve">P0283</t>
  </si>
  <si>
    <t xml:space="preserve">https://instasure.ca/term-life-insurance/british-columbia/</t>
  </si>
  <si>
    <t xml:space="preserve">Term Life Insurance in British Columbia: Costs, Rules &amp; Quotes (2026)</t>
  </si>
  <si>
    <t xml:space="preserve">Term Life Insurance in British Columbia: how it works under BCFSA, what drives price, instant estimates and advisors licensed in British Columbia.</t>
  </si>
  <si>
    <t xml:space="preserve">Term Life Insurance in British Columbia</t>
  </si>
  <si>
    <t xml:space="preserve">term life insurance bc</t>
  </si>
  <si>
    <t xml:space="preserve">P0284</t>
  </si>
  <si>
    <t xml:space="preserve">https://instasure.ca/term-life-insurance/manitoba/</t>
  </si>
  <si>
    <t xml:space="preserve">Term Life Insurance in Manitoba: Costs, Rules &amp; Quotes (2026)</t>
  </si>
  <si>
    <t xml:space="preserve">Term Life Insurance in Manitoba: how it works under FIRB, what drives price, instant estimates and advisors licensed in Manitoba.</t>
  </si>
  <si>
    <t xml:space="preserve">Term Life Insurance in Manitoba</t>
  </si>
  <si>
    <t xml:space="preserve">term life insurance manitoba</t>
  </si>
  <si>
    <t xml:space="preserve">P0285</t>
  </si>
  <si>
    <t xml:space="preserve">https://instasure.ca/term-life-insurance/new-brunswick/</t>
  </si>
  <si>
    <t xml:space="preserve">Term Life Insurance in New Brunswick: Costs, Rules &amp; Quotes (2026)</t>
  </si>
  <si>
    <t xml:space="preserve">Term Life Insurance in New Brunswick: how it works under FCNB, what drives price, instant estimates and advisors licensed in New Brunswick.</t>
  </si>
  <si>
    <t xml:space="preserve">Term Life Insurance in New Brunswick</t>
  </si>
  <si>
    <t xml:space="preserve">term life insurance new brunswick</t>
  </si>
  <si>
    <t xml:space="preserve">P0286</t>
  </si>
  <si>
    <t xml:space="preserve">https://instasure.ca/term-life-insurance/newfoundland-and-labrador/</t>
  </si>
  <si>
    <t xml:space="preserve">Term Life Insurance in Newfoundland and Labrador: Costs, Rules &amp; Quotes (2026)</t>
  </si>
  <si>
    <t xml:space="preserve">Term Life Insurance in Newfoundland and Labrador: how it works under Service NL, what drives price, instant estimates and advisors licensed in Newfoundland and…</t>
  </si>
  <si>
    <t xml:space="preserve">Term Life Insurance in Newfoundland and Labrador</t>
  </si>
  <si>
    <t xml:space="preserve">term life insurance newfoundland and labrador</t>
  </si>
  <si>
    <t xml:space="preserve">P0287</t>
  </si>
  <si>
    <t xml:space="preserve">https://instasure.ca/term-life-insurance/northwest-territories/</t>
  </si>
  <si>
    <t xml:space="preserve">Term Life Insurance in Northwest Territories: Costs, Rules &amp; Quotes (2026)</t>
  </si>
  <si>
    <t xml:space="preserve">Term Life Insurance in Northwest Territories: how it works under the NWT Superintendent, what drives price, instant estimates and a waitlist for licensed advice in…</t>
  </si>
  <si>
    <t xml:space="preserve">Term Life Insurance in Northwest Territories</t>
  </si>
  <si>
    <t xml:space="preserve">term life insurance northwest territories</t>
  </si>
  <si>
    <t xml:space="preserve">P0288</t>
  </si>
  <si>
    <t xml:space="preserve">https://instasure.ca/term-life-insurance/nova-scotia/</t>
  </si>
  <si>
    <t xml:space="preserve">Term Life Insurance in Nova Scotia: Costs, Rules &amp; Quotes (2026)</t>
  </si>
  <si>
    <t xml:space="preserve">Term Life Insurance in Nova Scotia: how it works under the NS Superintendent of Insurance, what drives price, instant estimates and advisors licensed in Nova Scotia.</t>
  </si>
  <si>
    <t xml:space="preserve">Term Life Insurance in Nova Scotia</t>
  </si>
  <si>
    <t xml:space="preserve">term life insurance nova scotia</t>
  </si>
  <si>
    <t xml:space="preserve">P0289</t>
  </si>
  <si>
    <t xml:space="preserve">https://instasure.ca/term-life-insurance/nunavut/</t>
  </si>
  <si>
    <t xml:space="preserve">Term Life Insurance in Nunavut: Costs, Rules &amp; Quotes (2026)</t>
  </si>
  <si>
    <t xml:space="preserve">Term Life Insurance in Nunavut: how it works under the Nunavut Superintendent, what drives price, instant estimates and a waitlist for licensed advice in Nunavut.</t>
  </si>
  <si>
    <t xml:space="preserve">Term Life Insurance in Nunavut</t>
  </si>
  <si>
    <t xml:space="preserve">term life insurance nunavut</t>
  </si>
  <si>
    <t xml:space="preserve">P0290</t>
  </si>
  <si>
    <t xml:space="preserve">https://instasure.ca/term-life-insurance/ontario/</t>
  </si>
  <si>
    <t xml:space="preserve">Term Life Insurance in Ontario: Costs, Rules &amp; Quotes (2026)</t>
  </si>
  <si>
    <t xml:space="preserve">Term Life Insurance in Ontario: how it works under FSRA, what drives price, instant estimates and advisors licensed in Ontario.</t>
  </si>
  <si>
    <t xml:space="preserve">Term Life Insurance in Ontario</t>
  </si>
  <si>
    <t xml:space="preserve">term life insurance ontario</t>
  </si>
  <si>
    <t xml:space="preserve">P0291</t>
  </si>
  <si>
    <t xml:space="preserve">https://instasure.ca/term-life-insurance/prince-edward-island/</t>
  </si>
  <si>
    <t xml:space="preserve">Term Life Insurance in Prince Edward Island: Costs, Rules &amp; Quotes (2026)</t>
  </si>
  <si>
    <t xml:space="preserve">Term Life Insurance in Prince Edward Island: how it works under the PEI Superintendent, what drives price, instant estimates and advisors licensed in Prince Edward…</t>
  </si>
  <si>
    <t xml:space="preserve">Term Life Insurance in Prince Edward Island</t>
  </si>
  <si>
    <t xml:space="preserve">term life insurance prince edward island</t>
  </si>
  <si>
    <t xml:space="preserve">P0292</t>
  </si>
  <si>
    <t xml:space="preserve">https://instasure.ca/term-life-insurance/quebec/</t>
  </si>
  <si>
    <t xml:space="preserve">Term Life Insurance in Quebec: Costs, Rules &amp; Quotes (2026)</t>
  </si>
  <si>
    <t xml:space="preserve">Term Life Insurance in Quebec: how it works under AMF, what drives price, instant estimates and a waitlist for licensed advice in Quebec.</t>
  </si>
  <si>
    <t xml:space="preserve">Term Life Insurance in Quebec</t>
  </si>
  <si>
    <t xml:space="preserve">term life insurance quebec</t>
  </si>
  <si>
    <t xml:space="preserve">P0293</t>
  </si>
  <si>
    <t xml:space="preserve">https://instasure.ca/term-life-insurance/saskatchewan/</t>
  </si>
  <si>
    <t xml:space="preserve">Term Life Insurance in Saskatchewan: Costs, Rules &amp; Quotes (2026)</t>
  </si>
  <si>
    <t xml:space="preserve">Term Life Insurance in Saskatchewan: how it works under FCAA, what drives price, instant estimates and advisors licensed in Saskatchewan.</t>
  </si>
  <si>
    <t xml:space="preserve">Term Life Insurance in Saskatchewan</t>
  </si>
  <si>
    <t xml:space="preserve">term life insurance saskatchewan</t>
  </si>
  <si>
    <t xml:space="preserve">P0294</t>
  </si>
  <si>
    <t xml:space="preserve">https://instasure.ca/term-life-insurance/yukon/</t>
  </si>
  <si>
    <t xml:space="preserve">Term Life Insurance in Yukon: Costs, Rules &amp; Quotes (2026)</t>
  </si>
  <si>
    <t xml:space="preserve">Term Life Insurance in Yukon: how it works under the Yukon Superintendent, what drives price, instant estimates and a waitlist for licensed advice in Yukon.</t>
  </si>
  <si>
    <t xml:space="preserve">Term Life Insurance in Yukon</t>
  </si>
  <si>
    <t xml:space="preserve">term life insurance yukon</t>
  </si>
  <si>
    <t xml:space="preserve">P0295</t>
  </si>
  <si>
    <t xml:space="preserve">https://instasure.ca/travel-insurance/alberta/</t>
  </si>
  <si>
    <t xml:space="preserve">Travel Insurance in Alberta: Costs, Rules &amp; Quotes (2026)</t>
  </si>
  <si>
    <t xml:space="preserve">Travel Insurance in Alberta: how it works under the Superintendent of Insurance, what drives price, instant estimates and advisors licensed in Alberta.</t>
  </si>
  <si>
    <t xml:space="preserve">Travel Insurance in Alberta</t>
  </si>
  <si>
    <t xml:space="preserve">travel insurance alberta</t>
  </si>
  <si>
    <t xml:space="preserve">P0296</t>
  </si>
  <si>
    <t xml:space="preserve">https://instasure.ca/travel-insurance/british-columbia/</t>
  </si>
  <si>
    <t xml:space="preserve">Travel Insurance in British Columbia: Costs, Rules &amp; Quotes (2026)</t>
  </si>
  <si>
    <t xml:space="preserve">Travel Insurance in British Columbia: how it works under BCFSA, what drives price, instant estimates and advisors licensed in British Columbia.</t>
  </si>
  <si>
    <t xml:space="preserve">Travel Insurance in British Columbia</t>
  </si>
  <si>
    <t xml:space="preserve">travel insurance british columbia</t>
  </si>
  <si>
    <t xml:space="preserve">P0297</t>
  </si>
  <si>
    <t xml:space="preserve">https://instasure.ca/travel-insurance/manitoba/</t>
  </si>
  <si>
    <t xml:space="preserve">Travel Insurance in Manitoba: Costs, Rules &amp; Quotes (2026)</t>
  </si>
  <si>
    <t xml:space="preserve">Travel Insurance in Manitoba: how it works under FIRB, what drives price, instant estimates and advisors licensed in Manitoba.</t>
  </si>
  <si>
    <t xml:space="preserve">Travel Insurance in Manitoba</t>
  </si>
  <si>
    <t xml:space="preserve">travel insurance manitoba</t>
  </si>
  <si>
    <t xml:space="preserve">P0298</t>
  </si>
  <si>
    <t xml:space="preserve">https://instasure.ca/travel-insurance/new-brunswick/</t>
  </si>
  <si>
    <t xml:space="preserve">Travel Insurance in New Brunswick: Costs, Rules &amp; Quotes (2026)</t>
  </si>
  <si>
    <t xml:space="preserve">Travel Insurance in New Brunswick: how it works under FCNB, what drives price, instant estimates and advisors licensed in New Brunswick.</t>
  </si>
  <si>
    <t xml:space="preserve">Travel Insurance in New Brunswick</t>
  </si>
  <si>
    <t xml:space="preserve">travel insurance new brunswick</t>
  </si>
  <si>
    <t xml:space="preserve">P0299</t>
  </si>
  <si>
    <t xml:space="preserve">https://instasure.ca/travel-insurance/newfoundland-and-labrador/</t>
  </si>
  <si>
    <t xml:space="preserve">Travel Insurance in Newfoundland and Labrador: Costs, Rules &amp; Quotes (2026)</t>
  </si>
  <si>
    <t xml:space="preserve">Travel Insurance in Newfoundland and Labrador: how it works under Service NL, what drives price, instant estimates and advisors licensed in Newfoundland and…</t>
  </si>
  <si>
    <t xml:space="preserve">Travel Insurance in Newfoundland and Labrador</t>
  </si>
  <si>
    <t xml:space="preserve">travel insurance newfoundland and labrador</t>
  </si>
  <si>
    <t xml:space="preserve">P0300</t>
  </si>
  <si>
    <t xml:space="preserve">https://instasure.ca/travel-insurance/northwest-territories/</t>
  </si>
  <si>
    <t xml:space="preserve">Travel Insurance in Northwest Territories: Costs, Rules &amp; Quotes (2026)</t>
  </si>
  <si>
    <t xml:space="preserve">Travel Insurance in Northwest Territories: how it works under the NWT Superintendent, what drives price, instant estimates and a waitlist for licensed advice in…</t>
  </si>
  <si>
    <t xml:space="preserve">Travel Insurance in Northwest Territories</t>
  </si>
  <si>
    <t xml:space="preserve">travel insurance northwest territories</t>
  </si>
  <si>
    <t xml:space="preserve">P0301</t>
  </si>
  <si>
    <t xml:space="preserve">https://instasure.ca/travel-insurance/nova-scotia/</t>
  </si>
  <si>
    <t xml:space="preserve">Travel Insurance in Nova Scotia: Costs, Rules &amp; Quotes (2026)</t>
  </si>
  <si>
    <t xml:space="preserve">Travel Insurance in Nova Scotia: how it works under the NS Superintendent of Insurance, what drives price, instant estimates and advisors licensed in Nova Scotia.</t>
  </si>
  <si>
    <t xml:space="preserve">Travel Insurance in Nova Scotia</t>
  </si>
  <si>
    <t xml:space="preserve">travel insurance nova scotia</t>
  </si>
  <si>
    <t xml:space="preserve">P0302</t>
  </si>
  <si>
    <t xml:space="preserve">https://instasure.ca/travel-insurance/nunavut/</t>
  </si>
  <si>
    <t xml:space="preserve">Travel Insurance in Nunavut: Costs, Rules &amp; Quotes (2026)</t>
  </si>
  <si>
    <t xml:space="preserve">Travel Insurance in Nunavut: how it works under the Nunavut Superintendent, what drives price, instant estimates and a waitlist for licensed advice in Nunavut.</t>
  </si>
  <si>
    <t xml:space="preserve">Travel Insurance in Nunavut</t>
  </si>
  <si>
    <t xml:space="preserve">travel insurance nunavut</t>
  </si>
  <si>
    <t xml:space="preserve">P0303</t>
  </si>
  <si>
    <t xml:space="preserve">https://instasure.ca/travel-insurance/ontario/</t>
  </si>
  <si>
    <t xml:space="preserve">Travel Insurance in Ontario: Costs, Rules &amp; Quotes (2026)</t>
  </si>
  <si>
    <t xml:space="preserve">Travel Insurance in Ontario: how it works under FSRA, what drives price, instant estimates and advisors licensed in Ontario.</t>
  </si>
  <si>
    <t xml:space="preserve">Travel Insurance in Ontario</t>
  </si>
  <si>
    <t xml:space="preserve">travel insurance ontario</t>
  </si>
  <si>
    <t xml:space="preserve">P0304</t>
  </si>
  <si>
    <t xml:space="preserve">https://instasure.ca/travel-insurance/prince-edward-island/</t>
  </si>
  <si>
    <t xml:space="preserve">Travel Insurance in Prince Edward Island: Costs, Rules &amp; Quotes (2026)</t>
  </si>
  <si>
    <t xml:space="preserve">Travel Insurance in Prince Edward Island: how it works under the PEI Superintendent, what drives price, instant estimates and advisors licensed in Prince Edward…</t>
  </si>
  <si>
    <t xml:space="preserve">Travel Insurance in Prince Edward Island</t>
  </si>
  <si>
    <t xml:space="preserve">travel insurance prince edward island</t>
  </si>
  <si>
    <t xml:space="preserve">P0305</t>
  </si>
  <si>
    <t xml:space="preserve">https://instasure.ca/travel-insurance/quebec/</t>
  </si>
  <si>
    <t xml:space="preserve">Travel Insurance in Quebec: Costs, Rules &amp; Quotes (2026)</t>
  </si>
  <si>
    <t xml:space="preserve">Travel Insurance in Quebec: how it works under AMF, what drives price, instant estimates and a waitlist for licensed advice in Quebec.</t>
  </si>
  <si>
    <t xml:space="preserve">Travel Insurance in Quebec</t>
  </si>
  <si>
    <t xml:space="preserve">travel insurance quebec</t>
  </si>
  <si>
    <t xml:space="preserve">P0306</t>
  </si>
  <si>
    <t xml:space="preserve">https://instasure.ca/travel-insurance/saskatchewan/</t>
  </si>
  <si>
    <t xml:space="preserve">Travel Insurance in Saskatchewan: Costs, Rules &amp; Quotes (2026)</t>
  </si>
  <si>
    <t xml:space="preserve">Travel Insurance in Saskatchewan: how it works under FCAA, what drives price, instant estimates and advisors licensed in Saskatchewan.</t>
  </si>
  <si>
    <t xml:space="preserve">Travel Insurance in Saskatchewan</t>
  </si>
  <si>
    <t xml:space="preserve">travel insurance saskatchewan</t>
  </si>
  <si>
    <t xml:space="preserve">P0307</t>
  </si>
  <si>
    <t xml:space="preserve">https://instasure.ca/travel-insurance/yukon/</t>
  </si>
  <si>
    <t xml:space="preserve">Travel Insurance in Yukon: Costs, Rules &amp; Quotes (2026)</t>
  </si>
  <si>
    <t xml:space="preserve">Travel Insurance in Yukon: how it works under the Yukon Superintendent, what drives price, instant estimates and a waitlist for licensed advice in Yukon.</t>
  </si>
  <si>
    <t xml:space="preserve">Travel Insurance in Yukon</t>
  </si>
  <si>
    <t xml:space="preserve">travel insurance yukon</t>
  </si>
  <si>
    <t xml:space="preserve">P0308</t>
  </si>
  <si>
    <t xml:space="preserve">https://instasure.ca/whole-life-insurance/alberta/</t>
  </si>
  <si>
    <t xml:space="preserve">Whole Life Insurance in Alberta: Costs, Rules &amp; Quotes (2026)</t>
  </si>
  <si>
    <t xml:space="preserve">Whole Life Insurance in Alberta: how it works under the Superintendent of Insurance, what drives price, instant estimates and advisors licensed in Alberta.</t>
  </si>
  <si>
    <t xml:space="preserve">Whole Life Insurance in Alberta</t>
  </si>
  <si>
    <t xml:space="preserve">whole life insurance alberta</t>
  </si>
  <si>
    <t xml:space="preserve">P0309</t>
  </si>
  <si>
    <t xml:space="preserve">https://instasure.ca/whole-life-insurance/british-columbia/</t>
  </si>
  <si>
    <t xml:space="preserve">Whole Life Insurance in British Columbia: Costs, Rules &amp; Quotes (2026)</t>
  </si>
  <si>
    <t xml:space="preserve">Whole Life Insurance in British Columbia: how it works under BCFSA, what drives price, instant estimates and advisors licensed in British Columbia.</t>
  </si>
  <si>
    <t xml:space="preserve">Whole Life Insurance in British Columbia</t>
  </si>
  <si>
    <t xml:space="preserve">whole life insurance british columbia</t>
  </si>
  <si>
    <t xml:space="preserve">P0310</t>
  </si>
  <si>
    <t xml:space="preserve">https://instasure.ca/whole-life-insurance/manitoba/</t>
  </si>
  <si>
    <t xml:space="preserve">Whole Life Insurance in Manitoba: Costs, Rules &amp; Quotes (2026)</t>
  </si>
  <si>
    <t xml:space="preserve">Whole Life Insurance in Manitoba: how it works under FIRB, what drives price, instant estimates and advisors licensed in Manitoba.</t>
  </si>
  <si>
    <t xml:space="preserve">Whole Life Insurance in Manitoba</t>
  </si>
  <si>
    <t xml:space="preserve">whole life insurance manitoba</t>
  </si>
  <si>
    <t xml:space="preserve">P0311</t>
  </si>
  <si>
    <t xml:space="preserve">https://instasure.ca/whole-life-insurance/new-brunswick/</t>
  </si>
  <si>
    <t xml:space="preserve">Whole Life Insurance in New Brunswick: Costs, Rules &amp; Quotes (2026)</t>
  </si>
  <si>
    <t xml:space="preserve">Whole Life Insurance in New Brunswick: how it works under FCNB, what drives price, instant estimates and advisors licensed in New Brunswick.</t>
  </si>
  <si>
    <t xml:space="preserve">Whole Life Insurance in New Brunswick</t>
  </si>
  <si>
    <t xml:space="preserve">whole life insurance new brunswick</t>
  </si>
  <si>
    <t xml:space="preserve">P0312</t>
  </si>
  <si>
    <t xml:space="preserve">https://instasure.ca/whole-life-insurance/newfoundland-and-labrador/</t>
  </si>
  <si>
    <t xml:space="preserve">Whole Life Insurance in Newfoundland and Labrador: Costs, Rules &amp; Quotes (2026)</t>
  </si>
  <si>
    <t xml:space="preserve">Whole Life Insurance in Newfoundland and Labrador: how it works under Service NL, what drives price, instant estimates and advisors licensed in Newfoundland and…</t>
  </si>
  <si>
    <t xml:space="preserve">Whole Life Insurance in Newfoundland and Labrador</t>
  </si>
  <si>
    <t xml:space="preserve">whole life insurance newfoundland and labrador</t>
  </si>
  <si>
    <t xml:space="preserve">P0313</t>
  </si>
  <si>
    <t xml:space="preserve">https://instasure.ca/whole-life-insurance/northwest-territories/</t>
  </si>
  <si>
    <t xml:space="preserve">Whole Life Insurance in Northwest Territories: Costs, Rules &amp; Quotes (2026)</t>
  </si>
  <si>
    <t xml:space="preserve">Whole Life Insurance in Northwest Territories: how it works under the NWT Superintendent, what drives price, instant estimates and a waitlist for licensed advice…</t>
  </si>
  <si>
    <t xml:space="preserve">Whole Life Insurance in Northwest Territories</t>
  </si>
  <si>
    <t xml:space="preserve">whole life insurance northwest territories</t>
  </si>
  <si>
    <t xml:space="preserve">P0314</t>
  </si>
  <si>
    <t xml:space="preserve">https://instasure.ca/whole-life-insurance/nova-scotia/</t>
  </si>
  <si>
    <t xml:space="preserve">Whole Life Insurance in Nova Scotia: Costs, Rules &amp; Quotes (2026)</t>
  </si>
  <si>
    <t xml:space="preserve">Whole Life Insurance in Nova Scotia: how it works under the NS Superintendent of Insurance, what drives price, instant estimates and advisors licensed in Nova…</t>
  </si>
  <si>
    <t xml:space="preserve">Whole Life Insurance in Nova Scotia</t>
  </si>
  <si>
    <t xml:space="preserve">whole life insurance nova scotia</t>
  </si>
  <si>
    <t xml:space="preserve">P0315</t>
  </si>
  <si>
    <t xml:space="preserve">https://instasure.ca/whole-life-insurance/nunavut/</t>
  </si>
  <si>
    <t xml:space="preserve">Whole Life Insurance in Nunavut: Costs, Rules &amp; Quotes (2026)</t>
  </si>
  <si>
    <t xml:space="preserve">Whole Life Insurance in Nunavut: how it works under the Nunavut Superintendent, what drives price, instant estimates and a waitlist for licensed advice in Nunavut.</t>
  </si>
  <si>
    <t xml:space="preserve">Whole Life Insurance in Nunavut</t>
  </si>
  <si>
    <t xml:space="preserve">whole life insurance nunavut</t>
  </si>
  <si>
    <t xml:space="preserve">P0316</t>
  </si>
  <si>
    <t xml:space="preserve">https://instasure.ca/whole-life-insurance/ontario/</t>
  </si>
  <si>
    <t xml:space="preserve">Whole Life Insurance in Ontario: Costs, Rules &amp; Quotes (2026)</t>
  </si>
  <si>
    <t xml:space="preserve">Whole Life Insurance in Ontario: how it works under FSRA, what drives price, instant estimates and advisors licensed in Ontario.</t>
  </si>
  <si>
    <t xml:space="preserve">Whole Life Insurance in Ontario</t>
  </si>
  <si>
    <t xml:space="preserve">whole life insurance ontario</t>
  </si>
  <si>
    <t xml:space="preserve">P0317</t>
  </si>
  <si>
    <t xml:space="preserve">https://instasure.ca/whole-life-insurance/prince-edward-island/</t>
  </si>
  <si>
    <t xml:space="preserve">Whole Life Insurance in Prince Edward Island: Costs, Rules &amp; Quotes (2026)</t>
  </si>
  <si>
    <t xml:space="preserve">Whole Life Insurance in Prince Edward Island: how it works under the PEI Superintendent, what drives price, instant estimates and advisors licensed in Prince…</t>
  </si>
  <si>
    <t xml:space="preserve">Whole Life Insurance in Prince Edward Island</t>
  </si>
  <si>
    <t xml:space="preserve">whole life insurance prince edward island</t>
  </si>
  <si>
    <t xml:space="preserve">P0318</t>
  </si>
  <si>
    <t xml:space="preserve">https://instasure.ca/whole-life-insurance/quebec/</t>
  </si>
  <si>
    <t xml:space="preserve">Whole Life Insurance in Quebec: Costs, Rules &amp; Quotes (2026)</t>
  </si>
  <si>
    <t xml:space="preserve">Whole Life Insurance in Quebec: how it works under AMF, what drives price, instant estimates and a waitlist for licensed advice in Quebec.</t>
  </si>
  <si>
    <t xml:space="preserve">Whole Life Insurance in Quebec</t>
  </si>
  <si>
    <t xml:space="preserve">whole life insurance quebec</t>
  </si>
  <si>
    <t xml:space="preserve">P0319</t>
  </si>
  <si>
    <t xml:space="preserve">https://instasure.ca/whole-life-insurance/saskatchewan/</t>
  </si>
  <si>
    <t xml:space="preserve">Whole Life Insurance in Saskatchewan: Costs, Rules &amp; Quotes (2026)</t>
  </si>
  <si>
    <t xml:space="preserve">Whole Life Insurance in Saskatchewan: how it works under FCAA, what drives price, instant estimates and advisors licensed in Saskatchewan.</t>
  </si>
  <si>
    <t xml:space="preserve">Whole Life Insurance in Saskatchewan</t>
  </si>
  <si>
    <t xml:space="preserve">whole life insurance saskatchewan</t>
  </si>
  <si>
    <t xml:space="preserve">P0320</t>
  </si>
  <si>
    <t xml:space="preserve">https://instasure.ca/whole-life-insurance/yukon/</t>
  </si>
  <si>
    <t xml:space="preserve">Whole Life Insurance in Yukon: Costs, Rules &amp; Quotes (2026)</t>
  </si>
  <si>
    <t xml:space="preserve">Whole Life Insurance in Yukon: how it works under the Yukon Superintendent, what drives price, instant estimates and a waitlist for licensed advice in Yukon.</t>
  </si>
  <si>
    <t xml:space="preserve">Whole Life Insurance in Yukon</t>
  </si>
  <si>
    <t xml:space="preserve">whole life insurance yukon</t>
  </si>
  <si>
    <t xml:space="preserve">P0321</t>
  </si>
  <si>
    <t xml:space="preserve">https://instasure.ca/business-insurance/alberta/airdrie/</t>
  </si>
  <si>
    <t xml:space="preserve">Product × city</t>
  </si>
  <si>
    <t xml:space="preserve">Airdrie</t>
  </si>
  <si>
    <t xml:space="preserve">Business Insurance Airdrie, AB: Compare Quotes &amp; Costs (2026)</t>
  </si>
  <si>
    <t xml:space="preserve">Compare business insurance in Airdrie, AB: instant estimate ($35.00–$60.00/mo example), local risk factors and advisors licensed in Alberta.</t>
  </si>
  <si>
    <t xml:space="preserve">Business Insurance in Airdrie, AB</t>
  </si>
  <si>
    <t xml:space="preserve">business insurance airdrie</t>
  </si>
  <si>
    <t xml:space="preserve">P0322</t>
  </si>
  <si>
    <t xml:space="preserve">https://instasure.ca/business-insurance/alberta/calgary/</t>
  </si>
  <si>
    <t xml:space="preserve">Calgary</t>
  </si>
  <si>
    <t xml:space="preserve">Business Insurance Calgary, AB: Compare Quotes &amp; Costs (2026)</t>
  </si>
  <si>
    <t xml:space="preserve">Compare business insurance in Calgary, AB: instant estimate ($35.00–$60.00/mo example), local risk factors and advisors licensed in Alberta.</t>
  </si>
  <si>
    <t xml:space="preserve">Business Insurance in Calgary, AB</t>
  </si>
  <si>
    <t xml:space="preserve">business insurance calgary</t>
  </si>
  <si>
    <t xml:space="preserve">sitemap-cities.xml</t>
  </si>
  <si>
    <t xml:space="preserve">P0323</t>
  </si>
  <si>
    <t xml:space="preserve">https://instasure.ca/business-insurance/alberta/edmonton/</t>
  </si>
  <si>
    <t xml:space="preserve">Edmonton</t>
  </si>
  <si>
    <t xml:space="preserve">Business Insurance Edmonton, AB: Compare Quotes &amp; Costs (2026)</t>
  </si>
  <si>
    <t xml:space="preserve">Compare business insurance in Edmonton, AB: instant estimate ($35.00–$60.00/mo example), local risk factors and advisors licensed in Alberta.</t>
  </si>
  <si>
    <t xml:space="preserve">Business Insurance in Edmonton, AB</t>
  </si>
  <si>
    <t xml:space="preserve">business insurance edmonton</t>
  </si>
  <si>
    <t xml:space="preserve">P0324</t>
  </si>
  <si>
    <t xml:space="preserve">https://instasure.ca/business-insurance/alberta/lethbridge/</t>
  </si>
  <si>
    <t xml:space="preserve">Lethbridge</t>
  </si>
  <si>
    <t xml:space="preserve">Business Insurance Lethbridge, AB: Compare Quotes &amp; Costs (2026)</t>
  </si>
  <si>
    <t xml:space="preserve">Compare business insurance in Lethbridge, AB: instant estimate ($35.00–$60.00/mo example), local risk factors and advisors licensed in Alberta.</t>
  </si>
  <si>
    <t xml:space="preserve">Business Insurance in Lethbridge, AB</t>
  </si>
  <si>
    <t xml:space="preserve">business insurance lethbridge</t>
  </si>
  <si>
    <t xml:space="preserve">P0325</t>
  </si>
  <si>
    <t xml:space="preserve">https://instasure.ca/business-insurance/alberta/red-deer/</t>
  </si>
  <si>
    <t xml:space="preserve">Red Deer</t>
  </si>
  <si>
    <t xml:space="preserve">Business Insurance Red Deer, AB: Compare Quotes &amp; Costs (2026)</t>
  </si>
  <si>
    <t xml:space="preserve">Compare business insurance in Red Deer, AB: instant estimate ($35.00–$60.00/mo example), local risk factors and advisors licensed in Alberta.</t>
  </si>
  <si>
    <t xml:space="preserve">Business Insurance in Red Deer, AB</t>
  </si>
  <si>
    <t xml:space="preserve">business insurance red deer</t>
  </si>
  <si>
    <t xml:space="preserve">P0326</t>
  </si>
  <si>
    <t xml:space="preserve">https://instasure.ca/business-insurance/british-columbia/abbotsford/</t>
  </si>
  <si>
    <t xml:space="preserve">Abbotsford</t>
  </si>
  <si>
    <t xml:space="preserve">Business Insurance Abbotsford, BC: Compare Quotes &amp; Costs (2026)</t>
  </si>
  <si>
    <t xml:space="preserve">Compare business insurance in Abbotsford, BC: instant estimate ($35.00–$60.00/mo example), local risk factors and advisors licensed in British Columbia.</t>
  </si>
  <si>
    <t xml:space="preserve">Business Insurance in Abbotsford, BC</t>
  </si>
  <si>
    <t xml:space="preserve">business insurance abbotsford</t>
  </si>
  <si>
    <t xml:space="preserve">P0327</t>
  </si>
  <si>
    <t xml:space="preserve">https://instasure.ca/business-insurance/british-columbia/burnaby/</t>
  </si>
  <si>
    <t xml:space="preserve">Burnaby</t>
  </si>
  <si>
    <t xml:space="preserve">Business Insurance Burnaby, BC: Compare Quotes &amp; Costs (2026)</t>
  </si>
  <si>
    <t xml:space="preserve">Compare business insurance in Burnaby, BC: instant estimate ($35.00–$60.00/mo example), local risk factors and advisors licensed in British Columbia.</t>
  </si>
  <si>
    <t xml:space="preserve">Business Insurance in Burnaby, BC</t>
  </si>
  <si>
    <t xml:space="preserve">business insurance burnaby</t>
  </si>
  <si>
    <t xml:space="preserve">P0328</t>
  </si>
  <si>
    <t xml:space="preserve">https://instasure.ca/business-insurance/british-columbia/coquitlam/</t>
  </si>
  <si>
    <t xml:space="preserve">Coquitlam</t>
  </si>
  <si>
    <t xml:space="preserve">Business Insurance Coquitlam, BC: Compare Quotes &amp; Costs (2026)</t>
  </si>
  <si>
    <t xml:space="preserve">Compare business insurance in Coquitlam, BC: instant estimate ($35.00–$60.00/mo example), local risk factors and advisors licensed in British Columbia.</t>
  </si>
  <si>
    <t xml:space="preserve">Business Insurance in Coquitlam, BC</t>
  </si>
  <si>
    <t xml:space="preserve">business insurance coquitlam</t>
  </si>
  <si>
    <t xml:space="preserve">P0329</t>
  </si>
  <si>
    <t xml:space="preserve">https://instasure.ca/business-insurance/british-columbia/kelowna/</t>
  </si>
  <si>
    <t xml:space="preserve">Kelowna</t>
  </si>
  <si>
    <t xml:space="preserve">Business Insurance Kelowna, BC: Compare Quotes &amp; Costs (2026)</t>
  </si>
  <si>
    <t xml:space="preserve">Compare business insurance in Kelowna, BC: instant estimate ($35.00–$60.00/mo example), local risk factors and advisors licensed in British Columbia.</t>
  </si>
  <si>
    <t xml:space="preserve">Business Insurance in Kelowna, BC</t>
  </si>
  <si>
    <t xml:space="preserve">business insurance kelowna</t>
  </si>
  <si>
    <t xml:space="preserve">P0330</t>
  </si>
  <si>
    <t xml:space="preserve">https://instasure.ca/business-insurance/british-columbia/langley/</t>
  </si>
  <si>
    <t xml:space="preserve">Langley</t>
  </si>
  <si>
    <t xml:space="preserve">Business Insurance Langley, BC: Compare Quotes &amp; Costs (2026)</t>
  </si>
  <si>
    <t xml:space="preserve">Compare business insurance in Langley, BC: instant estimate ($35.00–$60.00/mo example), local risk factors and advisors licensed in British Columbia.</t>
  </si>
  <si>
    <t xml:space="preserve">Business Insurance in Langley, BC</t>
  </si>
  <si>
    <t xml:space="preserve">business insurance langley</t>
  </si>
  <si>
    <t xml:space="preserve">P0331</t>
  </si>
  <si>
    <t xml:space="preserve">https://instasure.ca/business-insurance/british-columbia/richmond/</t>
  </si>
  <si>
    <t xml:space="preserve">Richmond</t>
  </si>
  <si>
    <t xml:space="preserve">Business Insurance Richmond, BC: Compare Quotes &amp; Costs (2026)</t>
  </si>
  <si>
    <t xml:space="preserve">Compare business insurance in Richmond, BC: instant estimate ($35.00–$60.00/mo example), local risk factors and advisors licensed in British Columbia.</t>
  </si>
  <si>
    <t xml:space="preserve">Business Insurance in Richmond, BC</t>
  </si>
  <si>
    <t xml:space="preserve">business insurance richmond bc</t>
  </si>
  <si>
    <t xml:space="preserve">P0332</t>
  </si>
  <si>
    <t xml:space="preserve">https://instasure.ca/business-insurance/british-columbia/surrey/</t>
  </si>
  <si>
    <t xml:space="preserve">Surrey</t>
  </si>
  <si>
    <t xml:space="preserve">Business Insurance Surrey, BC: Compare Quotes &amp; Costs (2026)</t>
  </si>
  <si>
    <t xml:space="preserve">Compare business insurance in Surrey, BC: instant estimate ($35.00–$60.00/mo example), local risk factors and advisors licensed in British Columbia.</t>
  </si>
  <si>
    <t xml:space="preserve">Business Insurance in Surrey, BC</t>
  </si>
  <si>
    <t xml:space="preserve">business insurance surrey</t>
  </si>
  <si>
    <t xml:space="preserve">P0333</t>
  </si>
  <si>
    <t xml:space="preserve">https://instasure.ca/business-insurance/british-columbia/vancouver/</t>
  </si>
  <si>
    <t xml:space="preserve">Vancouver</t>
  </si>
  <si>
    <t xml:space="preserve">Business Insurance Vancouver, BC: Compare Quotes &amp; Costs (2026)</t>
  </si>
  <si>
    <t xml:space="preserve">Compare business insurance in Vancouver, BC: instant estimate ($35.00–$60.00/mo example), local risk factors and advisors licensed in British Columbia.</t>
  </si>
  <si>
    <t xml:space="preserve">Business Insurance in Vancouver, BC</t>
  </si>
  <si>
    <t xml:space="preserve">business insurance vancouver</t>
  </si>
  <si>
    <t xml:space="preserve">P0334</t>
  </si>
  <si>
    <t xml:space="preserve">https://instasure.ca/business-insurance/british-columbia/victoria/</t>
  </si>
  <si>
    <t xml:space="preserve">Victoria</t>
  </si>
  <si>
    <t xml:space="preserve">Business Insurance Victoria, BC: Compare Quotes &amp; Costs (2026)</t>
  </si>
  <si>
    <t xml:space="preserve">Compare business insurance in Victoria, BC: instant estimate ($35.00–$60.00/mo example), local risk factors and advisors licensed in British Columbia.</t>
  </si>
  <si>
    <t xml:space="preserve">Business Insurance in Victoria, BC</t>
  </si>
  <si>
    <t xml:space="preserve">business insurance victoria</t>
  </si>
  <si>
    <t xml:space="preserve">P0335</t>
  </si>
  <si>
    <t xml:space="preserve">https://instasure.ca/business-insurance/manitoba/brandon/</t>
  </si>
  <si>
    <t xml:space="preserve">Brandon</t>
  </si>
  <si>
    <t xml:space="preserve">Business Insurance Brandon, MB: Compare Quotes &amp; Costs (2026)</t>
  </si>
  <si>
    <t xml:space="preserve">Compare business insurance in Brandon, MB: instant estimate ($35.00–$60.00/mo example), local risk factors and advisors licensed in Manitoba.</t>
  </si>
  <si>
    <t xml:space="preserve">Business Insurance in Brandon, MB</t>
  </si>
  <si>
    <t xml:space="preserve">business insurance brandon</t>
  </si>
  <si>
    <t xml:space="preserve">P0336</t>
  </si>
  <si>
    <t xml:space="preserve">https://instasure.ca/business-insurance/manitoba/winnipeg/</t>
  </si>
  <si>
    <t xml:space="preserve">Winnipeg</t>
  </si>
  <si>
    <t xml:space="preserve">Business Insurance Winnipeg, MB: Compare Quotes &amp; Costs (2026)</t>
  </si>
  <si>
    <t xml:space="preserve">Compare business insurance in Winnipeg, MB: instant estimate ($35.00–$60.00/mo example), local risk factors and advisors licensed in Manitoba.</t>
  </si>
  <si>
    <t xml:space="preserve">Business Insurance in Winnipeg, MB</t>
  </si>
  <si>
    <t xml:space="preserve">business insurance winnipeg</t>
  </si>
  <si>
    <t xml:space="preserve">P0337</t>
  </si>
  <si>
    <t xml:space="preserve">https://instasure.ca/business-insurance/new-brunswick/fredericton/</t>
  </si>
  <si>
    <t xml:space="preserve">Fredericton</t>
  </si>
  <si>
    <t xml:space="preserve">Business Insurance Fredericton, NB: Compare Quotes &amp; Costs (2026)</t>
  </si>
  <si>
    <t xml:space="preserve">Compare business insurance in Fredericton, NB: instant estimate ($35.00–$60.00/mo example), local risk factors and advisors licensed in New Brunswick.</t>
  </si>
  <si>
    <t xml:space="preserve">Business Insurance in Fredericton, NB</t>
  </si>
  <si>
    <t xml:space="preserve">business insurance fredericton</t>
  </si>
  <si>
    <t xml:space="preserve">P0338</t>
  </si>
  <si>
    <t xml:space="preserve">https://instasure.ca/business-insurance/new-brunswick/moncton/</t>
  </si>
  <si>
    <t xml:space="preserve">Moncton</t>
  </si>
  <si>
    <t xml:space="preserve">Business Insurance Moncton, NB: Compare Quotes &amp; Costs (2026)</t>
  </si>
  <si>
    <t xml:space="preserve">Compare business insurance in Moncton, NB: instant estimate ($35.00–$60.00/mo example), local risk factors and advisors licensed in New Brunswick.</t>
  </si>
  <si>
    <t xml:space="preserve">Business Insurance in Moncton, NB</t>
  </si>
  <si>
    <t xml:space="preserve">business insurance moncton</t>
  </si>
  <si>
    <t xml:space="preserve">P0339</t>
  </si>
  <si>
    <t xml:space="preserve">https://instasure.ca/business-insurance/new-brunswick/saint-john/</t>
  </si>
  <si>
    <t xml:space="preserve">Saint John</t>
  </si>
  <si>
    <t xml:space="preserve">Business Insurance Saint John, NB: Compare Quotes &amp; Costs (2026)</t>
  </si>
  <si>
    <t xml:space="preserve">Compare business insurance in Saint John, NB: instant estimate ($35.00–$60.00/mo example), local risk factors and advisors licensed in New Brunswick.</t>
  </si>
  <si>
    <t xml:space="preserve">Business Insurance in Saint John, NB</t>
  </si>
  <si>
    <t xml:space="preserve">business insurance saint john</t>
  </si>
  <si>
    <t xml:space="preserve">P0340</t>
  </si>
  <si>
    <t xml:space="preserve">https://instasure.ca/business-insurance/newfoundland-and-labrador/st-johns/</t>
  </si>
  <si>
    <t xml:space="preserve">St. John’s</t>
  </si>
  <si>
    <t xml:space="preserve">Business Insurance St. John’s, NL: Compare Quotes &amp; Costs (2026)</t>
  </si>
  <si>
    <t xml:space="preserve">Compare business insurance in St. John’s, NL: instant estimate ($35.00–$60.00/mo example), local risk factors and advisors licensed in Newfoundland and Labrador.</t>
  </si>
  <si>
    <t xml:space="preserve">Business Insurance in St. John’s, NL</t>
  </si>
  <si>
    <t xml:space="preserve">business insurance st johns</t>
  </si>
  <si>
    <t xml:space="preserve">P0341</t>
  </si>
  <si>
    <t xml:space="preserve">https://instasure.ca/business-insurance/northwest-territories/yellowknife/</t>
  </si>
  <si>
    <t xml:space="preserve">Yellowknife</t>
  </si>
  <si>
    <t xml:space="preserve">Business Insurance Yellowknife, NT: Compare Quotes &amp; Costs (2026)</t>
  </si>
  <si>
    <t xml:space="preserve">Compare business insurance in Yellowknife, NT: instant estimate ($35.00–$60.00/mo example), local risk factors and a waitlist for licensed advice in Northwest…</t>
  </si>
  <si>
    <t xml:space="preserve">Business Insurance in Yellowknife, NT</t>
  </si>
  <si>
    <t xml:space="preserve">business insurance yellowknife</t>
  </si>
  <si>
    <t xml:space="preserve">P0342</t>
  </si>
  <si>
    <t xml:space="preserve">https://instasure.ca/business-insurance/nova-scotia/halifax/</t>
  </si>
  <si>
    <t xml:space="preserve">Halifax</t>
  </si>
  <si>
    <t xml:space="preserve">Business Insurance Halifax, NS: Compare Quotes &amp; Costs (2026)</t>
  </si>
  <si>
    <t xml:space="preserve">Compare business insurance in Halifax, NS: instant estimate ($35.00–$60.00/mo example), local risk factors and advisors licensed in Nova Scotia.</t>
  </si>
  <si>
    <t xml:space="preserve">Business Insurance in Halifax, NS</t>
  </si>
  <si>
    <t xml:space="preserve">business insurance halifax</t>
  </si>
  <si>
    <t xml:space="preserve">P0343</t>
  </si>
  <si>
    <t xml:space="preserve">https://instasure.ca/business-insurance/ontario/ajax/</t>
  </si>
  <si>
    <t xml:space="preserve">Ajax</t>
  </si>
  <si>
    <t xml:space="preserve">Business Insurance Ajax, ON: Compare Quotes &amp; Costs (2026)</t>
  </si>
  <si>
    <t xml:space="preserve">Compare business insurance in Ajax, ON: instant estimate ($35.00–$60.00/mo example), local risk factors and advisors licensed in Ontario.</t>
  </si>
  <si>
    <t xml:space="preserve">Business Insurance in Ajax, ON</t>
  </si>
  <si>
    <t xml:space="preserve">business insurance ajax</t>
  </si>
  <si>
    <t xml:space="preserve">P0344</t>
  </si>
  <si>
    <t xml:space="preserve">https://instasure.ca/business-insurance/ontario/barrie/</t>
  </si>
  <si>
    <t xml:space="preserve">Barrie</t>
  </si>
  <si>
    <t xml:space="preserve">Business Insurance Barrie, ON: Compare Quotes &amp; Costs (2026)</t>
  </si>
  <si>
    <t xml:space="preserve">Compare business insurance in Barrie, ON: instant estimate ($35.00–$60.00/mo example), local risk factors and advisors licensed in Ontario.</t>
  </si>
  <si>
    <t xml:space="preserve">Business Insurance in Barrie, ON</t>
  </si>
  <si>
    <t xml:space="preserve">business insurance barrie</t>
  </si>
  <si>
    <t xml:space="preserve">P0345</t>
  </si>
  <si>
    <t xml:space="preserve">https://instasure.ca/business-insurance/ontario/brampton/</t>
  </si>
  <si>
    <t xml:space="preserve">Brampton</t>
  </si>
  <si>
    <t xml:space="preserve">Business Insurance Brampton, ON: Compare Quotes &amp; Costs (2026)</t>
  </si>
  <si>
    <t xml:space="preserve">Compare business insurance in Brampton, ON: instant estimate ($35.00–$60.00/mo example), local risk factors and advisors licensed in Ontario.</t>
  </si>
  <si>
    <t xml:space="preserve">Business Insurance in Brampton, ON</t>
  </si>
  <si>
    <t xml:space="preserve">business insurance brampton</t>
  </si>
  <si>
    <t xml:space="preserve">P0346</t>
  </si>
  <si>
    <t xml:space="preserve">https://instasure.ca/business-insurance/ontario/burlington/</t>
  </si>
  <si>
    <t xml:space="preserve">Burlington</t>
  </si>
  <si>
    <t xml:space="preserve">Business Insurance Burlington, ON: Compare Quotes &amp; Costs (2026)</t>
  </si>
  <si>
    <t xml:space="preserve">Compare business insurance in Burlington, ON: instant estimate ($35.00–$60.00/mo example), local risk factors and advisors licensed in Ontario.</t>
  </si>
  <si>
    <t xml:space="preserve">Business Insurance in Burlington, ON</t>
  </si>
  <si>
    <t xml:space="preserve">business insurance burlington</t>
  </si>
  <si>
    <t xml:space="preserve">P0347</t>
  </si>
  <si>
    <t xml:space="preserve">https://instasure.ca/business-insurance/ontario/cambridge/</t>
  </si>
  <si>
    <t xml:space="preserve">Cambridge</t>
  </si>
  <si>
    <t xml:space="preserve">Business Insurance Cambridge, ON: Compare Quotes &amp; Costs (2026)</t>
  </si>
  <si>
    <t xml:space="preserve">Compare business insurance in Cambridge, ON: instant estimate ($35.00–$60.00/mo example), local risk factors and advisors licensed in Ontario.</t>
  </si>
  <si>
    <t xml:space="preserve">Business Insurance in Cambridge, ON</t>
  </si>
  <si>
    <t xml:space="preserve">business insurance cambridge</t>
  </si>
  <si>
    <t xml:space="preserve">P0348</t>
  </si>
  <si>
    <t xml:space="preserve">https://instasure.ca/business-insurance/ontario/guelph/</t>
  </si>
  <si>
    <t xml:space="preserve">Guelph</t>
  </si>
  <si>
    <t xml:space="preserve">Business Insurance Guelph, ON: Compare Quotes &amp; Costs (2026)</t>
  </si>
  <si>
    <t xml:space="preserve">Compare business insurance in Guelph, ON: instant estimate ($35.00–$60.00/mo example), local risk factors and advisors licensed in Ontario.</t>
  </si>
  <si>
    <t xml:space="preserve">Business Insurance in Guelph, ON</t>
  </si>
  <si>
    <t xml:space="preserve">business insurance guelph</t>
  </si>
  <si>
    <t xml:space="preserve">P0349</t>
  </si>
  <si>
    <t xml:space="preserve">https://instasure.ca/business-insurance/ontario/hamilton/</t>
  </si>
  <si>
    <t xml:space="preserve">Hamilton</t>
  </si>
  <si>
    <t xml:space="preserve">Business Insurance Hamilton, ON: Compare Quotes &amp; Costs (2026)</t>
  </si>
  <si>
    <t xml:space="preserve">Compare business insurance in Hamilton, ON: instant estimate ($35.00–$60.00/mo example), local risk factors and advisors licensed in Ontario.</t>
  </si>
  <si>
    <t xml:space="preserve">Business Insurance in Hamilton, ON</t>
  </si>
  <si>
    <t xml:space="preserve">business insurance hamilton</t>
  </si>
  <si>
    <t xml:space="preserve">P0350</t>
  </si>
  <si>
    <t xml:space="preserve">https://instasure.ca/business-insurance/ontario/kingston/</t>
  </si>
  <si>
    <t xml:space="preserve">Kingston</t>
  </si>
  <si>
    <t xml:space="preserve">Business Insurance Kingston, ON: Compare Quotes &amp; Costs (2026)</t>
  </si>
  <si>
    <t xml:space="preserve">Compare business insurance in Kingston, ON: instant estimate ($35.00–$60.00/mo example), local risk factors and advisors licensed in Ontario.</t>
  </si>
  <si>
    <t xml:space="preserve">Business Insurance in Kingston, ON</t>
  </si>
  <si>
    <t xml:space="preserve">business insurance kingston</t>
  </si>
  <si>
    <t xml:space="preserve">P0351</t>
  </si>
  <si>
    <t xml:space="preserve">https://instasure.ca/business-insurance/ontario/kitchener/</t>
  </si>
  <si>
    <t xml:space="preserve">Kitchener</t>
  </si>
  <si>
    <t xml:space="preserve">Business Insurance Kitchener, ON: Compare Quotes &amp; Costs (2026)</t>
  </si>
  <si>
    <t xml:space="preserve">Compare business insurance in Kitchener, ON: instant estimate ($35.00–$60.00/mo example), local risk factors and advisors licensed in Ontario.</t>
  </si>
  <si>
    <t xml:space="preserve">Business Insurance in Kitchener, ON</t>
  </si>
  <si>
    <t xml:space="preserve">business insurance kitchener</t>
  </si>
  <si>
    <t xml:space="preserve">P0352</t>
  </si>
  <si>
    <t xml:space="preserve">https://instasure.ca/business-insurance/ontario/london/</t>
  </si>
  <si>
    <t xml:space="preserve">London</t>
  </si>
  <si>
    <t xml:space="preserve">Business Insurance London, ON: Compare Quotes &amp; Costs (2026)</t>
  </si>
  <si>
    <t xml:space="preserve">Compare business insurance in London, ON: instant estimate ($35.00–$60.00/mo example), local risk factors and advisors licensed in Ontario.</t>
  </si>
  <si>
    <t xml:space="preserve">Business Insurance in London, ON</t>
  </si>
  <si>
    <t xml:space="preserve">business insurance london ontario</t>
  </si>
  <si>
    <t xml:space="preserve">P0353</t>
  </si>
  <si>
    <t xml:space="preserve">https://instasure.ca/business-insurance/ontario/markham/</t>
  </si>
  <si>
    <t xml:space="preserve">Markham</t>
  </si>
  <si>
    <t xml:space="preserve">Business Insurance Markham, ON: Compare Quotes &amp; Costs (2026)</t>
  </si>
  <si>
    <t xml:space="preserve">Compare business insurance in Markham, ON: instant estimate ($35.00–$60.00/mo example), local risk factors and advisors licensed in Ontario.</t>
  </si>
  <si>
    <t xml:space="preserve">Business Insurance in Markham, ON</t>
  </si>
  <si>
    <t xml:space="preserve">business insurance markham</t>
  </si>
  <si>
    <t xml:space="preserve">P0354</t>
  </si>
  <si>
    <t xml:space="preserve">https://instasure.ca/business-insurance/ontario/milton/</t>
  </si>
  <si>
    <t xml:space="preserve">Milton</t>
  </si>
  <si>
    <t xml:space="preserve">Business Insurance Milton, ON: Compare Quotes &amp; Costs (2026)</t>
  </si>
  <si>
    <t xml:space="preserve">Compare business insurance in Milton, ON: instant estimate ($35.00–$60.00/mo example), local risk factors and advisors licensed in Ontario.</t>
  </si>
  <si>
    <t xml:space="preserve">Business Insurance in Milton, ON</t>
  </si>
  <si>
    <t xml:space="preserve">business insurance milton</t>
  </si>
  <si>
    <t xml:space="preserve">P0355</t>
  </si>
  <si>
    <t xml:space="preserve">https://instasure.ca/business-insurance/ontario/mississauga/</t>
  </si>
  <si>
    <t xml:space="preserve">Mississauga</t>
  </si>
  <si>
    <t xml:space="preserve">Business Insurance Mississauga, ON: Compare Quotes &amp; Costs (2026)</t>
  </si>
  <si>
    <t xml:space="preserve">Compare business insurance in Mississauga, ON: instant estimate ($35.00–$60.00/mo example), local risk factors and advisors licensed in Ontario.</t>
  </si>
  <si>
    <t xml:space="preserve">Business Insurance in Mississauga, ON</t>
  </si>
  <si>
    <t xml:space="preserve">business insurance mississauga</t>
  </si>
  <si>
    <t xml:space="preserve">P0356</t>
  </si>
  <si>
    <t xml:space="preserve">https://instasure.ca/business-insurance/ontario/oakville/</t>
  </si>
  <si>
    <t xml:space="preserve">Oakville</t>
  </si>
  <si>
    <t xml:space="preserve">Business Insurance Oakville, ON: Compare Quotes &amp; Costs (2026)</t>
  </si>
  <si>
    <t xml:space="preserve">Compare business insurance in Oakville, ON: instant estimate ($35.00–$60.00/mo example), local risk factors and advisors licensed in Ontario.</t>
  </si>
  <si>
    <t xml:space="preserve">Business Insurance in Oakville, ON</t>
  </si>
  <si>
    <t xml:space="preserve">business insurance oakville</t>
  </si>
  <si>
    <t xml:space="preserve">P0357</t>
  </si>
  <si>
    <t xml:space="preserve">https://instasure.ca/business-insurance/ontario/oshawa/</t>
  </si>
  <si>
    <t xml:space="preserve">Oshawa</t>
  </si>
  <si>
    <t xml:space="preserve">Business Insurance Oshawa, ON: Compare Quotes &amp; Costs (2026)</t>
  </si>
  <si>
    <t xml:space="preserve">Compare business insurance in Oshawa, ON: instant estimate ($35.00–$60.00/mo example), local risk factors and advisors licensed in Ontario.</t>
  </si>
  <si>
    <t xml:space="preserve">Business Insurance in Oshawa, ON</t>
  </si>
  <si>
    <t xml:space="preserve">business insurance oshawa</t>
  </si>
  <si>
    <t xml:space="preserve">P0358</t>
  </si>
  <si>
    <t xml:space="preserve">https://instasure.ca/business-insurance/ontario/ottawa/</t>
  </si>
  <si>
    <t xml:space="preserve">Ottawa</t>
  </si>
  <si>
    <t xml:space="preserve">Business Insurance Ottawa, ON: Compare Quotes &amp; Costs (2026)</t>
  </si>
  <si>
    <t xml:space="preserve">Compare business insurance in Ottawa, ON: instant estimate ($35.00–$60.00/mo example), local risk factors and advisors licensed in Ontario.</t>
  </si>
  <si>
    <t xml:space="preserve">Business Insurance in Ottawa, ON</t>
  </si>
  <si>
    <t xml:space="preserve">business insurance ottawa</t>
  </si>
  <si>
    <t xml:space="preserve">P0359</t>
  </si>
  <si>
    <t xml:space="preserve">https://instasure.ca/business-insurance/ontario/pickering/</t>
  </si>
  <si>
    <t xml:space="preserve">Pickering</t>
  </si>
  <si>
    <t xml:space="preserve">Business Insurance Pickering, ON: Compare Quotes &amp; Costs (2026)</t>
  </si>
  <si>
    <t xml:space="preserve">Compare business insurance in Pickering, ON: instant estimate ($35.00–$60.00/mo example), local risk factors and advisors licensed in Ontario.</t>
  </si>
  <si>
    <t xml:space="preserve">Business Insurance in Pickering, ON</t>
  </si>
  <si>
    <t xml:space="preserve">business insurance pickering</t>
  </si>
  <si>
    <t xml:space="preserve">P0360</t>
  </si>
  <si>
    <t xml:space="preserve">https://instasure.ca/business-insurance/ontario/richmond-hill/</t>
  </si>
  <si>
    <t xml:space="preserve">Richmond Hill</t>
  </si>
  <si>
    <t xml:space="preserve">Business Insurance Richmond Hill, ON: Compare Quotes &amp; Costs (2026)</t>
  </si>
  <si>
    <t xml:space="preserve">Compare business insurance in Richmond Hill, ON: instant estimate ($35.00–$60.00/mo example), local risk factors and advisors licensed in Ontario.</t>
  </si>
  <si>
    <t xml:space="preserve">Business Insurance in Richmond Hill, ON</t>
  </si>
  <si>
    <t xml:space="preserve">business insurance richmond hill</t>
  </si>
  <si>
    <t xml:space="preserve">P0361</t>
  </si>
  <si>
    <t xml:space="preserve">https://instasure.ca/business-insurance/ontario/st-catharines/</t>
  </si>
  <si>
    <t xml:space="preserve">St. Catharines</t>
  </si>
  <si>
    <t xml:space="preserve">Business Insurance St. Catharines, ON: Compare Quotes &amp; Costs (2026)</t>
  </si>
  <si>
    <t xml:space="preserve">Compare business insurance in St. Catharines, ON: instant estimate ($35.00–$60.00/mo example), local risk factors and advisors licensed in Ontario.</t>
  </si>
  <si>
    <t xml:space="preserve">Business Insurance in St. Catharines, ON</t>
  </si>
  <si>
    <t xml:space="preserve">business insurance st catharines</t>
  </si>
  <si>
    <t xml:space="preserve">P0362</t>
  </si>
  <si>
    <t xml:space="preserve">https://instasure.ca/business-insurance/ontario/sudbury/</t>
  </si>
  <si>
    <t xml:space="preserve">Sudbury</t>
  </si>
  <si>
    <t xml:space="preserve">Business Insurance Sudbury, ON: Compare Quotes &amp; Costs (2026)</t>
  </si>
  <si>
    <t xml:space="preserve">Compare business insurance in Sudbury, ON: instant estimate ($35.00–$60.00/mo example), local risk factors and advisors licensed in Ontario.</t>
  </si>
  <si>
    <t xml:space="preserve">Business Insurance in Sudbury, ON</t>
  </si>
  <si>
    <t xml:space="preserve">business insurance sudbury</t>
  </si>
  <si>
    <t xml:space="preserve">P0363</t>
  </si>
  <si>
    <t xml:space="preserve">https://instasure.ca/business-insurance/ontario/thunder-bay/</t>
  </si>
  <si>
    <t xml:space="preserve">Thunder Bay</t>
  </si>
  <si>
    <t xml:space="preserve">Business Insurance Thunder Bay, ON: Compare Quotes &amp; Costs (2026)</t>
  </si>
  <si>
    <t xml:space="preserve">Compare business insurance in Thunder Bay, ON: instant estimate ($35.00–$60.00/mo example), local risk factors and advisors licensed in Ontario.</t>
  </si>
  <si>
    <t xml:space="preserve">Business Insurance in Thunder Bay, ON</t>
  </si>
  <si>
    <t xml:space="preserve">business insurance thunder bay</t>
  </si>
  <si>
    <t xml:space="preserve">P0364</t>
  </si>
  <si>
    <t xml:space="preserve">https://instasure.ca/business-insurance/ontario/toronto/</t>
  </si>
  <si>
    <t xml:space="preserve">Toronto</t>
  </si>
  <si>
    <t xml:space="preserve">Business Insurance Toronto, ON: Compare Quotes &amp; Costs (2026)</t>
  </si>
  <si>
    <t xml:space="preserve">Compare business insurance in Toronto, ON: instant estimate ($35.00–$60.00/mo example), local risk factors and advisors licensed in Ontario.</t>
  </si>
  <si>
    <t xml:space="preserve">Business Insurance in Toronto, ON</t>
  </si>
  <si>
    <t xml:space="preserve">business insurance toronto</t>
  </si>
  <si>
    <t xml:space="preserve">P0365</t>
  </si>
  <si>
    <t xml:space="preserve">https://instasure.ca/business-insurance/ontario/vaughan/</t>
  </si>
  <si>
    <t xml:space="preserve">Vaughan</t>
  </si>
  <si>
    <t xml:space="preserve">Business Insurance Vaughan, ON: Compare Quotes &amp; Costs (2026)</t>
  </si>
  <si>
    <t xml:space="preserve">Compare business insurance in Vaughan, ON: instant estimate ($35.00–$60.00/mo example), local risk factors and advisors licensed in Ontario.</t>
  </si>
  <si>
    <t xml:space="preserve">Business Insurance in Vaughan, ON</t>
  </si>
  <si>
    <t xml:space="preserve">business insurance vaughan</t>
  </si>
  <si>
    <t xml:space="preserve">P0366</t>
  </si>
  <si>
    <t xml:space="preserve">https://instasure.ca/business-insurance/ontario/waterloo/</t>
  </si>
  <si>
    <t xml:space="preserve">Waterloo</t>
  </si>
  <si>
    <t xml:space="preserve">Business Insurance Waterloo, ON: Compare Quotes &amp; Costs (2026)</t>
  </si>
  <si>
    <t xml:space="preserve">Compare business insurance in Waterloo, ON: instant estimate ($35.00–$60.00/mo example), local risk factors and advisors licensed in Ontario.</t>
  </si>
  <si>
    <t xml:space="preserve">Business Insurance in Waterloo, ON</t>
  </si>
  <si>
    <t xml:space="preserve">business insurance waterloo</t>
  </si>
  <si>
    <t xml:space="preserve">P0367</t>
  </si>
  <si>
    <t xml:space="preserve">https://instasure.ca/business-insurance/ontario/whitby/</t>
  </si>
  <si>
    <t xml:space="preserve">Whitby</t>
  </si>
  <si>
    <t xml:space="preserve">Business Insurance Whitby, ON: Compare Quotes &amp; Costs (2026)</t>
  </si>
  <si>
    <t xml:space="preserve">Compare business insurance in Whitby, ON: instant estimate ($35.00–$60.00/mo example), local risk factors and advisors licensed in Ontario.</t>
  </si>
  <si>
    <t xml:space="preserve">Business Insurance in Whitby, ON</t>
  </si>
  <si>
    <t xml:space="preserve">business insurance whitby</t>
  </si>
  <si>
    <t xml:space="preserve">P0368</t>
  </si>
  <si>
    <t xml:space="preserve">https://instasure.ca/business-insurance/ontario/windsor/</t>
  </si>
  <si>
    <t xml:space="preserve">Windsor</t>
  </si>
  <si>
    <t xml:space="preserve">Business Insurance Windsor, ON: Compare Quotes &amp; Costs (2026)</t>
  </si>
  <si>
    <t xml:space="preserve">Compare business insurance in Windsor, ON: instant estimate ($35.00–$60.00/mo example), local risk factors and advisors licensed in Ontario.</t>
  </si>
  <si>
    <t xml:space="preserve">Business Insurance in Windsor, ON</t>
  </si>
  <si>
    <t xml:space="preserve">business insurance windsor</t>
  </si>
  <si>
    <t xml:space="preserve">P0369</t>
  </si>
  <si>
    <t xml:space="preserve">https://instasure.ca/business-insurance/prince-edward-island/charlottetown/</t>
  </si>
  <si>
    <t xml:space="preserve">Charlottetown</t>
  </si>
  <si>
    <t xml:space="preserve">Business Insurance Charlottetown, PE: Compare Quotes &amp; Costs (2026)</t>
  </si>
  <si>
    <t xml:space="preserve">Compare business insurance in Charlottetown, PE: instant estimate ($35.00–$60.00/mo example), local risk factors and advisors licensed in Prince Edward Island.</t>
  </si>
  <si>
    <t xml:space="preserve">Business Insurance in Charlottetown, PE</t>
  </si>
  <si>
    <t xml:space="preserve">business insurance charlottetown</t>
  </si>
  <si>
    <t xml:space="preserve">P0370</t>
  </si>
  <si>
    <t xml:space="preserve">https://instasure.ca/business-insurance/quebec/gatineau/</t>
  </si>
  <si>
    <t xml:space="preserve">Gatineau</t>
  </si>
  <si>
    <t xml:space="preserve">Business Insurance Gatineau, QC: Compare Quotes &amp; Costs (2026)</t>
  </si>
  <si>
    <t xml:space="preserve">Compare business insurance in Gatineau, QC: instant estimate ($35.00–$60.00/mo example), local risk factors and a waitlist for licensed advice in Quebec.</t>
  </si>
  <si>
    <t xml:space="preserve">Business Insurance in Gatineau, QC</t>
  </si>
  <si>
    <t xml:space="preserve">business insurance gatineau</t>
  </si>
  <si>
    <t xml:space="preserve">P0371</t>
  </si>
  <si>
    <t xml:space="preserve">https://instasure.ca/business-insurance/quebec/laval/</t>
  </si>
  <si>
    <t xml:space="preserve">Laval</t>
  </si>
  <si>
    <t xml:space="preserve">Business Insurance Laval, QC: Compare Quotes &amp; Costs (2026)</t>
  </si>
  <si>
    <t xml:space="preserve">Compare business insurance in Laval, QC: instant estimate ($35.00–$60.00/mo example), local risk factors and a waitlist for licensed advice in Quebec.</t>
  </si>
  <si>
    <t xml:space="preserve">Business Insurance in Laval, QC</t>
  </si>
  <si>
    <t xml:space="preserve">business insurance laval</t>
  </si>
  <si>
    <t xml:space="preserve">P0372</t>
  </si>
  <si>
    <t xml:space="preserve">https://instasure.ca/business-insurance/quebec/longueuil/</t>
  </si>
  <si>
    <t xml:space="preserve">Longueuil</t>
  </si>
  <si>
    <t xml:space="preserve">Business Insurance Longueuil, QC: Compare Quotes &amp; Costs (2026)</t>
  </si>
  <si>
    <t xml:space="preserve">Compare business insurance in Longueuil, QC: instant estimate ($35.00–$60.00/mo example), local risk factors and a waitlist for licensed advice in Quebec.</t>
  </si>
  <si>
    <t xml:space="preserve">Business Insurance in Longueuil, QC</t>
  </si>
  <si>
    <t xml:space="preserve">business insurance longueuil</t>
  </si>
  <si>
    <t xml:space="preserve">P0373</t>
  </si>
  <si>
    <t xml:space="preserve">https://instasure.ca/business-insurance/quebec/montreal/</t>
  </si>
  <si>
    <t xml:space="preserve">Montreal</t>
  </si>
  <si>
    <t xml:space="preserve">Business Insurance Montreal, QC: Compare Quotes &amp; Costs (2026)</t>
  </si>
  <si>
    <t xml:space="preserve">Compare business insurance in Montreal, QC: instant estimate ($35.00–$60.00/mo example), local risk factors and a waitlist for licensed advice in Quebec.</t>
  </si>
  <si>
    <t xml:space="preserve">Business Insurance in Montreal, QC</t>
  </si>
  <si>
    <t xml:space="preserve">business insurance montreal</t>
  </si>
  <si>
    <t xml:space="preserve">P0374</t>
  </si>
  <si>
    <t xml:space="preserve">https://instasure.ca/business-insurance/quebec/quebec-city/</t>
  </si>
  <si>
    <t xml:space="preserve">Quebec City</t>
  </si>
  <si>
    <t xml:space="preserve">Business Insurance Quebec City, QC: Compare Quotes &amp; Costs (2026)</t>
  </si>
  <si>
    <t xml:space="preserve">Compare business insurance in Quebec City, QC: instant estimate ($35.00–$60.00/mo example), local risk factors and a waitlist for licensed advice in Quebec.</t>
  </si>
  <si>
    <t xml:space="preserve">Business Insurance in Quebec City, QC</t>
  </si>
  <si>
    <t xml:space="preserve">business insurance quebec city</t>
  </si>
  <si>
    <t xml:space="preserve">P0375</t>
  </si>
  <si>
    <t xml:space="preserve">https://instasure.ca/business-insurance/quebec/sherbrooke/</t>
  </si>
  <si>
    <t xml:space="preserve">Sherbrooke</t>
  </si>
  <si>
    <t xml:space="preserve">Business Insurance Sherbrooke, QC: Compare Quotes &amp; Costs (2026)</t>
  </si>
  <si>
    <t xml:space="preserve">Compare business insurance in Sherbrooke, QC: instant estimate ($35.00–$60.00/mo example), local risk factors and a waitlist for licensed advice in Quebec.</t>
  </si>
  <si>
    <t xml:space="preserve">Business Insurance in Sherbrooke, QC</t>
  </si>
  <si>
    <t xml:space="preserve">business insurance sherbrooke</t>
  </si>
  <si>
    <t xml:space="preserve">P0376</t>
  </si>
  <si>
    <t xml:space="preserve">https://instasure.ca/business-insurance/saskatchewan/regina/</t>
  </si>
  <si>
    <t xml:space="preserve">Regina</t>
  </si>
  <si>
    <t xml:space="preserve">Business Insurance Regina, SK: Compare Quotes &amp; Costs (2026)</t>
  </si>
  <si>
    <t xml:space="preserve">Compare business insurance in Regina, SK: instant estimate ($35.00–$60.00/mo example), local risk factors and advisors licensed in Saskatchewan.</t>
  </si>
  <si>
    <t xml:space="preserve">Business Insurance in Regina, SK</t>
  </si>
  <si>
    <t xml:space="preserve">business insurance regina</t>
  </si>
  <si>
    <t xml:space="preserve">P0377</t>
  </si>
  <si>
    <t xml:space="preserve">https://instasure.ca/business-insurance/saskatchewan/saskatoon/</t>
  </si>
  <si>
    <t xml:space="preserve">Saskatoon</t>
  </si>
  <si>
    <t xml:space="preserve">Business Insurance Saskatoon, SK: Compare Quotes &amp; Costs (2026)</t>
  </si>
  <si>
    <t xml:space="preserve">Compare business insurance in Saskatoon, SK: instant estimate ($35.00–$60.00/mo example), local risk factors and advisors licensed in Saskatchewan.</t>
  </si>
  <si>
    <t xml:space="preserve">Business Insurance in Saskatoon, SK</t>
  </si>
  <si>
    <t xml:space="preserve">business insurance saskatoon</t>
  </si>
  <si>
    <t xml:space="preserve">P0378</t>
  </si>
  <si>
    <t xml:space="preserve">https://instasure.ca/business-insurance/yukon/whitehorse/</t>
  </si>
  <si>
    <t xml:space="preserve">Whitehorse</t>
  </si>
  <si>
    <t xml:space="preserve">Business Insurance Whitehorse, YT: Compare Quotes &amp; Costs (2026)</t>
  </si>
  <si>
    <t xml:space="preserve">Compare business insurance in Whitehorse, YT: instant estimate ($35.00–$60.00/mo example), local risk factors and a waitlist for licensed advice in Yukon.</t>
  </si>
  <si>
    <t xml:space="preserve">Business Insurance in Whitehorse, YT</t>
  </si>
  <si>
    <t xml:space="preserve">business insurance whitehorse</t>
  </si>
  <si>
    <t xml:space="preserve">P0379</t>
  </si>
  <si>
    <t xml:space="preserve">https://instasure.ca/car-insurance/alberta/airdrie/</t>
  </si>
  <si>
    <t xml:space="preserve">Car Insurance Airdrie, AB: Compare Quotes &amp; Costs (2026)</t>
  </si>
  <si>
    <t xml:space="preserve">Compare car insurance in Airdrie, AB: instant estimate ($130–$201/mo example), local risk factors and advisors licensed in Alberta.</t>
  </si>
  <si>
    <t xml:space="preserve">Car Insurance in Airdrie, AB</t>
  </si>
  <si>
    <t xml:space="preserve">car insurance airdrie</t>
  </si>
  <si>
    <t xml:space="preserve">P0380</t>
  </si>
  <si>
    <t xml:space="preserve">https://instasure.ca/car-insurance/alberta/calgary/</t>
  </si>
  <si>
    <t xml:space="preserve">Car Insurance Calgary, AB: Compare Quotes &amp; Costs (2026)</t>
  </si>
  <si>
    <t xml:space="preserve">Compare car insurance in Calgary, AB: instant estimate ($136–$211/mo example), local risk factors and advisors licensed in Alberta.</t>
  </si>
  <si>
    <t xml:space="preserve">Car Insurance in Calgary, AB</t>
  </si>
  <si>
    <t xml:space="preserve">car insurance calgary</t>
  </si>
  <si>
    <t xml:space="preserve">P0381</t>
  </si>
  <si>
    <t xml:space="preserve">https://instasure.ca/car-insurance/alberta/edmonton/</t>
  </si>
  <si>
    <t xml:space="preserve">Car Insurance Edmonton, AB: Compare Quotes &amp; Costs (2026)</t>
  </si>
  <si>
    <t xml:space="preserve">Compare car insurance in Edmonton, AB: instant estimate ($130–$201/mo example), local risk factors and advisors licensed in Alberta.</t>
  </si>
  <si>
    <t xml:space="preserve">Car Insurance in Edmonton, AB</t>
  </si>
  <si>
    <t xml:space="preserve">car insurance edmonton</t>
  </si>
  <si>
    <t xml:space="preserve">P0382</t>
  </si>
  <si>
    <t xml:space="preserve">https://instasure.ca/car-insurance/alberta/lethbridge/</t>
  </si>
  <si>
    <t xml:space="preserve">Car Insurance Lethbridge, AB: Compare Quotes &amp; Costs (2026)</t>
  </si>
  <si>
    <t xml:space="preserve">Compare car insurance in Lethbridge, AB: instant estimate ($117–$181/mo example), local risk factors and advisors licensed in Alberta.</t>
  </si>
  <si>
    <t xml:space="preserve">Car Insurance in Lethbridge, AB</t>
  </si>
  <si>
    <t xml:space="preserve">car insurance lethbridge</t>
  </si>
  <si>
    <t xml:space="preserve">P0383</t>
  </si>
  <si>
    <t xml:space="preserve">https://instasure.ca/car-insurance/alberta/red-deer/</t>
  </si>
  <si>
    <t xml:space="preserve">Car Insurance Red Deer, AB: Compare Quotes &amp; Costs (2026)</t>
  </si>
  <si>
    <t xml:space="preserve">Compare car insurance in Red Deer, AB: instant estimate ($123–$191/mo example), local risk factors and advisors licensed in Alberta.</t>
  </si>
  <si>
    <t xml:space="preserve">Car Insurance in Red Deer, AB</t>
  </si>
  <si>
    <t xml:space="preserve">car insurance red deer</t>
  </si>
  <si>
    <t xml:space="preserve">P0384</t>
  </si>
  <si>
    <t xml:space="preserve">https://instasure.ca/car-insurance/british-columbia/abbotsford/</t>
  </si>
  <si>
    <t xml:space="preserve">Car Insurance Abbotsford, BC: Compare Quotes &amp; Costs (2026)</t>
  </si>
  <si>
    <t xml:space="preserve">Compare car insurance in Abbotsford, BC: instant estimate ($117–$182/mo example), local risk factors and advisors licensed in British Columbia.</t>
  </si>
  <si>
    <t xml:space="preserve">Car Insurance in Abbotsford, BC</t>
  </si>
  <si>
    <t xml:space="preserve">car insurance abbotsford</t>
  </si>
  <si>
    <t xml:space="preserve">P0385</t>
  </si>
  <si>
    <t xml:space="preserve">https://instasure.ca/car-insurance/british-columbia/burnaby/</t>
  </si>
  <si>
    <t xml:space="preserve">Car Insurance Burnaby, BC: Compare Quotes &amp; Costs (2026)</t>
  </si>
  <si>
    <t xml:space="preserve">Compare car insurance in Burnaby, BC: instant estimate ($130–$201/mo example), local risk factors and advisors licensed in British Columbia.</t>
  </si>
  <si>
    <t xml:space="preserve">Car Insurance in Burnaby, BC</t>
  </si>
  <si>
    <t xml:space="preserve">car insurance burnaby</t>
  </si>
  <si>
    <t xml:space="preserve">P0386</t>
  </si>
  <si>
    <t xml:space="preserve">https://instasure.ca/car-insurance/british-columbia/coquitlam/</t>
  </si>
  <si>
    <t xml:space="preserve">Car Insurance Coquitlam, BC: Compare Quotes &amp; Costs (2026)</t>
  </si>
  <si>
    <t xml:space="preserve">Compare car insurance in Coquitlam, BC: instant estimate ($124–$191/mo example), local risk factors and advisors licensed in British Columbia.</t>
  </si>
  <si>
    <t xml:space="preserve">Car Insurance in Coquitlam, BC</t>
  </si>
  <si>
    <t xml:space="preserve">car insurance coquitlam</t>
  </si>
  <si>
    <t xml:space="preserve">P0387</t>
  </si>
  <si>
    <t xml:space="preserve">https://instasure.ca/car-insurance/british-columbia/kelowna/</t>
  </si>
  <si>
    <t xml:space="preserve">Car Insurance Kelowna, BC: Compare Quotes &amp; Costs (2026)</t>
  </si>
  <si>
    <t xml:space="preserve">Compare car insurance in Kelowna, BC: instant estimate ($117–$182/mo example), local risk factors and advisors licensed in British Columbia.</t>
  </si>
  <si>
    <t xml:space="preserve">Car Insurance in Kelowna, BC</t>
  </si>
  <si>
    <t xml:space="preserve">car insurance kelowna</t>
  </si>
  <si>
    <t xml:space="preserve">P0388</t>
  </si>
  <si>
    <t xml:space="preserve">https://instasure.ca/car-insurance/british-columbia/langley/</t>
  </si>
  <si>
    <t xml:space="preserve">Car Insurance Langley, BC: Compare Quotes &amp; Costs (2026)</t>
  </si>
  <si>
    <t xml:space="preserve">Compare car insurance in Langley, BC: instant estimate ($121–$188/mo example), local risk factors and advisors licensed in British Columbia.</t>
  </si>
  <si>
    <t xml:space="preserve">Car Insurance in Langley, BC</t>
  </si>
  <si>
    <t xml:space="preserve">car insurance langley</t>
  </si>
  <si>
    <t xml:space="preserve">P0389</t>
  </si>
  <si>
    <t xml:space="preserve">https://instasure.ca/car-insurance/british-columbia/richmond/</t>
  </si>
  <si>
    <t xml:space="preserve">Car Insurance Richmond, BC: Compare Quotes &amp; Costs (2026)</t>
  </si>
  <si>
    <t xml:space="preserve">Compare car insurance in Richmond, BC: instant estimate ($130–$201/mo example), local risk factors and advisors licensed in British Columbia.</t>
  </si>
  <si>
    <t xml:space="preserve">Car Insurance in Richmond, BC</t>
  </si>
  <si>
    <t xml:space="preserve">car insurance richmond bc</t>
  </si>
  <si>
    <t xml:space="preserve">P0390</t>
  </si>
  <si>
    <t xml:space="preserve">https://instasure.ca/car-insurance/british-columbia/surrey/</t>
  </si>
  <si>
    <t xml:space="preserve">Car Insurance Surrey, BC: Compare Quotes &amp; Costs (2026)</t>
  </si>
  <si>
    <t xml:space="preserve">Compare car insurance in Surrey, BC: instant estimate ($130–$201/mo example), local risk factors and advisors licensed in British Columbia.</t>
  </si>
  <si>
    <t xml:space="preserve">Car Insurance in Surrey, BC</t>
  </si>
  <si>
    <t xml:space="preserve">car insurance surrey</t>
  </si>
  <si>
    <t xml:space="preserve">P0391</t>
  </si>
  <si>
    <t xml:space="preserve">https://instasure.ca/car-insurance/british-columbia/vancouver/</t>
  </si>
  <si>
    <t xml:space="preserve">Car Insurance Vancouver, BC: Compare Quotes &amp; Costs (2026)</t>
  </si>
  <si>
    <t xml:space="preserve">Compare car insurance in Vancouver, BC: instant estimate ($136–$211/mo example), local risk factors and advisors licensed in British Columbia.</t>
  </si>
  <si>
    <t xml:space="preserve">Car Insurance in Vancouver, BC</t>
  </si>
  <si>
    <t xml:space="preserve">car insurance vancouver</t>
  </si>
  <si>
    <t xml:space="preserve">P0392</t>
  </si>
  <si>
    <t xml:space="preserve">https://instasure.ca/car-insurance/british-columbia/victoria/</t>
  </si>
  <si>
    <t xml:space="preserve">Car Insurance Victoria, BC: Compare Quotes &amp; Costs (2026)</t>
  </si>
  <si>
    <t xml:space="preserve">Compare car insurance in Victoria, BC: instant estimate ($111–$172/mo example), local risk factors and advisors licensed in British Columbia.</t>
  </si>
  <si>
    <t xml:space="preserve">Car Insurance in Victoria, BC</t>
  </si>
  <si>
    <t xml:space="preserve">car insurance victoria</t>
  </si>
  <si>
    <t xml:space="preserve">P0393</t>
  </si>
  <si>
    <t xml:space="preserve">https://instasure.ca/car-insurance/manitoba/brandon/</t>
  </si>
  <si>
    <t xml:space="preserve">Car Insurance Brandon, MB: Compare Quotes &amp; Costs (2026)</t>
  </si>
  <si>
    <t xml:space="preserve">Compare car insurance in Brandon, MB: instant estimate ($81.00–$126/mo example), local risk factors and advisors licensed in Manitoba.</t>
  </si>
  <si>
    <t xml:space="preserve">Car Insurance in Brandon, MB</t>
  </si>
  <si>
    <t xml:space="preserve">car insurance brandon</t>
  </si>
  <si>
    <t xml:space="preserve">P0394</t>
  </si>
  <si>
    <t xml:space="preserve">https://instasure.ca/car-insurance/manitoba/winnipeg/</t>
  </si>
  <si>
    <t xml:space="preserve">Car Insurance Winnipeg, MB: Compare Quotes &amp; Costs (2026)</t>
  </si>
  <si>
    <t xml:space="preserve">Compare car insurance in Winnipeg, MB: instant estimate ($86.00–$133/mo example), local risk factors and advisors licensed in Manitoba.</t>
  </si>
  <si>
    <t xml:space="preserve">Car Insurance in Winnipeg, MB</t>
  </si>
  <si>
    <t xml:space="preserve">car insurance winnipeg</t>
  </si>
  <si>
    <t xml:space="preserve">P0395</t>
  </si>
  <si>
    <t xml:space="preserve">https://instasure.ca/car-insurance/new-brunswick/fredericton/</t>
  </si>
  <si>
    <t xml:space="preserve">Car Insurance Fredericton, NB: Compare Quotes &amp; Costs (2026)</t>
  </si>
  <si>
    <t xml:space="preserve">Compare car insurance in Fredericton, NB: instant estimate ($63.00–$98.00/mo example), local risk factors and advisors licensed in New Brunswick.</t>
  </si>
  <si>
    <t xml:space="preserve">Car Insurance in Fredericton, NB</t>
  </si>
  <si>
    <t xml:space="preserve">car insurance fredericton</t>
  </si>
  <si>
    <t xml:space="preserve">P0396</t>
  </si>
  <si>
    <t xml:space="preserve">https://instasure.ca/car-insurance/new-brunswick/moncton/</t>
  </si>
  <si>
    <t xml:space="preserve">Car Insurance Moncton, NB: Compare Quotes &amp; Costs (2026)</t>
  </si>
  <si>
    <t xml:space="preserve">Compare car insurance in Moncton, NB: instant estimate ($67.00–$103/mo example), local risk factors and advisors licensed in New Brunswick.</t>
  </si>
  <si>
    <t xml:space="preserve">Car Insurance in Moncton, NB</t>
  </si>
  <si>
    <t xml:space="preserve">car insurance moncton</t>
  </si>
  <si>
    <t xml:space="preserve">P0397</t>
  </si>
  <si>
    <t xml:space="preserve">https://instasure.ca/car-insurance/new-brunswick/saint-john/</t>
  </si>
  <si>
    <t xml:space="preserve">Car Insurance Saint John, NB: Compare Quotes &amp; Costs (2026)</t>
  </si>
  <si>
    <t xml:space="preserve">Compare car insurance in Saint John, NB: instant estimate ($67.00–$103/mo example), local risk factors and advisors licensed in New Brunswick.</t>
  </si>
  <si>
    <t xml:space="preserve">Car Insurance in Saint John, NB</t>
  </si>
  <si>
    <t xml:space="preserve">car insurance saint john</t>
  </si>
  <si>
    <t xml:space="preserve">P0398</t>
  </si>
  <si>
    <t xml:space="preserve">https://instasure.ca/car-insurance/newfoundland-and-labrador/st-johns/</t>
  </si>
  <si>
    <t xml:space="preserve">Car Insurance St. John’s, NL: Compare Quotes &amp; Costs (2026)</t>
  </si>
  <si>
    <t xml:space="preserve">Compare car insurance in St. John’s, NL: instant estimate ($86.00–$133/mo example), local risk factors and advisors licensed in Newfoundland and Labrador.</t>
  </si>
  <si>
    <t xml:space="preserve">Car Insurance in St. John’s, NL</t>
  </si>
  <si>
    <t xml:space="preserve">car insurance st johns</t>
  </si>
  <si>
    <t xml:space="preserve">P0399</t>
  </si>
  <si>
    <t xml:space="preserve">https://instasure.ca/car-insurance/northwest-territories/yellowknife/</t>
  </si>
  <si>
    <t xml:space="preserve">Car Insurance Yellowknife, NT: Compare Quotes &amp; Costs (2026)</t>
  </si>
  <si>
    <t xml:space="preserve">Compare car insurance in Yellowknife, NT: instant estimate ($82.00–$128/mo example), local risk factors and a waitlist for licensed advice in Northwest Territories.</t>
  </si>
  <si>
    <t xml:space="preserve">Car Insurance in Yellowknife, NT</t>
  </si>
  <si>
    <t xml:space="preserve">car insurance yellowknife</t>
  </si>
  <si>
    <t xml:space="preserve">P0400</t>
  </si>
  <si>
    <t xml:space="preserve">https://instasure.ca/car-insurance/nova-scotia/halifax/</t>
  </si>
  <si>
    <t xml:space="preserve">Car Insurance Halifax, NS: Compare Quotes &amp; Costs (2026)</t>
  </si>
  <si>
    <t xml:space="preserve">Compare car insurance in Halifax, NS: instant estimate ($87.00–$135/mo example), local risk factors and advisors licensed in Nova Scotia.</t>
  </si>
  <si>
    <t xml:space="preserve">Car Insurance in Halifax, NS</t>
  </si>
  <si>
    <t xml:space="preserve">car insurance halifax</t>
  </si>
  <si>
    <t xml:space="preserve">P0401</t>
  </si>
  <si>
    <t xml:space="preserve">https://instasure.ca/car-insurance/ontario/ajax/</t>
  </si>
  <si>
    <t xml:space="preserve">Car Insurance Ajax, ON: Compare Quotes &amp; Costs (2026)</t>
  </si>
  <si>
    <t xml:space="preserve">Compare car insurance in Ajax, ON: instant estimate ($158–$244/mo example), local risk factors and advisors licensed in Ontario.</t>
  </si>
  <si>
    <t xml:space="preserve">Car Insurance in Ajax, ON</t>
  </si>
  <si>
    <t xml:space="preserve">car insurance ajax</t>
  </si>
  <si>
    <t xml:space="preserve">P0402</t>
  </si>
  <si>
    <t xml:space="preserve">https://instasure.ca/car-insurance/ontario/barrie/</t>
  </si>
  <si>
    <t xml:space="preserve">Car Insurance Barrie, ON: Compare Quotes &amp; Costs (2026)</t>
  </si>
  <si>
    <t xml:space="preserve">Compare car insurance in Barrie, ON: instant estimate ($126–$195/mo example), local risk factors and advisors licensed in Ontario.</t>
  </si>
  <si>
    <t xml:space="preserve">Car Insurance in Barrie, ON</t>
  </si>
  <si>
    <t xml:space="preserve">car insurance barrie</t>
  </si>
  <si>
    <t xml:space="preserve">P0403</t>
  </si>
  <si>
    <t xml:space="preserve">https://instasure.ca/car-insurance/ontario/brampton/</t>
  </si>
  <si>
    <t xml:space="preserve">Car Insurance Brampton, ON: Compare Quotes &amp; Costs (2026)</t>
  </si>
  <si>
    <t xml:space="preserve">Compare car insurance in Brampton, ON: instant estimate ($212–$329/mo example), local risk factors and advisors licensed in Ontario.</t>
  </si>
  <si>
    <t xml:space="preserve">Car Insurance in Brampton, ON</t>
  </si>
  <si>
    <t xml:space="preserve">car insurance brampton</t>
  </si>
  <si>
    <t xml:space="preserve">P0404</t>
  </si>
  <si>
    <t xml:space="preserve">https://instasure.ca/car-insurance/ontario/burlington/</t>
  </si>
  <si>
    <t xml:space="preserve">Car Insurance Burlington, ON: Compare Quotes &amp; Costs (2026)</t>
  </si>
  <si>
    <t xml:space="preserve">Compare car insurance in Burlington, ON: instant estimate ($130–$202/mo example), local risk factors and advisors licensed in Ontario.</t>
  </si>
  <si>
    <t xml:space="preserve">Car Insurance in Burlington, ON</t>
  </si>
  <si>
    <t xml:space="preserve">car insurance burlington</t>
  </si>
  <si>
    <t xml:space="preserve">P0405</t>
  </si>
  <si>
    <t xml:space="preserve">https://instasure.ca/car-insurance/ontario/cambridge/</t>
  </si>
  <si>
    <t xml:space="preserve">Car Insurance Cambridge, ON: Compare Quotes &amp; Costs (2026)</t>
  </si>
  <si>
    <t xml:space="preserve">Compare car insurance in Cambridge, ON: instant estimate ($118–$183/mo example), local risk factors and advisors licensed in Ontario.</t>
  </si>
  <si>
    <t xml:space="preserve">Car Insurance in Cambridge, ON</t>
  </si>
  <si>
    <t xml:space="preserve">car insurance cambridge</t>
  </si>
  <si>
    <t xml:space="preserve">P0406</t>
  </si>
  <si>
    <t xml:space="preserve">https://instasure.ca/car-insurance/ontario/guelph/</t>
  </si>
  <si>
    <t xml:space="preserve">Car Insurance Guelph, ON: Compare Quotes &amp; Costs (2026)</t>
  </si>
  <si>
    <t xml:space="preserve">Compare car insurance in Guelph, ON: instant estimate ($112–$174/mo example), local risk factors and advisors licensed in Ontario.</t>
  </si>
  <si>
    <t xml:space="preserve">Car Insurance in Guelph, ON</t>
  </si>
  <si>
    <t xml:space="preserve">car insurance guelph</t>
  </si>
  <si>
    <t xml:space="preserve">P0407</t>
  </si>
  <si>
    <t xml:space="preserve">https://instasure.ca/car-insurance/ontario/hamilton/</t>
  </si>
  <si>
    <t xml:space="preserve">Car Insurance Hamilton, ON: Compare Quotes &amp; Costs (2026)</t>
  </si>
  <si>
    <t xml:space="preserve">Compare car insurance in Hamilton, ON: instant estimate ($148–$229/mo example), local risk factors and advisors licensed in Ontario.</t>
  </si>
  <si>
    <t xml:space="preserve">Car Insurance in Hamilton, ON</t>
  </si>
  <si>
    <t xml:space="preserve">car insurance hamilton</t>
  </si>
  <si>
    <t xml:space="preserve">P0408</t>
  </si>
  <si>
    <t xml:space="preserve">https://instasure.ca/car-insurance/ontario/kingston/</t>
  </si>
  <si>
    <t xml:space="preserve">Car Insurance Kingston, ON: Compare Quotes &amp; Costs (2026)</t>
  </si>
  <si>
    <t xml:space="preserve">Compare car insurance in Kingston, ON: instant estimate ($107–$166/mo example), local risk factors and advisors licensed in Ontario.</t>
  </si>
  <si>
    <t xml:space="preserve">Car Insurance in Kingston, ON</t>
  </si>
  <si>
    <t xml:space="preserve">car insurance kingston</t>
  </si>
  <si>
    <t xml:space="preserve">P0409</t>
  </si>
  <si>
    <t xml:space="preserve">https://instasure.ca/car-insurance/ontario/kitchener/</t>
  </si>
  <si>
    <t xml:space="preserve">Car Insurance Kitchener, ON: Compare Quotes &amp; Costs (2026)</t>
  </si>
  <si>
    <t xml:space="preserve">Compare car insurance in Kitchener, ON: instant estimate ($118–$183/mo example), local risk factors and advisors licensed in Ontario.</t>
  </si>
  <si>
    <t xml:space="preserve">Car Insurance in Kitchener, ON</t>
  </si>
  <si>
    <t xml:space="preserve">car insurance kitchener</t>
  </si>
  <si>
    <t xml:space="preserve">P0410</t>
  </si>
  <si>
    <t xml:space="preserve">https://instasure.ca/car-insurance/ontario/london/</t>
  </si>
  <si>
    <t xml:space="preserve">Car Insurance London, ON: Compare Quotes &amp; Costs (2026)</t>
  </si>
  <si>
    <t xml:space="preserve">Compare car insurance in London, ON: instant estimate ($118–$183/mo example), local risk factors and advisors licensed in Ontario.</t>
  </si>
  <si>
    <t xml:space="preserve">Car Insurance in London, ON</t>
  </si>
  <si>
    <t xml:space="preserve">car insurance london ontario</t>
  </si>
  <si>
    <t xml:space="preserve">P0411</t>
  </si>
  <si>
    <t xml:space="preserve">https://instasure.ca/car-insurance/ontario/markham/</t>
  </si>
  <si>
    <t xml:space="preserve">Car Insurance Markham, ON: Compare Quotes &amp; Costs (2026)</t>
  </si>
  <si>
    <t xml:space="preserve">Compare car insurance in Markham, ON: instant estimate ($171–$266/mo example), local risk factors and advisors licensed in Ontario.</t>
  </si>
  <si>
    <t xml:space="preserve">Car Insurance in Markham, ON</t>
  </si>
  <si>
    <t xml:space="preserve">car insurance markham</t>
  </si>
  <si>
    <t xml:space="preserve">P0412</t>
  </si>
  <si>
    <t xml:space="preserve">https://instasure.ca/car-insurance/ontario/milton/</t>
  </si>
  <si>
    <t xml:space="preserve">Car Insurance Milton, ON: Compare Quotes &amp; Costs (2026)</t>
  </si>
  <si>
    <t xml:space="preserve">Compare car insurance in Milton, ON: instant estimate ($144–$223/mo example), local risk factors and advisors licensed in Ontario.</t>
  </si>
  <si>
    <t xml:space="preserve">Car Insurance in Milton, ON</t>
  </si>
  <si>
    <t xml:space="preserve">car insurance milton</t>
  </si>
  <si>
    <t xml:space="preserve">P0413</t>
  </si>
  <si>
    <t xml:space="preserve">https://instasure.ca/car-insurance/ontario/mississauga/</t>
  </si>
  <si>
    <t xml:space="preserve">Car Insurance Mississauga, ON: Compare Quotes &amp; Costs (2026)</t>
  </si>
  <si>
    <t xml:space="preserve">Compare car insurance in Mississauga, ON: instant estimate ($181–$280/mo example), local risk factors and advisors licensed in Ontario.</t>
  </si>
  <si>
    <t xml:space="preserve">Car Insurance in Mississauga, ON</t>
  </si>
  <si>
    <t xml:space="preserve">car insurance mississauga</t>
  </si>
  <si>
    <t xml:space="preserve">P0414</t>
  </si>
  <si>
    <t xml:space="preserve">https://instasure.ca/car-insurance/ontario/oakville/</t>
  </si>
  <si>
    <t xml:space="preserve">Car Insurance Oakville, ON: Compare Quotes &amp; Costs (2026)</t>
  </si>
  <si>
    <t xml:space="preserve">Compare car insurance in Oakville, ON: instant estimate ($144–$223/mo example), local risk factors and advisors licensed in Ontario.</t>
  </si>
  <si>
    <t xml:space="preserve">Car Insurance in Oakville, ON</t>
  </si>
  <si>
    <t xml:space="preserve">car insurance oakville</t>
  </si>
  <si>
    <t xml:space="preserve">P0415</t>
  </si>
  <si>
    <t xml:space="preserve">https://instasure.ca/car-insurance/ontario/oshawa/</t>
  </si>
  <si>
    <t xml:space="preserve">Car Insurance Oshawa, ON: Compare Quotes &amp; Costs (2026)</t>
  </si>
  <si>
    <t xml:space="preserve">Compare car insurance in Oshawa, ON: instant estimate ($153–$238/mo example), local risk factors and advisors licensed in Ontario.</t>
  </si>
  <si>
    <t xml:space="preserve">Car Insurance in Oshawa, ON</t>
  </si>
  <si>
    <t xml:space="preserve">car insurance oshawa</t>
  </si>
  <si>
    <t xml:space="preserve">P0416</t>
  </si>
  <si>
    <t xml:space="preserve">https://instasure.ca/car-insurance/ontario/ottawa/</t>
  </si>
  <si>
    <t xml:space="preserve">Car Insurance Ottawa, ON: Compare Quotes &amp; Costs (2026)</t>
  </si>
  <si>
    <t xml:space="preserve">Compare car insurance in Ottawa, ON: instant estimate ($116–$181/mo example), local risk factors and advisors licensed in Ontario.</t>
  </si>
  <si>
    <t xml:space="preserve">Car Insurance in Ottawa, ON</t>
  </si>
  <si>
    <t xml:space="preserve">car insurance ottawa</t>
  </si>
  <si>
    <t xml:space="preserve">P0417</t>
  </si>
  <si>
    <t xml:space="preserve">https://instasure.ca/car-insurance/ontario/pickering/</t>
  </si>
  <si>
    <t xml:space="preserve">Car Insurance Pickering, ON: Compare Quotes &amp; Costs (2026)</t>
  </si>
  <si>
    <t xml:space="preserve">Compare car insurance in Pickering, ON: instant estimate ($158–$244/mo example), local risk factors and advisors licensed in Ontario.</t>
  </si>
  <si>
    <t xml:space="preserve">Car Insurance in Pickering, ON</t>
  </si>
  <si>
    <t xml:space="preserve">car insurance pickering</t>
  </si>
  <si>
    <t xml:space="preserve">P0418</t>
  </si>
  <si>
    <t xml:space="preserve">https://instasure.ca/car-insurance/ontario/richmond-hill/</t>
  </si>
  <si>
    <t xml:space="preserve">Car Insurance Richmond Hill, ON: Compare Quotes &amp; Costs (2026)</t>
  </si>
  <si>
    <t xml:space="preserve">Compare car insurance in Richmond Hill, ON: instant estimate ($178–$276/mo example), local risk factors and advisors licensed in Ontario.</t>
  </si>
  <si>
    <t xml:space="preserve">Car Insurance in Richmond Hill, ON</t>
  </si>
  <si>
    <t xml:space="preserve">car insurance richmond hill</t>
  </si>
  <si>
    <t xml:space="preserve">P0419</t>
  </si>
  <si>
    <t xml:space="preserve">https://instasure.ca/car-insurance/ontario/st-catharines/</t>
  </si>
  <si>
    <t xml:space="preserve">Car Insurance St. Catharines, ON: Compare Quotes &amp; Costs (2026)</t>
  </si>
  <si>
    <t xml:space="preserve">Compare car insurance in St. Catharines, ON: instant estimate ($123–$191/mo example), local risk factors and advisors licensed in Ontario.</t>
  </si>
  <si>
    <t xml:space="preserve">Car Insurance in St. Catharines, ON</t>
  </si>
  <si>
    <t xml:space="preserve">car insurance st catharines</t>
  </si>
  <si>
    <t xml:space="preserve">P0420</t>
  </si>
  <si>
    <t xml:space="preserve">https://instasure.ca/car-insurance/ontario/sudbury/</t>
  </si>
  <si>
    <t xml:space="preserve">Car Insurance Sudbury, ON: Compare Quotes &amp; Costs (2026)</t>
  </si>
  <si>
    <t xml:space="preserve">Compare car insurance in Sudbury, ON: instant estimate ($107–$166/mo example), local risk factors and advisors licensed in Ontario.</t>
  </si>
  <si>
    <t xml:space="preserve">Car Insurance in Sudbury, ON</t>
  </si>
  <si>
    <t xml:space="preserve">car insurance sudbury</t>
  </si>
  <si>
    <t xml:space="preserve">P0421</t>
  </si>
  <si>
    <t xml:space="preserve">https://instasure.ca/car-insurance/ontario/thunder-bay/</t>
  </si>
  <si>
    <t xml:space="preserve">Car Insurance Thunder Bay, ON: Compare Quotes &amp; Costs (2026)</t>
  </si>
  <si>
    <t xml:space="preserve">Compare car insurance in Thunder Bay, ON: instant estimate ($107–$166/mo example), local risk factors and advisors licensed in Ontario.</t>
  </si>
  <si>
    <t xml:space="preserve">Car Insurance in Thunder Bay, ON</t>
  </si>
  <si>
    <t xml:space="preserve">car insurance thunder bay</t>
  </si>
  <si>
    <t xml:space="preserve">P0422</t>
  </si>
  <si>
    <t xml:space="preserve">https://instasure.ca/car-insurance/ontario/toronto/</t>
  </si>
  <si>
    <t xml:space="preserve">Car Insurance Toronto, ON: Compare Quotes &amp; Costs (2026)</t>
  </si>
  <si>
    <t xml:space="preserve">Compare car insurance in Toronto, ON: instant estimate ($171–$266/mo example), local risk factors and advisors licensed in Ontario.</t>
  </si>
  <si>
    <t xml:space="preserve">Car Insurance in Toronto, ON</t>
  </si>
  <si>
    <t xml:space="preserve">car insurance toronto</t>
  </si>
  <si>
    <t xml:space="preserve">P0423</t>
  </si>
  <si>
    <t xml:space="preserve">https://instasure.ca/car-insurance/ontario/vaughan/</t>
  </si>
  <si>
    <t xml:space="preserve">Car Insurance Vaughan, ON: Compare Quotes &amp; Costs (2026)</t>
  </si>
  <si>
    <t xml:space="preserve">Compare car insurance in Vaughan, ON: instant estimate ($185–$287/mo example), local risk factors and advisors licensed in Ontario.</t>
  </si>
  <si>
    <t xml:space="preserve">Car Insurance in Vaughan, ON</t>
  </si>
  <si>
    <t xml:space="preserve">car insurance vaughan</t>
  </si>
  <si>
    <t xml:space="preserve">P0424</t>
  </si>
  <si>
    <t xml:space="preserve">https://instasure.ca/car-insurance/ontario/waterloo/</t>
  </si>
  <si>
    <t xml:space="preserve">Car Insurance Waterloo, ON: Compare Quotes &amp; Costs (2026)</t>
  </si>
  <si>
    <t xml:space="preserve">Compare car insurance in Waterloo, ON: instant estimate ($116–$181/mo example), local risk factors and advisors licensed in Ontario.</t>
  </si>
  <si>
    <t xml:space="preserve">Car Insurance in Waterloo, ON</t>
  </si>
  <si>
    <t xml:space="preserve">car insurance waterloo</t>
  </si>
  <si>
    <t xml:space="preserve">P0425</t>
  </si>
  <si>
    <t xml:space="preserve">https://instasure.ca/car-insurance/ontario/whitby/</t>
  </si>
  <si>
    <t xml:space="preserve">Car Insurance Whitby, ON: Compare Quotes &amp; Costs (2026)</t>
  </si>
  <si>
    <t xml:space="preserve">Compare car insurance in Whitby, ON: instant estimate ($151–$234/mo example), local risk factors and advisors licensed in Ontario.</t>
  </si>
  <si>
    <t xml:space="preserve">Car Insurance in Whitby, ON</t>
  </si>
  <si>
    <t xml:space="preserve">car insurance whitby</t>
  </si>
  <si>
    <t xml:space="preserve">P0426</t>
  </si>
  <si>
    <t xml:space="preserve">https://instasure.ca/car-insurance/ontario/windsor/</t>
  </si>
  <si>
    <t xml:space="preserve">Car Insurance Windsor, ON: Compare Quotes &amp; Costs (2026)</t>
  </si>
  <si>
    <t xml:space="preserve">Compare car insurance in Windsor, ON: instant estimate ($137–$212/mo example), local risk factors and advisors licensed in Ontario.</t>
  </si>
  <si>
    <t xml:space="preserve">Car Insurance in Windsor, ON</t>
  </si>
  <si>
    <t xml:space="preserve">car insurance windsor</t>
  </si>
  <si>
    <t xml:space="preserve">P0427</t>
  </si>
  <si>
    <t xml:space="preserve">https://instasure.ca/car-insurance/prince-edward-island/charlottetown/</t>
  </si>
  <si>
    <t xml:space="preserve">Car Insurance Charlottetown, PE: Compare Quotes &amp; Costs (2026)</t>
  </si>
  <si>
    <t xml:space="preserve">Compare car insurance in Charlottetown, PE: instant estimate ($60.00–$93.00/mo example), local risk factors and advisors licensed in Prince Edward Island.</t>
  </si>
  <si>
    <t xml:space="preserve">Car Insurance in Charlottetown, PE</t>
  </si>
  <si>
    <t xml:space="preserve">car insurance charlottetown</t>
  </si>
  <si>
    <t xml:space="preserve">P0428</t>
  </si>
  <si>
    <t xml:space="preserve">https://instasure.ca/car-insurance/quebec/gatineau/</t>
  </si>
  <si>
    <t xml:space="preserve">Car Insurance Gatineau, QC: Compare Quotes &amp; Costs (2026)</t>
  </si>
  <si>
    <t xml:space="preserve">Compare car insurance in Gatineau, QC: instant estimate ($57.00–$89.00/mo example), local risk factors and a waitlist for licensed advice in Quebec.</t>
  </si>
  <si>
    <t xml:space="preserve">Car Insurance in Gatineau, QC</t>
  </si>
  <si>
    <t xml:space="preserve">car insurance gatineau</t>
  </si>
  <si>
    <t xml:space="preserve">P0429</t>
  </si>
  <si>
    <t xml:space="preserve">https://instasure.ca/car-insurance/quebec/laval/</t>
  </si>
  <si>
    <t xml:space="preserve">Car Insurance Laval, QC: Compare Quotes &amp; Costs (2026)</t>
  </si>
  <si>
    <t xml:space="preserve">Compare car insurance in Laval, QC: instant estimate ($66.00–$103/mo example), local risk factors and a waitlist for licensed advice in Quebec.</t>
  </si>
  <si>
    <t xml:space="preserve">Car Insurance in Laval, QC</t>
  </si>
  <si>
    <t xml:space="preserve">car insurance laval</t>
  </si>
  <si>
    <t xml:space="preserve">P0430</t>
  </si>
  <si>
    <t xml:space="preserve">https://instasure.ca/car-insurance/quebec/longueuil/</t>
  </si>
  <si>
    <t xml:space="preserve">Car Insurance Longueuil, QC: Compare Quotes &amp; Costs (2026)</t>
  </si>
  <si>
    <t xml:space="preserve">Compare car insurance in Longueuil, QC: instant estimate ($63.00–$98.00/mo example), local risk factors and a waitlist for licensed advice in Quebec.</t>
  </si>
  <si>
    <t xml:space="preserve">Car Insurance in Longueuil, QC</t>
  </si>
  <si>
    <t xml:space="preserve">car insurance longueuil</t>
  </si>
  <si>
    <t xml:space="preserve">P0431</t>
  </si>
  <si>
    <t xml:space="preserve">https://instasure.ca/car-insurance/quebec/montreal/</t>
  </si>
  <si>
    <t xml:space="preserve">Car Insurance Montreal, QC: Compare Quotes &amp; Costs (2026)</t>
  </si>
  <si>
    <t xml:space="preserve">Compare car insurance in Montreal, QC: instant estimate ($69.00–$107/mo example), local risk factors and a waitlist for licensed advice in Quebec.</t>
  </si>
  <si>
    <t xml:space="preserve">Car Insurance in Montreal, QC</t>
  </si>
  <si>
    <t xml:space="preserve">car insurance montreal</t>
  </si>
  <si>
    <t xml:space="preserve">P0432</t>
  </si>
  <si>
    <t xml:space="preserve">https://instasure.ca/car-insurance/quebec/quebec-city/</t>
  </si>
  <si>
    <t xml:space="preserve">Car Insurance Quebec City, QC: Compare Quotes &amp; Costs (2026)</t>
  </si>
  <si>
    <t xml:space="preserve">Compare car insurance in Quebec City, QC: instant estimate ($51.00–$79.00/mo example), local risk factors and a waitlist for licensed advice in Quebec.</t>
  </si>
  <si>
    <t xml:space="preserve">Car Insurance in Quebec City, QC</t>
  </si>
  <si>
    <t xml:space="preserve">car insurance quebec city</t>
  </si>
  <si>
    <t xml:space="preserve">P0433</t>
  </si>
  <si>
    <t xml:space="preserve">https://instasure.ca/car-insurance/quebec/sherbrooke/</t>
  </si>
  <si>
    <t xml:space="preserve">Car Insurance Sherbrooke, QC: Compare Quotes &amp; Costs (2026)</t>
  </si>
  <si>
    <t xml:space="preserve">Compare car insurance in Sherbrooke, QC: instant estimate ($51.00–$79.00/mo example), local risk factors and a waitlist for licensed advice in Quebec.</t>
  </si>
  <si>
    <t xml:space="preserve">Car Insurance in Sherbrooke, QC</t>
  </si>
  <si>
    <t xml:space="preserve">car insurance sherbrooke</t>
  </si>
  <si>
    <t xml:space="preserve">P0434</t>
  </si>
  <si>
    <t xml:space="preserve">https://instasure.ca/car-insurance/saskatchewan/regina/</t>
  </si>
  <si>
    <t xml:space="preserve">Car Insurance Regina, SK: Compare Quotes &amp; Costs (2026)</t>
  </si>
  <si>
    <t xml:space="preserve">Compare car insurance in Regina, SK: instant estimate ($82.00–$128/mo example), local risk factors and advisors licensed in Saskatchewan.</t>
  </si>
  <si>
    <t xml:space="preserve">Car Insurance in Regina, SK</t>
  </si>
  <si>
    <t xml:space="preserve">car insurance regina</t>
  </si>
  <si>
    <t xml:space="preserve">P0435</t>
  </si>
  <si>
    <t xml:space="preserve">https://instasure.ca/car-insurance/saskatchewan/saskatoon/</t>
  </si>
  <si>
    <t xml:space="preserve">Car Insurance Saskatoon, SK: Compare Quotes &amp; Costs (2026)</t>
  </si>
  <si>
    <t xml:space="preserve">Compare car insurance in Saskatoon, SK: instant estimate ($82.00–$128/mo example), local risk factors and advisors licensed in Saskatchewan.</t>
  </si>
  <si>
    <t xml:space="preserve">Car Insurance in Saskatoon, SK</t>
  </si>
  <si>
    <t xml:space="preserve">car insurance saskatoon</t>
  </si>
  <si>
    <t xml:space="preserve">P0436</t>
  </si>
  <si>
    <t xml:space="preserve">https://instasure.ca/car-insurance/yukon/whitehorse/</t>
  </si>
  <si>
    <t xml:space="preserve">Car Insurance Whitehorse, YT: Compare Quotes &amp; Costs (2026)</t>
  </si>
  <si>
    <t xml:space="preserve">Compare car insurance in Whitehorse, YT: instant estimate ($82.00–$128/mo example), local risk factors and a waitlist for licensed advice in Yukon.</t>
  </si>
  <si>
    <t xml:space="preserve">Car Insurance in Whitehorse, YT</t>
  </si>
  <si>
    <t xml:space="preserve">car insurance whitehorse</t>
  </si>
  <si>
    <t xml:space="preserve">P0437</t>
  </si>
  <si>
    <t xml:space="preserve">https://instasure.ca/condo-insurance/alberta/airdrie/</t>
  </si>
  <si>
    <t xml:space="preserve">Condo Insurance Airdrie, AB: Compare Quotes &amp; Costs (2026)</t>
  </si>
  <si>
    <t xml:space="preserve">Compare condo insurance in Airdrie, AB: instant estimate ($26.00–$43.00/mo example), local risk factors and advisors licensed in Alberta.</t>
  </si>
  <si>
    <t xml:space="preserve">Condo Insurance in Airdrie, AB</t>
  </si>
  <si>
    <t xml:space="preserve">condo insurance airdrie</t>
  </si>
  <si>
    <t xml:space="preserve">P0438</t>
  </si>
  <si>
    <t xml:space="preserve">https://instasure.ca/condo-insurance/alberta/calgary/</t>
  </si>
  <si>
    <t xml:space="preserve">Condo Insurance Calgary, AB: Compare Quotes &amp; Costs (2026)</t>
  </si>
  <si>
    <t xml:space="preserve">Compare condo insurance in Calgary, AB: instant estimate ($27.00–$44.00/mo example), local risk factors and advisors licensed in Alberta.</t>
  </si>
  <si>
    <t xml:space="preserve">Condo Insurance in Calgary, AB</t>
  </si>
  <si>
    <t xml:space="preserve">condo insurance calgary</t>
  </si>
  <si>
    <t xml:space="preserve">P0439</t>
  </si>
  <si>
    <t xml:space="preserve">https://instasure.ca/condo-insurance/alberta/edmonton/</t>
  </si>
  <si>
    <t xml:space="preserve">Condo Insurance Edmonton, AB: Compare Quotes &amp; Costs (2026)</t>
  </si>
  <si>
    <t xml:space="preserve">Compare condo insurance in Edmonton, AB: instant estimate ($25.00–$41.00/mo example), local risk factors and advisors licensed in Alberta.</t>
  </si>
  <si>
    <t xml:space="preserve">Condo Insurance in Edmonton, AB</t>
  </si>
  <si>
    <t xml:space="preserve">condo insurance edmonton</t>
  </si>
  <si>
    <t xml:space="preserve">P0440</t>
  </si>
  <si>
    <t xml:space="preserve">https://instasure.ca/condo-insurance/alberta/lethbridge/</t>
  </si>
  <si>
    <t xml:space="preserve">Condo Insurance Lethbridge, AB: Compare Quotes &amp; Costs (2026)</t>
  </si>
  <si>
    <t xml:space="preserve">Compare condo insurance in Lethbridge, AB: instant estimate ($25.00–$41.00/mo example), local risk factors and advisors licensed in Alberta.</t>
  </si>
  <si>
    <t xml:space="preserve">Condo Insurance in Lethbridge, AB</t>
  </si>
  <si>
    <t xml:space="preserve">condo insurance lethbridge</t>
  </si>
  <si>
    <t xml:space="preserve">P0441</t>
  </si>
  <si>
    <t xml:space="preserve">https://instasure.ca/condo-insurance/alberta/red-deer/</t>
  </si>
  <si>
    <t xml:space="preserve">Condo Insurance Red Deer, AB: Compare Quotes &amp; Costs (2026)</t>
  </si>
  <si>
    <t xml:space="preserve">Compare condo insurance in Red Deer, AB: instant estimate ($26.00–$42.00/mo example), local risk factors and advisors licensed in Alberta.</t>
  </si>
  <si>
    <t xml:space="preserve">Condo Insurance in Red Deer, AB</t>
  </si>
  <si>
    <t xml:space="preserve">condo insurance red deer</t>
  </si>
  <si>
    <t xml:space="preserve">P0442</t>
  </si>
  <si>
    <t xml:space="preserve">https://instasure.ca/condo-insurance/british-columbia/abbotsford/</t>
  </si>
  <si>
    <t xml:space="preserve">Condo Insurance Abbotsford, BC: Compare Quotes &amp; Costs (2026)</t>
  </si>
  <si>
    <t xml:space="preserve">Compare condo insurance in Abbotsford, BC: instant estimate ($30.00–$48.00/mo example), local risk factors and advisors licensed in British Columbia.</t>
  </si>
  <si>
    <t xml:space="preserve">Condo Insurance in Abbotsford, BC</t>
  </si>
  <si>
    <t xml:space="preserve">condo insurance abbotsford</t>
  </si>
  <si>
    <t xml:space="preserve">P0443</t>
  </si>
  <si>
    <t xml:space="preserve">https://instasure.ca/condo-insurance/british-columbia/burnaby/</t>
  </si>
  <si>
    <t xml:space="preserve">Condo Insurance Burnaby, BC: Compare Quotes &amp; Costs (2026)</t>
  </si>
  <si>
    <t xml:space="preserve">Compare condo insurance in Burnaby, BC: instant estimate ($28.00–$45.00/mo example), local risk factors and advisors licensed in British Columbia.</t>
  </si>
  <si>
    <t xml:space="preserve">Condo Insurance in Burnaby, BC</t>
  </si>
  <si>
    <t xml:space="preserve">condo insurance burnaby</t>
  </si>
  <si>
    <t xml:space="preserve">P0444</t>
  </si>
  <si>
    <t xml:space="preserve">https://instasure.ca/condo-insurance/british-columbia/coquitlam/</t>
  </si>
  <si>
    <t xml:space="preserve">Condo Insurance Coquitlam, BC: Compare Quotes &amp; Costs (2026)</t>
  </si>
  <si>
    <t xml:space="preserve">Compare condo insurance in Coquitlam, BC: instant estimate ($28.00–$45.00/mo example), local risk factors and advisors licensed in British Columbia.</t>
  </si>
  <si>
    <t xml:space="preserve">Condo Insurance in Coquitlam, BC</t>
  </si>
  <si>
    <t xml:space="preserve">condo insurance coquitlam</t>
  </si>
  <si>
    <t xml:space="preserve">P0445</t>
  </si>
  <si>
    <t xml:space="preserve">https://instasure.ca/condo-insurance/british-columbia/kelowna/</t>
  </si>
  <si>
    <t xml:space="preserve">Condo Insurance Kelowna, BC: Compare Quotes &amp; Costs (2026)</t>
  </si>
  <si>
    <t xml:space="preserve">Compare condo insurance in Kelowna, BC: instant estimate ($28.00–$45.00/mo example), local risk factors and advisors licensed in British Columbia.</t>
  </si>
  <si>
    <t xml:space="preserve">Condo Insurance in Kelowna, BC</t>
  </si>
  <si>
    <t xml:space="preserve">condo insurance kelowna</t>
  </si>
  <si>
    <t xml:space="preserve">P0446</t>
  </si>
  <si>
    <t xml:space="preserve">https://instasure.ca/condo-insurance/british-columbia/langley/</t>
  </si>
  <si>
    <t xml:space="preserve">Condo Insurance Langley, BC: Compare Quotes &amp; Costs (2026)</t>
  </si>
  <si>
    <t xml:space="preserve">Compare condo insurance in Langley, BC: instant estimate ($28.00–$45.00/mo example), local risk factors and advisors licensed in British Columbia.</t>
  </si>
  <si>
    <t xml:space="preserve">Condo Insurance in Langley, BC</t>
  </si>
  <si>
    <t xml:space="preserve">condo insurance langley</t>
  </si>
  <si>
    <t xml:space="preserve">P0447</t>
  </si>
  <si>
    <t xml:space="preserve">https://instasure.ca/condo-insurance/british-columbia/richmond/</t>
  </si>
  <si>
    <t xml:space="preserve">Condo Insurance Richmond, BC: Compare Quotes &amp; Costs (2026)</t>
  </si>
  <si>
    <t xml:space="preserve">Compare condo insurance in Richmond, BC: instant estimate ($29.00–$47.00/mo example), local risk factors and advisors licensed in British Columbia.</t>
  </si>
  <si>
    <t xml:space="preserve">Condo Insurance in Richmond, BC</t>
  </si>
  <si>
    <t xml:space="preserve">condo insurance richmond bc</t>
  </si>
  <si>
    <t xml:space="preserve">P0448</t>
  </si>
  <si>
    <t xml:space="preserve">https://instasure.ca/condo-insurance/british-columbia/surrey/</t>
  </si>
  <si>
    <t xml:space="preserve">Condo Insurance Surrey, BC: Compare Quotes &amp; Costs (2026)</t>
  </si>
  <si>
    <t xml:space="preserve">Compare condo insurance in Surrey, BC: instant estimate ($28.00–$45.00/mo example), local risk factors and advisors licensed in British Columbia.</t>
  </si>
  <si>
    <t xml:space="preserve">Condo Insurance in Surrey, BC</t>
  </si>
  <si>
    <t xml:space="preserve">condo insurance surrey</t>
  </si>
  <si>
    <t xml:space="preserve">P0449</t>
  </si>
  <si>
    <t xml:space="preserve">https://instasure.ca/condo-insurance/british-columbia/vancouver/</t>
  </si>
  <si>
    <t xml:space="preserve">Condo Insurance Vancouver, BC: Compare Quotes &amp; Costs (2026)</t>
  </si>
  <si>
    <t xml:space="preserve">Compare condo insurance in Vancouver, BC: instant estimate ($28.00–$45.00/mo example), local risk factors and advisors licensed in British Columbia.</t>
  </si>
  <si>
    <t xml:space="preserve">Condo Insurance in Vancouver, BC</t>
  </si>
  <si>
    <t xml:space="preserve">condo insurance vancouver</t>
  </si>
  <si>
    <t xml:space="preserve">P0450</t>
  </si>
  <si>
    <t xml:space="preserve">https://instasure.ca/condo-insurance/british-columbia/victoria/</t>
  </si>
  <si>
    <t xml:space="preserve">Condo Insurance Victoria, BC: Compare Quotes &amp; Costs (2026)</t>
  </si>
  <si>
    <t xml:space="preserve">Compare condo insurance in Victoria, BC: instant estimate ($28.00–$45.00/mo example), local risk factors and advisors licensed in British Columbia.</t>
  </si>
  <si>
    <t xml:space="preserve">Condo Insurance in Victoria, BC</t>
  </si>
  <si>
    <t xml:space="preserve">condo insurance victoria</t>
  </si>
  <si>
    <t xml:space="preserve">P0451</t>
  </si>
  <si>
    <t xml:space="preserve">https://instasure.ca/condo-insurance/manitoba/brandon/</t>
  </si>
  <si>
    <t xml:space="preserve">Condo Insurance Brandon, MB: Compare Quotes &amp; Costs (2026)</t>
  </si>
  <si>
    <t xml:space="preserve">Compare condo insurance in Brandon, MB: instant estimate ($23.00–$37.00/mo example), local risk factors and advisors licensed in Manitoba.</t>
  </si>
  <si>
    <t xml:space="preserve">Condo Insurance in Brandon, MB</t>
  </si>
  <si>
    <t xml:space="preserve">condo insurance brandon</t>
  </si>
  <si>
    <t xml:space="preserve">P0452</t>
  </si>
  <si>
    <t xml:space="preserve">https://instasure.ca/condo-insurance/manitoba/winnipeg/</t>
  </si>
  <si>
    <t xml:space="preserve">Condo Insurance Winnipeg, MB: Compare Quotes &amp; Costs (2026)</t>
  </si>
  <si>
    <t xml:space="preserve">Compare condo insurance in Winnipeg, MB: instant estimate ($23.00–$38.00/mo example), local risk factors and advisors licensed in Manitoba.</t>
  </si>
  <si>
    <t xml:space="preserve">Condo Insurance in Winnipeg, MB</t>
  </si>
  <si>
    <t xml:space="preserve">condo insurance winnipeg</t>
  </si>
  <si>
    <t xml:space="preserve">P0453</t>
  </si>
  <si>
    <t xml:space="preserve">https://instasure.ca/condo-insurance/new-brunswick/fredericton/</t>
  </si>
  <si>
    <t xml:space="preserve">Condo Insurance Fredericton, NB: Compare Quotes &amp; Costs (2026)</t>
  </si>
  <si>
    <t xml:space="preserve">Compare condo insurance in Fredericton, NB: instant estimate ($21.00–$33.00/mo example), local risk factors and advisors licensed in New Brunswick.</t>
  </si>
  <si>
    <t xml:space="preserve">Condo Insurance in Fredericton, NB</t>
  </si>
  <si>
    <t xml:space="preserve">condo insurance fredericton</t>
  </si>
  <si>
    <t xml:space="preserve">P0454</t>
  </si>
  <si>
    <t xml:space="preserve">https://instasure.ca/condo-insurance/new-brunswick/moncton/</t>
  </si>
  <si>
    <t xml:space="preserve">Condo Insurance Moncton, NB: Compare Quotes &amp; Costs (2026)</t>
  </si>
  <si>
    <t xml:space="preserve">Compare condo insurance in Moncton, NB: instant estimate ($20.00–$32.00/mo example), local risk factors and advisors licensed in New Brunswick.</t>
  </si>
  <si>
    <t xml:space="preserve">Condo Insurance in Moncton, NB</t>
  </si>
  <si>
    <t xml:space="preserve">condo insurance moncton</t>
  </si>
  <si>
    <t xml:space="preserve">P0455</t>
  </si>
  <si>
    <t xml:space="preserve">https://instasure.ca/condo-insurance/new-brunswick/saint-john/</t>
  </si>
  <si>
    <t xml:space="preserve">Condo Insurance Saint John, NB: Compare Quotes &amp; Costs (2026)</t>
  </si>
  <si>
    <t xml:space="preserve">Compare condo insurance in Saint John, NB: instant estimate ($21.00–$33.00/mo example), local risk factors and advisors licensed in New Brunswick.</t>
  </si>
  <si>
    <t xml:space="preserve">Condo Insurance in Saint John, NB</t>
  </si>
  <si>
    <t xml:space="preserve">condo insurance saint john</t>
  </si>
  <si>
    <t xml:space="preserve">P0456</t>
  </si>
  <si>
    <t xml:space="preserve">https://instasure.ca/condo-insurance/newfoundland-and-labrador/st-johns/</t>
  </si>
  <si>
    <t xml:space="preserve">Condo Insurance St. John’s, NL: Compare Quotes &amp; Costs (2026)</t>
  </si>
  <si>
    <t xml:space="preserve">Compare condo insurance in St. John’s, NL: instant estimate ($21.00–$35.00/mo example), local risk factors and advisors licensed in Newfoundland and Labrador.</t>
  </si>
  <si>
    <t xml:space="preserve">Condo Insurance in St. John’s, NL</t>
  </si>
  <si>
    <t xml:space="preserve">condo insurance st johns</t>
  </si>
  <si>
    <t xml:space="preserve">P0457</t>
  </si>
  <si>
    <t xml:space="preserve">https://instasure.ca/condo-insurance/northwest-territories/yellowknife/</t>
  </si>
  <si>
    <t xml:space="preserve">Condo Insurance Yellowknife, NT: Compare Quotes &amp; Costs (2026)</t>
  </si>
  <si>
    <t xml:space="preserve">Compare condo insurance in Yellowknife, NT: instant estimate ($27.00–$43.00/mo example), local risk factors and a waitlist for licensed advice in Northwest…</t>
  </si>
  <si>
    <t xml:space="preserve">Condo Insurance in Yellowknife, NT</t>
  </si>
  <si>
    <t xml:space="preserve">condo insurance yellowknife</t>
  </si>
  <si>
    <t xml:space="preserve">P0458</t>
  </si>
  <si>
    <t xml:space="preserve">https://instasure.ca/condo-insurance/nova-scotia/halifax/</t>
  </si>
  <si>
    <t xml:space="preserve">Condo Insurance Halifax, NS: Compare Quotes &amp; Costs (2026)</t>
  </si>
  <si>
    <t xml:space="preserve">Compare condo insurance in Halifax, NS: instant estimate ($21.00–$35.00/mo example), local risk factors and advisors licensed in Nova Scotia.</t>
  </si>
  <si>
    <t xml:space="preserve">Condo Insurance in Halifax, NS</t>
  </si>
  <si>
    <t xml:space="preserve">condo insurance halifax</t>
  </si>
  <si>
    <t xml:space="preserve">P0459</t>
  </si>
  <si>
    <t xml:space="preserve">https://instasure.ca/condo-insurance/ontario/ajax/</t>
  </si>
  <si>
    <t xml:space="preserve">Condo Insurance Ajax, ON: Compare Quotes &amp; Costs (2026)</t>
  </si>
  <si>
    <t xml:space="preserve">Compare condo insurance in Ajax, ON: instant estimate ($25.00–$41.00/mo example), local risk factors and advisors licensed in Ontario.</t>
  </si>
  <si>
    <t xml:space="preserve">Condo Insurance in Ajax, ON</t>
  </si>
  <si>
    <t xml:space="preserve">condo insurance ajax</t>
  </si>
  <si>
    <t xml:space="preserve">P0460</t>
  </si>
  <si>
    <t xml:space="preserve">https://instasure.ca/condo-insurance/ontario/barrie/</t>
  </si>
  <si>
    <t xml:space="preserve">Condo Insurance Barrie, ON: Compare Quotes &amp; Costs (2026)</t>
  </si>
  <si>
    <t xml:space="preserve">Compare condo insurance in Barrie, ON: instant estimate ($25.00–$41.00/mo example), local risk factors and advisors licensed in Ontario.</t>
  </si>
  <si>
    <t xml:space="preserve">Condo Insurance in Barrie, ON</t>
  </si>
  <si>
    <t xml:space="preserve">condo insurance barrie</t>
  </si>
  <si>
    <t xml:space="preserve">P0461</t>
  </si>
  <si>
    <t xml:space="preserve">https://instasure.ca/condo-insurance/ontario/brampton/</t>
  </si>
  <si>
    <t xml:space="preserve">Condo Insurance Brampton, ON: Compare Quotes &amp; Costs (2026)</t>
  </si>
  <si>
    <t xml:space="preserve">Compare condo insurance in Brampton, ON: instant estimate ($25.00–$41.00/mo example), local risk factors and advisors licensed in Ontario.</t>
  </si>
  <si>
    <t xml:space="preserve">Condo Insurance in Brampton, ON</t>
  </si>
  <si>
    <t xml:space="preserve">condo insurance brampton</t>
  </si>
  <si>
    <t xml:space="preserve">P0462</t>
  </si>
  <si>
    <t xml:space="preserve">https://instasure.ca/condo-insurance/ontario/burlington/</t>
  </si>
  <si>
    <t xml:space="preserve">Condo Insurance Burlington, ON: Compare Quotes &amp; Costs (2026)</t>
  </si>
  <si>
    <t xml:space="preserve">Compare condo insurance in Burlington, ON: instant estimate ($25.00–$41.00/mo example), local risk factors and advisors licensed in Ontario.</t>
  </si>
  <si>
    <t xml:space="preserve">Condo Insurance in Burlington, ON</t>
  </si>
  <si>
    <t xml:space="preserve">condo insurance burlington</t>
  </si>
  <si>
    <t xml:space="preserve">P0463</t>
  </si>
  <si>
    <t xml:space="preserve">https://instasure.ca/condo-insurance/ontario/cambridge/</t>
  </si>
  <si>
    <t xml:space="preserve">Condo Insurance Cambridge, ON: Compare Quotes &amp; Costs (2026)</t>
  </si>
  <si>
    <t xml:space="preserve">Compare condo insurance in Cambridge, ON: instant estimate ($25.00–$41.00/mo example), local risk factors and advisors licensed in Ontario.</t>
  </si>
  <si>
    <t xml:space="preserve">Condo Insurance in Cambridge, ON</t>
  </si>
  <si>
    <t xml:space="preserve">condo insurance cambridge</t>
  </si>
  <si>
    <t xml:space="preserve">P0464</t>
  </si>
  <si>
    <t xml:space="preserve">https://instasure.ca/condo-insurance/ontario/guelph/</t>
  </si>
  <si>
    <t xml:space="preserve">Condo Insurance Guelph, ON: Compare Quotes &amp; Costs (2026)</t>
  </si>
  <si>
    <t xml:space="preserve">Compare condo insurance in Guelph, ON: instant estimate ($25.00–$41.00/mo example), local risk factors and advisors licensed in Ontario.</t>
  </si>
  <si>
    <t xml:space="preserve">Condo Insurance in Guelph, ON</t>
  </si>
  <si>
    <t xml:space="preserve">condo insurance guelph</t>
  </si>
  <si>
    <t xml:space="preserve">P0465</t>
  </si>
  <si>
    <t xml:space="preserve">https://instasure.ca/condo-insurance/ontario/hamilton/</t>
  </si>
  <si>
    <t xml:space="preserve">Condo Insurance Hamilton, ON: Compare Quotes &amp; Costs (2026)</t>
  </si>
  <si>
    <t xml:space="preserve">Compare condo insurance in Hamilton, ON: instant estimate ($25.00–$41.00/mo example), local risk factors and advisors licensed in Ontario.</t>
  </si>
  <si>
    <t xml:space="preserve">Condo Insurance in Hamilton, ON</t>
  </si>
  <si>
    <t xml:space="preserve">condo insurance hamilton</t>
  </si>
  <si>
    <t xml:space="preserve">P0466</t>
  </si>
  <si>
    <t xml:space="preserve">https://instasure.ca/condo-insurance/ontario/kingston/</t>
  </si>
  <si>
    <t xml:space="preserve">Condo Insurance Kingston, ON: Compare Quotes &amp; Costs (2026)</t>
  </si>
  <si>
    <t xml:space="preserve">Compare condo insurance in Kingston, ON: instant estimate ($25.00–$41.00/mo example), local risk factors and advisors licensed in Ontario.</t>
  </si>
  <si>
    <t xml:space="preserve">Condo Insurance in Kingston, ON</t>
  </si>
  <si>
    <t xml:space="preserve">condo insurance kingston</t>
  </si>
  <si>
    <t xml:space="preserve">P0467</t>
  </si>
  <si>
    <t xml:space="preserve">https://instasure.ca/condo-insurance/ontario/kitchener/</t>
  </si>
  <si>
    <t xml:space="preserve">Condo Insurance Kitchener, ON: Compare Quotes &amp; Costs (2026)</t>
  </si>
  <si>
    <t xml:space="preserve">Compare condo insurance in Kitchener, ON: instant estimate ($25.00–$41.00/mo example), local risk factors and advisors licensed in Ontario.</t>
  </si>
  <si>
    <t xml:space="preserve">Condo Insurance in Kitchener, ON</t>
  </si>
  <si>
    <t xml:space="preserve">condo insurance kitchener</t>
  </si>
  <si>
    <t xml:space="preserve">P0468</t>
  </si>
  <si>
    <t xml:space="preserve">https://instasure.ca/condo-insurance/ontario/london/</t>
  </si>
  <si>
    <t xml:space="preserve">Condo Insurance London, ON: Compare Quotes &amp; Costs (2026)</t>
  </si>
  <si>
    <t xml:space="preserve">Compare condo insurance in London, ON: instant estimate ($25.00–$41.00/mo example), local risk factors and advisors licensed in Ontario.</t>
  </si>
  <si>
    <t xml:space="preserve">Condo Insurance in London, ON</t>
  </si>
  <si>
    <t xml:space="preserve">condo insurance london ontario</t>
  </si>
  <si>
    <t xml:space="preserve">P0469</t>
  </si>
  <si>
    <t xml:space="preserve">https://instasure.ca/condo-insurance/ontario/markham/</t>
  </si>
  <si>
    <t xml:space="preserve">Condo Insurance Markham, ON: Compare Quotes &amp; Costs (2026)</t>
  </si>
  <si>
    <t xml:space="preserve">Compare condo insurance in Markham, ON: instant estimate ($25.00–$41.00/mo example), local risk factors and advisors licensed in Ontario.</t>
  </si>
  <si>
    <t xml:space="preserve">Condo Insurance in Markham, ON</t>
  </si>
  <si>
    <t xml:space="preserve">condo insurance markham</t>
  </si>
  <si>
    <t xml:space="preserve">P0470</t>
  </si>
  <si>
    <t xml:space="preserve">https://instasure.ca/condo-insurance/ontario/milton/</t>
  </si>
  <si>
    <t xml:space="preserve">Condo Insurance Milton, ON: Compare Quotes &amp; Costs (2026)</t>
  </si>
  <si>
    <t xml:space="preserve">Compare condo insurance in Milton, ON: instant estimate ($25.00–$41.00/mo example), local risk factors and advisors licensed in Ontario.</t>
  </si>
  <si>
    <t xml:space="preserve">Condo Insurance in Milton, ON</t>
  </si>
  <si>
    <t xml:space="preserve">condo insurance milton</t>
  </si>
  <si>
    <t xml:space="preserve">P0471</t>
  </si>
  <si>
    <t xml:space="preserve">https://instasure.ca/condo-insurance/ontario/mississauga/</t>
  </si>
  <si>
    <t xml:space="preserve">Condo Insurance Mississauga, ON: Compare Quotes &amp; Costs (2026)</t>
  </si>
  <si>
    <t xml:space="preserve">Compare condo insurance in Mississauga, ON: instant estimate ($25.00–$41.00/mo example), local risk factors and advisors licensed in Ontario.</t>
  </si>
  <si>
    <t xml:space="preserve">Condo Insurance in Mississauga, ON</t>
  </si>
  <si>
    <t xml:space="preserve">condo insurance mississauga</t>
  </si>
  <si>
    <t xml:space="preserve">P0472</t>
  </si>
  <si>
    <t xml:space="preserve">https://instasure.ca/condo-insurance/ontario/oakville/</t>
  </si>
  <si>
    <t xml:space="preserve">Condo Insurance Oakville, ON: Compare Quotes &amp; Costs (2026)</t>
  </si>
  <si>
    <t xml:space="preserve">Compare condo insurance in Oakville, ON: instant estimate ($25.00–$41.00/mo example), local risk factors and advisors licensed in Ontario.</t>
  </si>
  <si>
    <t xml:space="preserve">Condo Insurance in Oakville, ON</t>
  </si>
  <si>
    <t xml:space="preserve">condo insurance oakville</t>
  </si>
  <si>
    <t xml:space="preserve">P0473</t>
  </si>
  <si>
    <t xml:space="preserve">https://instasure.ca/condo-insurance/ontario/oshawa/</t>
  </si>
  <si>
    <t xml:space="preserve">Condo Insurance Oshawa, ON: Compare Quotes &amp; Costs (2026)</t>
  </si>
  <si>
    <t xml:space="preserve">Compare condo insurance in Oshawa, ON: instant estimate ($25.00–$41.00/mo example), local risk factors and advisors licensed in Ontario.</t>
  </si>
  <si>
    <t xml:space="preserve">Condo Insurance in Oshawa, ON</t>
  </si>
  <si>
    <t xml:space="preserve">condo insurance oshawa</t>
  </si>
  <si>
    <t xml:space="preserve">P0474</t>
  </si>
  <si>
    <t xml:space="preserve">https://instasure.ca/condo-insurance/ontario/ottawa/</t>
  </si>
  <si>
    <t xml:space="preserve">Condo Insurance Ottawa, ON: Compare Quotes &amp; Costs (2026)</t>
  </si>
  <si>
    <t xml:space="preserve">Compare condo insurance in Ottawa, ON: instant estimate ($25.00–$41.00/mo example), local risk factors and advisors licensed in Ontario.</t>
  </si>
  <si>
    <t xml:space="preserve">Condo Insurance in Ottawa, ON</t>
  </si>
  <si>
    <t xml:space="preserve">condo insurance ottawa</t>
  </si>
  <si>
    <t xml:space="preserve">P0475</t>
  </si>
  <si>
    <t xml:space="preserve">https://instasure.ca/condo-insurance/ontario/pickering/</t>
  </si>
  <si>
    <t xml:space="preserve">Condo Insurance Pickering, ON: Compare Quotes &amp; Costs (2026)</t>
  </si>
  <si>
    <t xml:space="preserve">Compare condo insurance in Pickering, ON: instant estimate ($25.00–$41.00/mo example), local risk factors and advisors licensed in Ontario.</t>
  </si>
  <si>
    <t xml:space="preserve">Condo Insurance in Pickering, ON</t>
  </si>
  <si>
    <t xml:space="preserve">condo insurance pickering</t>
  </si>
  <si>
    <t xml:space="preserve">P0476</t>
  </si>
  <si>
    <t xml:space="preserve">https://instasure.ca/condo-insurance/ontario/richmond-hill/</t>
  </si>
  <si>
    <t xml:space="preserve">Condo Insurance Richmond Hill, ON: Compare Quotes &amp; Costs (2026)</t>
  </si>
  <si>
    <t xml:space="preserve">Compare condo insurance in Richmond Hill, ON: instant estimate ($25.00–$41.00/mo example), local risk factors and advisors licensed in Ontario.</t>
  </si>
  <si>
    <t xml:space="preserve">Condo Insurance in Richmond Hill, ON</t>
  </si>
  <si>
    <t xml:space="preserve">condo insurance richmond hill</t>
  </si>
  <si>
    <t xml:space="preserve">P0477</t>
  </si>
  <si>
    <t xml:space="preserve">https://instasure.ca/condo-insurance/ontario/st-catharines/</t>
  </si>
  <si>
    <t xml:space="preserve">Condo Insurance St. Catharines, ON: Compare Quotes &amp; Costs (2026)</t>
  </si>
  <si>
    <t xml:space="preserve">Compare condo insurance in St. Catharines, ON: instant estimate ($25.00–$41.00/mo example), local risk factors and advisors licensed in Ontario.</t>
  </si>
  <si>
    <t xml:space="preserve">Condo Insurance in St. Catharines, ON</t>
  </si>
  <si>
    <t xml:space="preserve">condo insurance st catharines</t>
  </si>
  <si>
    <t xml:space="preserve">P0478</t>
  </si>
  <si>
    <t xml:space="preserve">https://instasure.ca/condo-insurance/ontario/sudbury/</t>
  </si>
  <si>
    <t xml:space="preserve">Condo Insurance Sudbury, ON: Compare Quotes &amp; Costs (2026)</t>
  </si>
  <si>
    <t xml:space="preserve">Compare condo insurance in Sudbury, ON: instant estimate ($25.00–$41.00/mo example), local risk factors and advisors licensed in Ontario.</t>
  </si>
  <si>
    <t xml:space="preserve">Condo Insurance in Sudbury, ON</t>
  </si>
  <si>
    <t xml:space="preserve">condo insurance sudbury</t>
  </si>
  <si>
    <t xml:space="preserve">P0479</t>
  </si>
  <si>
    <t xml:space="preserve">https://instasure.ca/condo-insurance/ontario/thunder-bay/</t>
  </si>
  <si>
    <t xml:space="preserve">Condo Insurance Thunder Bay, ON: Compare Quotes &amp; Costs (2026)</t>
  </si>
  <si>
    <t xml:space="preserve">Compare condo insurance in Thunder Bay, ON: instant estimate ($25.00–$41.00/mo example), local risk factors and advisors licensed in Ontario.</t>
  </si>
  <si>
    <t xml:space="preserve">Condo Insurance in Thunder Bay, ON</t>
  </si>
  <si>
    <t xml:space="preserve">condo insurance thunder bay</t>
  </si>
  <si>
    <t xml:space="preserve">P0480</t>
  </si>
  <si>
    <t xml:space="preserve">https://instasure.ca/condo-insurance/ontario/toronto/</t>
  </si>
  <si>
    <t xml:space="preserve">Condo Insurance Toronto, ON: Compare Quotes &amp; Costs (2026)</t>
  </si>
  <si>
    <t xml:space="preserve">Compare condo insurance in Toronto, ON: instant estimate ($26.00–$42.00/mo example), local risk factors and advisors licensed in Ontario.</t>
  </si>
  <si>
    <t xml:space="preserve">Condo Insurance in Toronto, ON</t>
  </si>
  <si>
    <t xml:space="preserve">condo insurance toronto</t>
  </si>
  <si>
    <t xml:space="preserve">P0481</t>
  </si>
  <si>
    <t xml:space="preserve">https://instasure.ca/condo-insurance/ontario/vaughan/</t>
  </si>
  <si>
    <t xml:space="preserve">Condo Insurance Vaughan, ON: Compare Quotes &amp; Costs (2026)</t>
  </si>
  <si>
    <t xml:space="preserve">Compare condo insurance in Vaughan, ON: instant estimate ($25.00–$41.00/mo example), local risk factors and advisors licensed in Ontario.</t>
  </si>
  <si>
    <t xml:space="preserve">Condo Insurance in Vaughan, ON</t>
  </si>
  <si>
    <t xml:space="preserve">condo insurance vaughan</t>
  </si>
  <si>
    <t xml:space="preserve">P0482</t>
  </si>
  <si>
    <t xml:space="preserve">https://instasure.ca/condo-insurance/ontario/waterloo/</t>
  </si>
  <si>
    <t xml:space="preserve">Condo Insurance Waterloo, ON: Compare Quotes &amp; Costs (2026)</t>
  </si>
  <si>
    <t xml:space="preserve">Compare condo insurance in Waterloo, ON: instant estimate ($25.00–$41.00/mo example), local risk factors and advisors licensed in Ontario.</t>
  </si>
  <si>
    <t xml:space="preserve">Condo Insurance in Waterloo, ON</t>
  </si>
  <si>
    <t xml:space="preserve">condo insurance waterloo</t>
  </si>
  <si>
    <t xml:space="preserve">P0483</t>
  </si>
  <si>
    <t xml:space="preserve">https://instasure.ca/condo-insurance/ontario/whitby/</t>
  </si>
  <si>
    <t xml:space="preserve">Condo Insurance Whitby, ON: Compare Quotes &amp; Costs (2026)</t>
  </si>
  <si>
    <t xml:space="preserve">Compare condo insurance in Whitby, ON: instant estimate ($25.00–$41.00/mo example), local risk factors and advisors licensed in Ontario.</t>
  </si>
  <si>
    <t xml:space="preserve">Condo Insurance in Whitby, ON</t>
  </si>
  <si>
    <t xml:space="preserve">condo insurance whitby</t>
  </si>
  <si>
    <t xml:space="preserve">P0484</t>
  </si>
  <si>
    <t xml:space="preserve">https://instasure.ca/condo-insurance/ontario/windsor/</t>
  </si>
  <si>
    <t xml:space="preserve">Condo Insurance Windsor, ON: Compare Quotes &amp; Costs (2026)</t>
  </si>
  <si>
    <t xml:space="preserve">Compare condo insurance in Windsor, ON: instant estimate ($25.00–$41.00/mo example), local risk factors and advisors licensed in Ontario.</t>
  </si>
  <si>
    <t xml:space="preserve">Condo Insurance in Windsor, ON</t>
  </si>
  <si>
    <t xml:space="preserve">condo insurance windsor</t>
  </si>
  <si>
    <t xml:space="preserve">P0485</t>
  </si>
  <si>
    <t xml:space="preserve">https://instasure.ca/condo-insurance/prince-edward-island/charlottetown/</t>
  </si>
  <si>
    <t xml:space="preserve">Condo Insurance Charlottetown, PE: Compare Quotes &amp; Costs (2026)</t>
  </si>
  <si>
    <t xml:space="preserve">Compare condo insurance in Charlottetown, PE: instant estimate ($20.00–$32.00/mo example), local risk factors and advisors licensed in Prince Edward Island.</t>
  </si>
  <si>
    <t xml:space="preserve">Condo Insurance in Charlottetown, PE</t>
  </si>
  <si>
    <t xml:space="preserve">condo insurance charlottetown</t>
  </si>
  <si>
    <t xml:space="preserve">P0486</t>
  </si>
  <si>
    <t xml:space="preserve">https://instasure.ca/condo-insurance/quebec/gatineau/</t>
  </si>
  <si>
    <t xml:space="preserve">Condo Insurance Gatineau, QC: Compare Quotes &amp; Costs (2026)</t>
  </si>
  <si>
    <t xml:space="preserve">Compare condo insurance in Gatineau, QC: instant estimate ($21.00–$33.00/mo example), local risk factors and a waitlist for licensed advice in Quebec.</t>
  </si>
  <si>
    <t xml:space="preserve">Condo Insurance in Gatineau, QC</t>
  </si>
  <si>
    <t xml:space="preserve">condo insurance gatineau</t>
  </si>
  <si>
    <t xml:space="preserve">P0487</t>
  </si>
  <si>
    <t xml:space="preserve">https://instasure.ca/condo-insurance/quebec/laval/</t>
  </si>
  <si>
    <t xml:space="preserve">Condo Insurance Laval, QC: Compare Quotes &amp; Costs (2026)</t>
  </si>
  <si>
    <t xml:space="preserve">Compare condo insurance in Laval, QC: instant estimate ($21.00–$34.00/mo example), local risk factors and a waitlist for licensed advice in Quebec.</t>
  </si>
  <si>
    <t xml:space="preserve">Condo Insurance in Laval, QC</t>
  </si>
  <si>
    <t xml:space="preserve">condo insurance laval</t>
  </si>
  <si>
    <t xml:space="preserve">P0488</t>
  </si>
  <si>
    <t xml:space="preserve">https://instasure.ca/condo-insurance/quebec/longueuil/</t>
  </si>
  <si>
    <t xml:space="preserve">Condo Insurance Longueuil, QC: Compare Quotes &amp; Costs (2026)</t>
  </si>
  <si>
    <t xml:space="preserve">Compare condo insurance in Longueuil, QC: instant estimate ($20.00–$32.00/mo example), local risk factors and a waitlist for licensed advice in Quebec.</t>
  </si>
  <si>
    <t xml:space="preserve">Condo Insurance in Longueuil, QC</t>
  </si>
  <si>
    <t xml:space="preserve">condo insurance longueuil</t>
  </si>
  <si>
    <t xml:space="preserve">P0489</t>
  </si>
  <si>
    <t xml:space="preserve">https://instasure.ca/condo-insurance/quebec/montreal/</t>
  </si>
  <si>
    <t xml:space="preserve">Condo Insurance Montreal, QC: Compare Quotes &amp; Costs (2026)</t>
  </si>
  <si>
    <t xml:space="preserve">Compare condo insurance in Montreal, QC: instant estimate ($20.00–$32.00/mo example), local risk factors and a waitlist for licensed advice in Quebec.</t>
  </si>
  <si>
    <t xml:space="preserve">Condo Insurance in Montreal, QC</t>
  </si>
  <si>
    <t xml:space="preserve">condo insurance montreal</t>
  </si>
  <si>
    <t xml:space="preserve">P0490</t>
  </si>
  <si>
    <t xml:space="preserve">https://instasure.ca/condo-insurance/quebec/quebec-city/</t>
  </si>
  <si>
    <t xml:space="preserve">Condo Insurance Quebec City, QC: Compare Quotes &amp; Costs (2026)</t>
  </si>
  <si>
    <t xml:space="preserve">Compare condo insurance in Quebec City, QC: instant estimate ($20.00–$32.00/mo example), local risk factors and a waitlist for licensed advice in Quebec.</t>
  </si>
  <si>
    <t xml:space="preserve">Condo Insurance in Quebec City, QC</t>
  </si>
  <si>
    <t xml:space="preserve">condo insurance quebec city</t>
  </si>
  <si>
    <t xml:space="preserve">P0491</t>
  </si>
  <si>
    <t xml:space="preserve">https://instasure.ca/condo-insurance/quebec/sherbrooke/</t>
  </si>
  <si>
    <t xml:space="preserve">Condo Insurance Sherbrooke, QC: Compare Quotes &amp; Costs (2026)</t>
  </si>
  <si>
    <t xml:space="preserve">Compare condo insurance in Sherbrooke, QC: instant estimate ($20.00–$32.00/mo example), local risk factors and a waitlist for licensed advice in Quebec.</t>
  </si>
  <si>
    <t xml:space="preserve">Condo Insurance in Sherbrooke, QC</t>
  </si>
  <si>
    <t xml:space="preserve">condo insurance sherbrooke</t>
  </si>
  <si>
    <t xml:space="preserve">P0492</t>
  </si>
  <si>
    <t xml:space="preserve">https://instasure.ca/condo-insurance/saskatchewan/regina/</t>
  </si>
  <si>
    <t xml:space="preserve">Condo Insurance Regina, SK: Compare Quotes &amp; Costs (2026)</t>
  </si>
  <si>
    <t xml:space="preserve">Compare condo insurance in Regina, SK: instant estimate ($22.00–$36.00/mo example), local risk factors and advisors licensed in Saskatchewan.</t>
  </si>
  <si>
    <t xml:space="preserve">Condo Insurance in Regina, SK</t>
  </si>
  <si>
    <t xml:space="preserve">condo insurance regina</t>
  </si>
  <si>
    <t xml:space="preserve">P0493</t>
  </si>
  <si>
    <t xml:space="preserve">https://instasure.ca/condo-insurance/saskatchewan/saskatoon/</t>
  </si>
  <si>
    <t xml:space="preserve">Condo Insurance Saskatoon, SK: Compare Quotes &amp; Costs (2026)</t>
  </si>
  <si>
    <t xml:space="preserve">Compare condo insurance in Saskatoon, SK: instant estimate ($22.00–$36.00/mo example), local risk factors and advisors licensed in Saskatchewan.</t>
  </si>
  <si>
    <t xml:space="preserve">Condo Insurance in Saskatoon, SK</t>
  </si>
  <si>
    <t xml:space="preserve">condo insurance saskatoon</t>
  </si>
  <si>
    <t xml:space="preserve">P0494</t>
  </si>
  <si>
    <t xml:space="preserve">https://instasure.ca/condo-insurance/yukon/whitehorse/</t>
  </si>
  <si>
    <t xml:space="preserve">Condo Insurance Whitehorse, YT: Compare Quotes &amp; Costs (2026)</t>
  </si>
  <si>
    <t xml:space="preserve">Compare condo insurance in Whitehorse, YT: instant estimate ($27.00–$43.00/mo example), local risk factors and a waitlist for licensed advice in Yukon.</t>
  </si>
  <si>
    <t xml:space="preserve">Condo Insurance in Whitehorse, YT</t>
  </si>
  <si>
    <t xml:space="preserve">condo insurance whitehorse</t>
  </si>
  <si>
    <t xml:space="preserve">P0495</t>
  </si>
  <si>
    <t xml:space="preserve">https://instasure.ca/home-insurance/alberta/airdrie/</t>
  </si>
  <si>
    <t xml:space="preserve">Home Insurance Airdrie, AB: Compare Quotes &amp; Costs (2026)</t>
  </si>
  <si>
    <t xml:space="preserve">Compare home insurance in Airdrie, AB: instant estimate ($148–$229/mo example), local risk factors and advisors licensed in Alberta.</t>
  </si>
  <si>
    <t xml:space="preserve">Home Insurance in Airdrie, AB</t>
  </si>
  <si>
    <t xml:space="preserve">home insurance airdrie</t>
  </si>
  <si>
    <t xml:space="preserve">P0496</t>
  </si>
  <si>
    <t xml:space="preserve">https://instasure.ca/home-insurance/alberta/calgary/</t>
  </si>
  <si>
    <t xml:space="preserve">Home Insurance Calgary, AB: Compare Quotes &amp; Costs (2026)</t>
  </si>
  <si>
    <t xml:space="preserve">Compare home insurance in Calgary, AB: instant estimate ($158–$245/mo example), local risk factors and advisors licensed in Alberta.</t>
  </si>
  <si>
    <t xml:space="preserve">Home Insurance in Calgary, AB</t>
  </si>
  <si>
    <t xml:space="preserve">home insurance calgary</t>
  </si>
  <si>
    <t xml:space="preserve">P0497</t>
  </si>
  <si>
    <t xml:space="preserve">https://instasure.ca/home-insurance/alberta/edmonton/</t>
  </si>
  <si>
    <t xml:space="preserve">Home Insurance Edmonton, AB: Compare Quotes &amp; Costs (2026)</t>
  </si>
  <si>
    <t xml:space="preserve">Compare home insurance in Edmonton, AB: instant estimate ($136–$210/mo example), local risk factors and advisors licensed in Alberta.</t>
  </si>
  <si>
    <t xml:space="preserve">Home Insurance in Edmonton, AB</t>
  </si>
  <si>
    <t xml:space="preserve">home insurance edmonton</t>
  </si>
  <si>
    <t xml:space="preserve">P0498</t>
  </si>
  <si>
    <t xml:space="preserve">https://instasure.ca/home-insurance/alberta/lethbridge/</t>
  </si>
  <si>
    <t xml:space="preserve">Home Insurance Lethbridge, AB: Compare Quotes &amp; Costs (2026)</t>
  </si>
  <si>
    <t xml:space="preserve">Compare home insurance in Lethbridge, AB: instant estimate ($138–$214/mo example), local risk factors and advisors licensed in Alberta.</t>
  </si>
  <si>
    <t xml:space="preserve">Home Insurance in Lethbridge, AB</t>
  </si>
  <si>
    <t xml:space="preserve">home insurance lethbridge</t>
  </si>
  <si>
    <t xml:space="preserve">P0499</t>
  </si>
  <si>
    <t xml:space="preserve">https://instasure.ca/home-insurance/alberta/red-deer/</t>
  </si>
  <si>
    <t xml:space="preserve">Home Insurance Red Deer, AB: Compare Quotes &amp; Costs (2026)</t>
  </si>
  <si>
    <t xml:space="preserve">Compare home insurance in Red Deer, AB: instant estimate ($142–$220/mo example), local risk factors and advisors licensed in Alberta.</t>
  </si>
  <si>
    <t xml:space="preserve">Home Insurance in Red Deer, AB</t>
  </si>
  <si>
    <t xml:space="preserve">home insurance red deer</t>
  </si>
  <si>
    <t xml:space="preserve">P0500</t>
  </si>
  <si>
    <t xml:space="preserve">https://instasure.ca/home-insurance/british-columbia/abbotsford/</t>
  </si>
  <si>
    <t xml:space="preserve">Home Insurance Abbotsford, BC: Compare Quotes &amp; Costs (2026)</t>
  </si>
  <si>
    <t xml:space="preserve">Compare home insurance in Abbotsford, BC: instant estimate ($112–$174/mo example), local risk factors and advisors licensed in British Columbia.</t>
  </si>
  <si>
    <t xml:space="preserve">Home Insurance in Abbotsford, BC</t>
  </si>
  <si>
    <t xml:space="preserve">home insurance abbotsford</t>
  </si>
  <si>
    <t xml:space="preserve">P0501</t>
  </si>
  <si>
    <t xml:space="preserve">https://instasure.ca/home-insurance/british-columbia/burnaby/</t>
  </si>
  <si>
    <t xml:space="preserve">Home Insurance Burnaby, BC: Compare Quotes &amp; Costs (2026)</t>
  </si>
  <si>
    <t xml:space="preserve">Compare home insurance in Burnaby, BC: instant estimate ($100–$155/mo example), local risk factors and advisors licensed in British Columbia.</t>
  </si>
  <si>
    <t xml:space="preserve">Home Insurance in Burnaby, BC</t>
  </si>
  <si>
    <t xml:space="preserve">home insurance burnaby</t>
  </si>
  <si>
    <t xml:space="preserve">P0502</t>
  </si>
  <si>
    <t xml:space="preserve">https://instasure.ca/home-insurance/british-columbia/coquitlam/</t>
  </si>
  <si>
    <t xml:space="preserve">Home Insurance Coquitlam, BC: Compare Quotes &amp; Costs (2026)</t>
  </si>
  <si>
    <t xml:space="preserve">Compare home insurance in Coquitlam, BC: instant estimate ($100–$155/mo example), local risk factors and advisors licensed in British Columbia.</t>
  </si>
  <si>
    <t xml:space="preserve">Home Insurance in Coquitlam, BC</t>
  </si>
  <si>
    <t xml:space="preserve">home insurance coquitlam</t>
  </si>
  <si>
    <t xml:space="preserve">P0503</t>
  </si>
  <si>
    <t xml:space="preserve">https://instasure.ca/home-insurance/british-columbia/kelowna/</t>
  </si>
  <si>
    <t xml:space="preserve">Home Insurance Kelowna, BC: Compare Quotes &amp; Costs (2026)</t>
  </si>
  <si>
    <t xml:space="preserve">Compare home insurance in Kelowna, BC: instant estimate ($100–$155/mo example), local risk factors and advisors licensed in British Columbia.</t>
  </si>
  <si>
    <t xml:space="preserve">Home Insurance in Kelowna, BC</t>
  </si>
  <si>
    <t xml:space="preserve">home insurance kelowna</t>
  </si>
  <si>
    <t xml:space="preserve">P0504</t>
  </si>
  <si>
    <t xml:space="preserve">https://instasure.ca/home-insurance/british-columbia/langley/</t>
  </si>
  <si>
    <t xml:space="preserve">Home Insurance Langley, BC: Compare Quotes &amp; Costs (2026)</t>
  </si>
  <si>
    <t xml:space="preserve">Compare home insurance in Langley, BC: instant estimate ($100–$155/mo example), local risk factors and advisors licensed in British Columbia.</t>
  </si>
  <si>
    <t xml:space="preserve">Home Insurance in Langley, BC</t>
  </si>
  <si>
    <t xml:space="preserve">home insurance langley</t>
  </si>
  <si>
    <t xml:space="preserve">P0505</t>
  </si>
  <si>
    <t xml:space="preserve">https://instasure.ca/home-insurance/british-columbia/richmond/</t>
  </si>
  <si>
    <t xml:space="preserve">Home Insurance Richmond, BC: Compare Quotes &amp; Costs (2026)</t>
  </si>
  <si>
    <t xml:space="preserve">Compare home insurance in Richmond, BC: instant estimate ($106–$164/mo example), local risk factors and advisors licensed in British Columbia.</t>
  </si>
  <si>
    <t xml:space="preserve">Home Insurance in Richmond, BC</t>
  </si>
  <si>
    <t xml:space="preserve">home insurance richmond bc</t>
  </si>
  <si>
    <t xml:space="preserve">P0506</t>
  </si>
  <si>
    <t xml:space="preserve">https://instasure.ca/home-insurance/british-columbia/surrey/</t>
  </si>
  <si>
    <t xml:space="preserve">Home Insurance Surrey, BC: Compare Quotes &amp; Costs (2026)</t>
  </si>
  <si>
    <t xml:space="preserve">Compare home insurance in Surrey, BC: instant estimate ($100–$155/mo example), local risk factors and advisors licensed in British Columbia.</t>
  </si>
  <si>
    <t xml:space="preserve">Home Insurance in Surrey, BC</t>
  </si>
  <si>
    <t xml:space="preserve">home insurance surrey</t>
  </si>
  <si>
    <t xml:space="preserve">P0507</t>
  </si>
  <si>
    <t xml:space="preserve">https://instasure.ca/home-insurance/british-columbia/vancouver/</t>
  </si>
  <si>
    <t xml:space="preserve">Home Insurance Vancouver, BC: Compare Quotes &amp; Costs (2026)</t>
  </si>
  <si>
    <t xml:space="preserve">Compare home insurance in Vancouver, BC: instant estimate ($100–$155/mo example), local risk factors and advisors licensed in British Columbia.</t>
  </si>
  <si>
    <t xml:space="preserve">Home Insurance in Vancouver, BC</t>
  </si>
  <si>
    <t xml:space="preserve">home insurance vancouver</t>
  </si>
  <si>
    <t xml:space="preserve">P0508</t>
  </si>
  <si>
    <t xml:space="preserve">https://instasure.ca/home-insurance/british-columbia/victoria/</t>
  </si>
  <si>
    <t xml:space="preserve">Home Insurance Victoria, BC: Compare Quotes &amp; Costs (2026)</t>
  </si>
  <si>
    <t xml:space="preserve">Compare home insurance in Victoria, BC: instant estimate ($100–$155/mo example), local risk factors and advisors licensed in British Columbia.</t>
  </si>
  <si>
    <t xml:space="preserve">Home Insurance in Victoria, BC</t>
  </si>
  <si>
    <t xml:space="preserve">home insurance victoria</t>
  </si>
  <si>
    <t xml:space="preserve">P0509</t>
  </si>
  <si>
    <t xml:space="preserve">https://instasure.ca/home-insurance/manitoba/brandon/</t>
  </si>
  <si>
    <t xml:space="preserve">Home Insurance Brandon, MB: Compare Quotes &amp; Costs (2026)</t>
  </si>
  <si>
    <t xml:space="preserve">Compare home insurance in Brandon, MB: instant estimate ($120–$186/mo example), local risk factors and advisors licensed in Manitoba.</t>
  </si>
  <si>
    <t xml:space="preserve">Home Insurance in Brandon, MB</t>
  </si>
  <si>
    <t xml:space="preserve">home insurance brandon</t>
  </si>
  <si>
    <t xml:space="preserve">P0510</t>
  </si>
  <si>
    <t xml:space="preserve">https://instasure.ca/home-insurance/manitoba/winnipeg/</t>
  </si>
  <si>
    <t xml:space="preserve">Home Insurance Winnipeg, MB: Compare Quotes &amp; Costs (2026)</t>
  </si>
  <si>
    <t xml:space="preserve">Compare home insurance in Winnipeg, MB: instant estimate ($126–$195/mo example), local risk factors and advisors licensed in Manitoba.</t>
  </si>
  <si>
    <t xml:space="preserve">Home Insurance in Winnipeg, MB</t>
  </si>
  <si>
    <t xml:space="preserve">home insurance winnipeg</t>
  </si>
  <si>
    <t xml:space="preserve">P0511</t>
  </si>
  <si>
    <t xml:space="preserve">https://instasure.ca/home-insurance/new-brunswick/fredericton/</t>
  </si>
  <si>
    <t xml:space="preserve">Home Insurance Fredericton, NB: Compare Quotes &amp; Costs (2026)</t>
  </si>
  <si>
    <t xml:space="preserve">Compare home insurance in Fredericton, NB: instant estimate ($78.00–$120/mo example), local risk factors and advisors licensed in New Brunswick.</t>
  </si>
  <si>
    <t xml:space="preserve">Home Insurance in Fredericton, NB</t>
  </si>
  <si>
    <t xml:space="preserve">home insurance fredericton</t>
  </si>
  <si>
    <t xml:space="preserve">P0512</t>
  </si>
  <si>
    <t xml:space="preserve">https://instasure.ca/home-insurance/new-brunswick/moncton/</t>
  </si>
  <si>
    <t xml:space="preserve">Home Insurance Moncton, NB: Compare Quotes &amp; Costs (2026)</t>
  </si>
  <si>
    <t xml:space="preserve">Compare home insurance in Moncton, NB: instant estimate ($73.00–$114/mo example), local risk factors and advisors licensed in New Brunswick.</t>
  </si>
  <si>
    <t xml:space="preserve">Home Insurance in Moncton, NB</t>
  </si>
  <si>
    <t xml:space="preserve">home insurance moncton</t>
  </si>
  <si>
    <t xml:space="preserve">P0513</t>
  </si>
  <si>
    <t xml:space="preserve">https://instasure.ca/home-insurance/new-brunswick/saint-john/</t>
  </si>
  <si>
    <t xml:space="preserve">Home Insurance Saint John, NB: Compare Quotes &amp; Costs (2026)</t>
  </si>
  <si>
    <t xml:space="preserve">Compare home insurance in Saint John, NB: instant estimate ($77.00–$119/mo example), local risk factors and advisors licensed in New Brunswick.</t>
  </si>
  <si>
    <t xml:space="preserve">Home Insurance in Saint John, NB</t>
  </si>
  <si>
    <t xml:space="preserve">home insurance saint john</t>
  </si>
  <si>
    <t xml:space="preserve">P0514</t>
  </si>
  <si>
    <t xml:space="preserve">https://instasure.ca/home-insurance/newfoundland-and-labrador/st-johns/</t>
  </si>
  <si>
    <t xml:space="preserve">Home Insurance St. John’s, NL: Compare Quotes &amp; Costs (2026)</t>
  </si>
  <si>
    <t xml:space="preserve">Compare home insurance in St. John’s, NL: instant estimate ($80.00–$124/mo example), local risk factors and advisors licensed in Newfoundland and Labrador.</t>
  </si>
  <si>
    <t xml:space="preserve">Home Insurance in St. John’s, NL</t>
  </si>
  <si>
    <t xml:space="preserve">home insurance st johns</t>
  </si>
  <si>
    <t xml:space="preserve">P0515</t>
  </si>
  <si>
    <t xml:space="preserve">https://instasure.ca/home-insurance/northwest-territories/yellowknife/</t>
  </si>
  <si>
    <t xml:space="preserve">Home Insurance Yellowknife, NT: Compare Quotes &amp; Costs (2026)</t>
  </si>
  <si>
    <t xml:space="preserve">Compare home insurance in Yellowknife, NT: instant estimate ($140–$217/mo example), local risk factors and a waitlist for licensed advice in Northwest Territories.</t>
  </si>
  <si>
    <t xml:space="preserve">Home Insurance in Yellowknife, NT</t>
  </si>
  <si>
    <t xml:space="preserve">home insurance yellowknife</t>
  </si>
  <si>
    <t xml:space="preserve">P0516</t>
  </si>
  <si>
    <t xml:space="preserve">https://instasure.ca/home-insurance/nova-scotia/halifax/</t>
  </si>
  <si>
    <t xml:space="preserve">Home Insurance Halifax, NS: Compare Quotes &amp; Costs (2026)</t>
  </si>
  <si>
    <t xml:space="preserve">Compare home insurance in Halifax, NS: instant estimate ($87.00–$134/mo example), local risk factors and advisors licensed in Nova Scotia.</t>
  </si>
  <si>
    <t xml:space="preserve">Home Insurance in Halifax, NS</t>
  </si>
  <si>
    <t xml:space="preserve">home insurance halifax</t>
  </si>
  <si>
    <t xml:space="preserve">P0517</t>
  </si>
  <si>
    <t xml:space="preserve">https://instasure.ca/home-insurance/ontario/ajax/</t>
  </si>
  <si>
    <t xml:space="preserve">Home Insurance Ajax, ON: Compare Quotes &amp; Costs (2026)</t>
  </si>
  <si>
    <t xml:space="preserve">Compare home insurance in Ajax, ON: instant estimate ($107–$165/mo example), local risk factors and advisors licensed in Ontario.</t>
  </si>
  <si>
    <t xml:space="preserve">Home Insurance in Ajax, ON</t>
  </si>
  <si>
    <t xml:space="preserve">home insurance ajax</t>
  </si>
  <si>
    <t xml:space="preserve">P0518</t>
  </si>
  <si>
    <t xml:space="preserve">https://instasure.ca/home-insurance/ontario/barrie/</t>
  </si>
  <si>
    <t xml:space="preserve">Home Insurance Barrie, ON: Compare Quotes &amp; Costs (2026)</t>
  </si>
  <si>
    <t xml:space="preserve">Compare home insurance in Barrie, ON: instant estimate ($107–$165/mo example), local risk factors and advisors licensed in Ontario.</t>
  </si>
  <si>
    <t xml:space="preserve">Home Insurance in Barrie, ON</t>
  </si>
  <si>
    <t xml:space="preserve">home insurance barrie</t>
  </si>
  <si>
    <t xml:space="preserve">P0519</t>
  </si>
  <si>
    <t xml:space="preserve">https://instasure.ca/home-insurance/ontario/brampton/</t>
  </si>
  <si>
    <t xml:space="preserve">Home Insurance Brampton, ON: Compare Quotes &amp; Costs (2026)</t>
  </si>
  <si>
    <t xml:space="preserve">Compare home insurance in Brampton, ON: instant estimate ($107–$165/mo example), local risk factors and advisors licensed in Ontario.</t>
  </si>
  <si>
    <t xml:space="preserve">Home Insurance in Brampton, ON</t>
  </si>
  <si>
    <t xml:space="preserve">home insurance brampton</t>
  </si>
  <si>
    <t xml:space="preserve">P0520</t>
  </si>
  <si>
    <t xml:space="preserve">https://instasure.ca/home-insurance/ontario/burlington/</t>
  </si>
  <si>
    <t xml:space="preserve">Home Insurance Burlington, ON: Compare Quotes &amp; Costs (2026)</t>
  </si>
  <si>
    <t xml:space="preserve">Compare home insurance in Burlington, ON: instant estimate ($107–$165/mo example), local risk factors and advisors licensed in Ontario.</t>
  </si>
  <si>
    <t xml:space="preserve">Home Insurance in Burlington, ON</t>
  </si>
  <si>
    <t xml:space="preserve">home insurance burlington</t>
  </si>
  <si>
    <t xml:space="preserve">P0521</t>
  </si>
  <si>
    <t xml:space="preserve">https://instasure.ca/home-insurance/ontario/cambridge/</t>
  </si>
  <si>
    <t xml:space="preserve">Home Insurance Cambridge, ON: Compare Quotes &amp; Costs (2026)</t>
  </si>
  <si>
    <t xml:space="preserve">Compare home insurance in Cambridge, ON: instant estimate ($107–$165/mo example), local risk factors and advisors licensed in Ontario.</t>
  </si>
  <si>
    <t xml:space="preserve">Home Insurance in Cambridge, ON</t>
  </si>
  <si>
    <t xml:space="preserve">home insurance cambridge</t>
  </si>
  <si>
    <t xml:space="preserve">P0522</t>
  </si>
  <si>
    <t xml:space="preserve">https://instasure.ca/home-insurance/ontario/guelph/</t>
  </si>
  <si>
    <t xml:space="preserve">Home Insurance Guelph, ON: Compare Quotes &amp; Costs (2026)</t>
  </si>
  <si>
    <t xml:space="preserve">Compare home insurance in Guelph, ON: instant estimate ($107–$165/mo example), local risk factors and advisors licensed in Ontario.</t>
  </si>
  <si>
    <t xml:space="preserve">Home Insurance in Guelph, ON</t>
  </si>
  <si>
    <t xml:space="preserve">home insurance guelph</t>
  </si>
  <si>
    <t xml:space="preserve">P0523</t>
  </si>
  <si>
    <t xml:space="preserve">https://instasure.ca/home-insurance/ontario/hamilton/</t>
  </si>
  <si>
    <t xml:space="preserve">Home Insurance Hamilton, ON: Compare Quotes &amp; Costs (2026)</t>
  </si>
  <si>
    <t xml:space="preserve">Compare home insurance in Hamilton, ON: instant estimate ($107–$165/mo example), local risk factors and advisors licensed in Ontario.</t>
  </si>
  <si>
    <t xml:space="preserve">Home Insurance in Hamilton, ON</t>
  </si>
  <si>
    <t xml:space="preserve">home insurance hamilton</t>
  </si>
  <si>
    <t xml:space="preserve">P0524</t>
  </si>
  <si>
    <t xml:space="preserve">https://instasure.ca/home-insurance/ontario/kingston/</t>
  </si>
  <si>
    <t xml:space="preserve">Home Insurance Kingston, ON: Compare Quotes &amp; Costs (2026)</t>
  </si>
  <si>
    <t xml:space="preserve">Compare home insurance in Kingston, ON: instant estimate ($107–$165/mo example), local risk factors and advisors licensed in Ontario.</t>
  </si>
  <si>
    <t xml:space="preserve">Home Insurance in Kingston, ON</t>
  </si>
  <si>
    <t xml:space="preserve">home insurance kingston</t>
  </si>
  <si>
    <t xml:space="preserve">P0525</t>
  </si>
  <si>
    <t xml:space="preserve">https://instasure.ca/home-insurance/ontario/kitchener/</t>
  </si>
  <si>
    <t xml:space="preserve">Home Insurance Kitchener, ON: Compare Quotes &amp; Costs (2026)</t>
  </si>
  <si>
    <t xml:space="preserve">Compare home insurance in Kitchener, ON: instant estimate ($107–$165/mo example), local risk factors and advisors licensed in Ontario.</t>
  </si>
  <si>
    <t xml:space="preserve">Home Insurance in Kitchener, ON</t>
  </si>
  <si>
    <t xml:space="preserve">home insurance kitchener</t>
  </si>
  <si>
    <t xml:space="preserve">P0526</t>
  </si>
  <si>
    <t xml:space="preserve">https://instasure.ca/home-insurance/ontario/london/</t>
  </si>
  <si>
    <t xml:space="preserve">Home Insurance London, ON: Compare Quotes &amp; Costs (2026)</t>
  </si>
  <si>
    <t xml:space="preserve">Compare home insurance in London, ON: instant estimate ($107–$165/mo example), local risk factors and advisors licensed in Ontario.</t>
  </si>
  <si>
    <t xml:space="preserve">Home Insurance in London, ON</t>
  </si>
  <si>
    <t xml:space="preserve">home insurance london ontario</t>
  </si>
  <si>
    <t xml:space="preserve">P0527</t>
  </si>
  <si>
    <t xml:space="preserve">https://instasure.ca/home-insurance/ontario/markham/</t>
  </si>
  <si>
    <t xml:space="preserve">Home Insurance Markham, ON: Compare Quotes &amp; Costs (2026)</t>
  </si>
  <si>
    <t xml:space="preserve">Compare home insurance in Markham, ON: instant estimate ($107–$165/mo example), local risk factors and advisors licensed in Ontario.</t>
  </si>
  <si>
    <t xml:space="preserve">Home Insurance in Markham, ON</t>
  </si>
  <si>
    <t xml:space="preserve">home insurance markham</t>
  </si>
  <si>
    <t xml:space="preserve">P0528</t>
  </si>
  <si>
    <t xml:space="preserve">https://instasure.ca/home-insurance/ontario/milton/</t>
  </si>
  <si>
    <t xml:space="preserve">Home Insurance Milton, ON: Compare Quotes &amp; Costs (2026)</t>
  </si>
  <si>
    <t xml:space="preserve">Compare home insurance in Milton, ON: instant estimate ($107–$165/mo example), local risk factors and advisors licensed in Ontario.</t>
  </si>
  <si>
    <t xml:space="preserve">Home Insurance in Milton, ON</t>
  </si>
  <si>
    <t xml:space="preserve">home insurance milton</t>
  </si>
  <si>
    <t xml:space="preserve">P0529</t>
  </si>
  <si>
    <t xml:space="preserve">https://instasure.ca/home-insurance/ontario/mississauga/</t>
  </si>
  <si>
    <t xml:space="preserve">Home Insurance Mississauga, ON: Compare Quotes &amp; Costs (2026)</t>
  </si>
  <si>
    <t xml:space="preserve">Compare home insurance in Mississauga, ON: instant estimate ($107–$165/mo example), local risk factors and advisors licensed in Ontario.</t>
  </si>
  <si>
    <t xml:space="preserve">Home Insurance in Mississauga, ON</t>
  </si>
  <si>
    <t xml:space="preserve">home insurance mississauga</t>
  </si>
  <si>
    <t xml:space="preserve">P0530</t>
  </si>
  <si>
    <t xml:space="preserve">https://instasure.ca/home-insurance/ontario/oakville/</t>
  </si>
  <si>
    <t xml:space="preserve">Home Insurance Oakville, ON: Compare Quotes &amp; Costs (2026)</t>
  </si>
  <si>
    <t xml:space="preserve">Compare home insurance in Oakville, ON: instant estimate ($107–$165/mo example), local risk factors and advisors licensed in Ontario.</t>
  </si>
  <si>
    <t xml:space="preserve">Home Insurance in Oakville, ON</t>
  </si>
  <si>
    <t xml:space="preserve">home insurance oakville</t>
  </si>
  <si>
    <t xml:space="preserve">P0531</t>
  </si>
  <si>
    <t xml:space="preserve">https://instasure.ca/home-insurance/ontario/oshawa/</t>
  </si>
  <si>
    <t xml:space="preserve">Home Insurance Oshawa, ON: Compare Quotes &amp; Costs (2026)</t>
  </si>
  <si>
    <t xml:space="preserve">Compare home insurance in Oshawa, ON: instant estimate ($107–$165/mo example), local risk factors and advisors licensed in Ontario.</t>
  </si>
  <si>
    <t xml:space="preserve">Home Insurance in Oshawa, ON</t>
  </si>
  <si>
    <t xml:space="preserve">home insurance oshawa</t>
  </si>
  <si>
    <t xml:space="preserve">P0532</t>
  </si>
  <si>
    <t xml:space="preserve">https://instasure.ca/home-insurance/ontario/ottawa/</t>
  </si>
  <si>
    <t xml:space="preserve">Home Insurance Ottawa, ON: Compare Quotes &amp; Costs (2026)</t>
  </si>
  <si>
    <t xml:space="preserve">Compare home insurance in Ottawa, ON: instant estimate ($107–$165/mo example), local risk factors and advisors licensed in Ontario.</t>
  </si>
  <si>
    <t xml:space="preserve">Home Insurance in Ottawa, ON</t>
  </si>
  <si>
    <t xml:space="preserve">home insurance ottawa</t>
  </si>
  <si>
    <t xml:space="preserve">P0533</t>
  </si>
  <si>
    <t xml:space="preserve">https://instasure.ca/home-insurance/ontario/pickering/</t>
  </si>
  <si>
    <t xml:space="preserve">Home Insurance Pickering, ON: Compare Quotes &amp; Costs (2026)</t>
  </si>
  <si>
    <t xml:space="preserve">Compare home insurance in Pickering, ON: instant estimate ($107–$165/mo example), local risk factors and advisors licensed in Ontario.</t>
  </si>
  <si>
    <t xml:space="preserve">Home Insurance in Pickering, ON</t>
  </si>
  <si>
    <t xml:space="preserve">home insurance pickering</t>
  </si>
  <si>
    <t xml:space="preserve">P0534</t>
  </si>
  <si>
    <t xml:space="preserve">https://instasure.ca/home-insurance/ontario/richmond-hill/</t>
  </si>
  <si>
    <t xml:space="preserve">Home Insurance Richmond Hill, ON: Compare Quotes &amp; Costs (2026)</t>
  </si>
  <si>
    <t xml:space="preserve">Compare home insurance in Richmond Hill, ON: instant estimate ($107–$165/mo example), local risk factors and advisors licensed in Ontario.</t>
  </si>
  <si>
    <t xml:space="preserve">Home Insurance in Richmond Hill, ON</t>
  </si>
  <si>
    <t xml:space="preserve">home insurance richmond hill</t>
  </si>
  <si>
    <t xml:space="preserve">P0535</t>
  </si>
  <si>
    <t xml:space="preserve">https://instasure.ca/home-insurance/ontario/st-catharines/</t>
  </si>
  <si>
    <t xml:space="preserve">Home Insurance St. Catharines, ON: Compare Quotes &amp; Costs (2026)</t>
  </si>
  <si>
    <t xml:space="preserve">Compare home insurance in St. Catharines, ON: instant estimate ($107–$165/mo example), local risk factors and advisors licensed in Ontario.</t>
  </si>
  <si>
    <t xml:space="preserve">Home Insurance in St. Catharines, ON</t>
  </si>
  <si>
    <t xml:space="preserve">home insurance st catharines</t>
  </si>
  <si>
    <t xml:space="preserve">P0536</t>
  </si>
  <si>
    <t xml:space="preserve">https://instasure.ca/home-insurance/ontario/sudbury/</t>
  </si>
  <si>
    <t xml:space="preserve">Home Insurance Sudbury, ON: Compare Quotes &amp; Costs (2026)</t>
  </si>
  <si>
    <t xml:space="preserve">Compare home insurance in Sudbury, ON: instant estimate ($107–$165/mo example), local risk factors and advisors licensed in Ontario.</t>
  </si>
  <si>
    <t xml:space="preserve">Home Insurance in Sudbury, ON</t>
  </si>
  <si>
    <t xml:space="preserve">home insurance sudbury</t>
  </si>
  <si>
    <t xml:space="preserve">P0537</t>
  </si>
  <si>
    <t xml:space="preserve">https://instasure.ca/home-insurance/ontario/thunder-bay/</t>
  </si>
  <si>
    <t xml:space="preserve">Home Insurance Thunder Bay, ON: Compare Quotes &amp; Costs (2026)</t>
  </si>
  <si>
    <t xml:space="preserve">Compare home insurance in Thunder Bay, ON: instant estimate ($107–$165/mo example), local risk factors and advisors licensed in Ontario.</t>
  </si>
  <si>
    <t xml:space="preserve">Home Insurance in Thunder Bay, ON</t>
  </si>
  <si>
    <t xml:space="preserve">home insurance thunder bay</t>
  </si>
  <si>
    <t xml:space="preserve">P0538</t>
  </si>
  <si>
    <t xml:space="preserve">https://instasure.ca/home-insurance/ontario/toronto/</t>
  </si>
  <si>
    <t xml:space="preserve">Home Insurance Toronto, ON: Compare Quotes &amp; Costs (2026)</t>
  </si>
  <si>
    <t xml:space="preserve">Compare home insurance in Toronto, ON: instant estimate ($111–$172/mo example), local risk factors and advisors licensed in Ontario.</t>
  </si>
  <si>
    <t xml:space="preserve">Home Insurance in Toronto, ON</t>
  </si>
  <si>
    <t xml:space="preserve">home insurance toronto</t>
  </si>
  <si>
    <t xml:space="preserve">P0539</t>
  </si>
  <si>
    <t xml:space="preserve">https://instasure.ca/home-insurance/ontario/vaughan/</t>
  </si>
  <si>
    <t xml:space="preserve">Home Insurance Vaughan, ON: Compare Quotes &amp; Costs (2026)</t>
  </si>
  <si>
    <t xml:space="preserve">Compare home insurance in Vaughan, ON: instant estimate ($107–$165/mo example), local risk factors and advisors licensed in Ontario.</t>
  </si>
  <si>
    <t xml:space="preserve">Home Insurance in Vaughan, ON</t>
  </si>
  <si>
    <t xml:space="preserve">home insurance vaughan</t>
  </si>
  <si>
    <t xml:space="preserve">P0540</t>
  </si>
  <si>
    <t xml:space="preserve">https://instasure.ca/home-insurance/ontario/waterloo/</t>
  </si>
  <si>
    <t xml:space="preserve">Home Insurance Waterloo, ON: Compare Quotes &amp; Costs (2026)</t>
  </si>
  <si>
    <t xml:space="preserve">Compare home insurance in Waterloo, ON: instant estimate ($107–$165/mo example), local risk factors and advisors licensed in Ontario.</t>
  </si>
  <si>
    <t xml:space="preserve">Home Insurance in Waterloo, ON</t>
  </si>
  <si>
    <t xml:space="preserve">home insurance waterloo</t>
  </si>
  <si>
    <t xml:space="preserve">P0541</t>
  </si>
  <si>
    <t xml:space="preserve">https://instasure.ca/home-insurance/ontario/whitby/</t>
  </si>
  <si>
    <t xml:space="preserve">Home Insurance Whitby, ON: Compare Quotes &amp; Costs (2026)</t>
  </si>
  <si>
    <t xml:space="preserve">Compare home insurance in Whitby, ON: instant estimate ($107–$165/mo example), local risk factors and advisors licensed in Ontario.</t>
  </si>
  <si>
    <t xml:space="preserve">Home Insurance in Whitby, ON</t>
  </si>
  <si>
    <t xml:space="preserve">home insurance whitby</t>
  </si>
  <si>
    <t xml:space="preserve">P0542</t>
  </si>
  <si>
    <t xml:space="preserve">https://instasure.ca/home-insurance/ontario/windsor/</t>
  </si>
  <si>
    <t xml:space="preserve">Home Insurance Windsor, ON: Compare Quotes &amp; Costs (2026)</t>
  </si>
  <si>
    <t xml:space="preserve">Compare home insurance in Windsor, ON: instant estimate ($107–$165/mo example), local risk factors and advisors licensed in Ontario.</t>
  </si>
  <si>
    <t xml:space="preserve">Home Insurance in Windsor, ON</t>
  </si>
  <si>
    <t xml:space="preserve">home insurance windsor</t>
  </si>
  <si>
    <t xml:space="preserve">P0543</t>
  </si>
  <si>
    <t xml:space="preserve">https://instasure.ca/home-insurance/prince-edward-island/charlottetown/</t>
  </si>
  <si>
    <t xml:space="preserve">Home Insurance Charlottetown, PE: Compare Quotes &amp; Costs (2026)</t>
  </si>
  <si>
    <t xml:space="preserve">Compare home insurance in Charlottetown, PE: instant estimate ($73.00–$114/mo example), local risk factors and advisors licensed in Prince Edward Island.</t>
  </si>
  <si>
    <t xml:space="preserve">Home Insurance in Charlottetown, PE</t>
  </si>
  <si>
    <t xml:space="preserve">home insurance charlottetown</t>
  </si>
  <si>
    <t xml:space="preserve">P0544</t>
  </si>
  <si>
    <t xml:space="preserve">https://instasure.ca/home-insurance/quebec/gatineau/</t>
  </si>
  <si>
    <t xml:space="preserve">Home Insurance Gatineau, QC: Compare Quotes &amp; Costs (2026)</t>
  </si>
  <si>
    <t xml:space="preserve">Compare home insurance in Gatineau, QC: instant estimate ($78.00–$120/mo example), local risk factors and a waitlist for licensed advice in Quebec.</t>
  </si>
  <si>
    <t xml:space="preserve">Home Insurance in Gatineau, QC</t>
  </si>
  <si>
    <t xml:space="preserve">home insurance gatineau</t>
  </si>
  <si>
    <t xml:space="preserve">P0545</t>
  </si>
  <si>
    <t xml:space="preserve">https://instasure.ca/home-insurance/quebec/laval/</t>
  </si>
  <si>
    <t xml:space="preserve">Home Insurance Laval, QC: Compare Quotes &amp; Costs (2026)</t>
  </si>
  <si>
    <t xml:space="preserve">Compare home insurance in Laval, QC: instant estimate ($79.00–$123/mo example), local risk factors and a waitlist for licensed advice in Quebec.</t>
  </si>
  <si>
    <t xml:space="preserve">Home Insurance in Laval, QC</t>
  </si>
  <si>
    <t xml:space="preserve">home insurance laval</t>
  </si>
  <si>
    <t xml:space="preserve">P0546</t>
  </si>
  <si>
    <t xml:space="preserve">https://instasure.ca/home-insurance/quebec/longueuil/</t>
  </si>
  <si>
    <t xml:space="preserve">Home Insurance Longueuil, QC: Compare Quotes &amp; Costs (2026)</t>
  </si>
  <si>
    <t xml:space="preserve">Compare home insurance in Longueuil, QC: instant estimate ($73.00–$114/mo example), local risk factors and a waitlist for licensed advice in Quebec.</t>
  </si>
  <si>
    <t xml:space="preserve">Home Insurance in Longueuil, QC</t>
  </si>
  <si>
    <t xml:space="preserve">home insurance longueuil</t>
  </si>
  <si>
    <t xml:space="preserve">P0547</t>
  </si>
  <si>
    <t xml:space="preserve">https://instasure.ca/home-insurance/quebec/montreal/</t>
  </si>
  <si>
    <t xml:space="preserve">Home Insurance Montreal, QC: Compare Quotes &amp; Costs (2026)</t>
  </si>
  <si>
    <t xml:space="preserve">Compare home insurance in Montreal, QC: instant estimate ($73.00–$114/mo example), local risk factors and a waitlist for licensed advice in Quebec.</t>
  </si>
  <si>
    <t xml:space="preserve">Home Insurance in Montreal, QC</t>
  </si>
  <si>
    <t xml:space="preserve">home insurance montreal</t>
  </si>
  <si>
    <t xml:space="preserve">P0548</t>
  </si>
  <si>
    <t xml:space="preserve">https://instasure.ca/home-insurance/quebec/quebec-city/</t>
  </si>
  <si>
    <t xml:space="preserve">Home Insurance Quebec City, QC: Compare Quotes &amp; Costs (2026)</t>
  </si>
  <si>
    <t xml:space="preserve">Compare home insurance in Quebec City, QC: instant estimate ($73.00–$114/mo example), local risk factors and a waitlist for licensed advice in Quebec.</t>
  </si>
  <si>
    <t xml:space="preserve">Home Insurance in Quebec City, QC</t>
  </si>
  <si>
    <t xml:space="preserve">home insurance quebec city</t>
  </si>
  <si>
    <t xml:space="preserve">P0549</t>
  </si>
  <si>
    <t xml:space="preserve">https://instasure.ca/home-insurance/quebec/sherbrooke/</t>
  </si>
  <si>
    <t xml:space="preserve">Home Insurance Sherbrooke, QC: Compare Quotes &amp; Costs (2026)</t>
  </si>
  <si>
    <t xml:space="preserve">Compare home insurance in Sherbrooke, QC: instant estimate ($73.00–$114/mo example), local risk factors and a waitlist for licensed advice in Quebec.</t>
  </si>
  <si>
    <t xml:space="preserve">Home Insurance in Sherbrooke, QC</t>
  </si>
  <si>
    <t xml:space="preserve">home insurance sherbrooke</t>
  </si>
  <si>
    <t xml:space="preserve">P0550</t>
  </si>
  <si>
    <t xml:space="preserve">https://instasure.ca/home-insurance/saskatchewan/regina/</t>
  </si>
  <si>
    <t xml:space="preserve">Home Insurance Regina, SK: Compare Quotes &amp; Costs (2026)</t>
  </si>
  <si>
    <t xml:space="preserve">Compare home insurance in Regina, SK: instant estimate ($130–$201/mo example), local risk factors and advisors licensed in Saskatchewan.</t>
  </si>
  <si>
    <t xml:space="preserve">Home Insurance in Regina, SK</t>
  </si>
  <si>
    <t xml:space="preserve">home insurance regina</t>
  </si>
  <si>
    <t xml:space="preserve">P0551</t>
  </si>
  <si>
    <t xml:space="preserve">https://instasure.ca/home-insurance/saskatchewan/saskatoon/</t>
  </si>
  <si>
    <t xml:space="preserve">Home Insurance Saskatoon, SK: Compare Quotes &amp; Costs (2026)</t>
  </si>
  <si>
    <t xml:space="preserve">Compare home insurance in Saskatoon, SK: instant estimate ($130–$201/mo example), local risk factors and advisors licensed in Saskatchewan.</t>
  </si>
  <si>
    <t xml:space="preserve">Home Insurance in Saskatoon, SK</t>
  </si>
  <si>
    <t xml:space="preserve">home insurance saskatoon</t>
  </si>
  <si>
    <t xml:space="preserve">P0552</t>
  </si>
  <si>
    <t xml:space="preserve">https://instasure.ca/home-insurance/yukon/whitehorse/</t>
  </si>
  <si>
    <t xml:space="preserve">Home Insurance Whitehorse, YT: Compare Quotes &amp; Costs (2026)</t>
  </si>
  <si>
    <t xml:space="preserve">Compare home insurance in Whitehorse, YT: instant estimate ($133–$207/mo example), local risk factors and a waitlist for licensed advice in Yukon.</t>
  </si>
  <si>
    <t xml:space="preserve">Home Insurance in Whitehorse, YT</t>
  </si>
  <si>
    <t xml:space="preserve">home insurance whitehorse</t>
  </si>
  <si>
    <t xml:space="preserve">P0553</t>
  </si>
  <si>
    <t xml:space="preserve">https://instasure.ca/life-insurance/alberta/airdrie/</t>
  </si>
  <si>
    <t xml:space="preserve">Life Insurance Airdrie, AB: Compare Quotes &amp; Costs (2026)</t>
  </si>
  <si>
    <t xml:space="preserve">Compare life insurance in Airdrie, AB: instant estimate ($20.50–$29.50/mo example), example prices by age and advisors licensed in Alberta.</t>
  </si>
  <si>
    <t xml:space="preserve">Life Insurance in Airdrie, AB</t>
  </si>
  <si>
    <t xml:space="preserve">life insurance airdrie</t>
  </si>
  <si>
    <t xml:space="preserve">P0554</t>
  </si>
  <si>
    <t xml:space="preserve">https://instasure.ca/life-insurance/alberta/calgary/</t>
  </si>
  <si>
    <t xml:space="preserve">Life Insurance Calgary, AB: Compare Quotes &amp; Costs (2026)</t>
  </si>
  <si>
    <t xml:space="preserve">Compare life insurance in Calgary, AB: instant estimate ($20.50–$29.50/mo example), example prices by age and advisors licensed in Alberta.</t>
  </si>
  <si>
    <t xml:space="preserve">Life Insurance in Calgary, AB</t>
  </si>
  <si>
    <t xml:space="preserve">life insurance calgary</t>
  </si>
  <si>
    <t xml:space="preserve">P0555</t>
  </si>
  <si>
    <t xml:space="preserve">https://instasure.ca/life-insurance/alberta/edmonton/</t>
  </si>
  <si>
    <t xml:space="preserve">Life Insurance Edmonton, AB: Compare Quotes &amp; Costs (2026)</t>
  </si>
  <si>
    <t xml:space="preserve">Compare life insurance in Edmonton, AB: instant estimate ($20.50–$29.50/mo example), example prices by age and advisors licensed in Alberta.</t>
  </si>
  <si>
    <t xml:space="preserve">Life Insurance in Edmonton, AB</t>
  </si>
  <si>
    <t xml:space="preserve">life insurance edmonton</t>
  </si>
  <si>
    <t xml:space="preserve">P0556</t>
  </si>
  <si>
    <t xml:space="preserve">https://instasure.ca/life-insurance/alberta/lethbridge/</t>
  </si>
  <si>
    <t xml:space="preserve">Life Insurance Lethbridge, AB: Compare Quotes &amp; Costs (2026)</t>
  </si>
  <si>
    <t xml:space="preserve">Compare life insurance in Lethbridge, AB: instant estimate ($20.50–$29.50/mo example), example prices by age and advisors licensed in Alberta.</t>
  </si>
  <si>
    <t xml:space="preserve">Life Insurance in Lethbridge, AB</t>
  </si>
  <si>
    <t xml:space="preserve">life insurance lethbridge</t>
  </si>
  <si>
    <t xml:space="preserve">P0557</t>
  </si>
  <si>
    <t xml:space="preserve">https://instasure.ca/life-insurance/alberta/red-deer/</t>
  </si>
  <si>
    <t xml:space="preserve">Life Insurance Red Deer, AB: Compare Quotes &amp; Costs (2026)</t>
  </si>
  <si>
    <t xml:space="preserve">Compare life insurance in Red Deer, AB: instant estimate ($20.50–$29.50/mo example), example prices by age and advisors licensed in Alberta.</t>
  </si>
  <si>
    <t xml:space="preserve">Life Insurance in Red Deer, AB</t>
  </si>
  <si>
    <t xml:space="preserve">life insurance red deer</t>
  </si>
  <si>
    <t xml:space="preserve">P0558</t>
  </si>
  <si>
    <t xml:space="preserve">https://instasure.ca/life-insurance/british-columbia/abbotsford/</t>
  </si>
  <si>
    <t xml:space="preserve">Life Insurance Abbotsford, BC: Compare Quotes &amp; Costs (2026)</t>
  </si>
  <si>
    <t xml:space="preserve">Compare life insurance in Abbotsford, BC: instant estimate ($20.50–$29.50/mo example), example prices by age and advisors licensed in British Columbia.</t>
  </si>
  <si>
    <t xml:space="preserve">Life Insurance in Abbotsford, BC</t>
  </si>
  <si>
    <t xml:space="preserve">life insurance abbotsford</t>
  </si>
  <si>
    <t xml:space="preserve">P0559</t>
  </si>
  <si>
    <t xml:space="preserve">https://instasure.ca/life-insurance/british-columbia/burnaby/</t>
  </si>
  <si>
    <t xml:space="preserve">Life Insurance Burnaby, BC: Compare Quotes &amp; Costs (2026)</t>
  </si>
  <si>
    <t xml:space="preserve">Compare life insurance in Burnaby, BC: instant estimate ($20.50–$29.50/mo example), example prices by age and advisors licensed in British Columbia.</t>
  </si>
  <si>
    <t xml:space="preserve">Life Insurance in Burnaby, BC</t>
  </si>
  <si>
    <t xml:space="preserve">life insurance burnaby</t>
  </si>
  <si>
    <t xml:space="preserve">P0560</t>
  </si>
  <si>
    <t xml:space="preserve">https://instasure.ca/life-insurance/british-columbia/coquitlam/</t>
  </si>
  <si>
    <t xml:space="preserve">Life Insurance Coquitlam, BC: Compare Quotes &amp; Costs (2026)</t>
  </si>
  <si>
    <t xml:space="preserve">Compare life insurance in Coquitlam, BC: instant estimate ($20.50–$29.50/mo example), example prices by age and advisors licensed in British Columbia.</t>
  </si>
  <si>
    <t xml:space="preserve">Life Insurance in Coquitlam, BC</t>
  </si>
  <si>
    <t xml:space="preserve">life insurance coquitlam</t>
  </si>
  <si>
    <t xml:space="preserve">P0561</t>
  </si>
  <si>
    <t xml:space="preserve">https://instasure.ca/life-insurance/british-columbia/kelowna/</t>
  </si>
  <si>
    <t xml:space="preserve">Life Insurance Kelowna, BC: Compare Quotes &amp; Costs (2026)</t>
  </si>
  <si>
    <t xml:space="preserve">Compare life insurance in Kelowna, BC: instant estimate ($20.50–$29.50/mo example), example prices by age and advisors licensed in British Columbia.</t>
  </si>
  <si>
    <t xml:space="preserve">Life Insurance in Kelowna, BC</t>
  </si>
  <si>
    <t xml:space="preserve">life insurance kelowna</t>
  </si>
  <si>
    <t xml:space="preserve">P0562</t>
  </si>
  <si>
    <t xml:space="preserve">https://instasure.ca/life-insurance/british-columbia/langley/</t>
  </si>
  <si>
    <t xml:space="preserve">Life Insurance Langley, BC: Compare Quotes &amp; Costs (2026)</t>
  </si>
  <si>
    <t xml:space="preserve">Compare life insurance in Langley, BC: instant estimate ($20.50–$29.50/mo example), example prices by age and advisors licensed in British Columbia.</t>
  </si>
  <si>
    <t xml:space="preserve">Life Insurance in Langley, BC</t>
  </si>
  <si>
    <t xml:space="preserve">life insurance langley</t>
  </si>
  <si>
    <t xml:space="preserve">P0563</t>
  </si>
  <si>
    <t xml:space="preserve">https://instasure.ca/life-insurance/british-columbia/richmond/</t>
  </si>
  <si>
    <t xml:space="preserve">Life Insurance Richmond, BC: Compare Quotes &amp; Costs (2026)</t>
  </si>
  <si>
    <t xml:space="preserve">Compare life insurance in Richmond, BC: instant estimate ($20.50–$29.50/mo example), example prices by age and advisors licensed in British Columbia.</t>
  </si>
  <si>
    <t xml:space="preserve">Life Insurance in Richmond, BC</t>
  </si>
  <si>
    <t xml:space="preserve">life insurance richmond bc</t>
  </si>
  <si>
    <t xml:space="preserve">P0564</t>
  </si>
  <si>
    <t xml:space="preserve">https://instasure.ca/life-insurance/british-columbia/surrey/</t>
  </si>
  <si>
    <t xml:space="preserve">Life Insurance Surrey, BC: Compare Quotes &amp; Costs (2026)</t>
  </si>
  <si>
    <t xml:space="preserve">Compare life insurance in Surrey, BC: instant estimate ($20.50–$29.50/mo example), example prices by age and advisors licensed in British Columbia.</t>
  </si>
  <si>
    <t xml:space="preserve">Life Insurance in Surrey, BC</t>
  </si>
  <si>
    <t xml:space="preserve">life insurance surrey</t>
  </si>
  <si>
    <t xml:space="preserve">P0565</t>
  </si>
  <si>
    <t xml:space="preserve">https://instasure.ca/life-insurance/british-columbia/vancouver/</t>
  </si>
  <si>
    <t xml:space="preserve">Life Insurance Vancouver, BC: Compare Quotes &amp; Costs (2026)</t>
  </si>
  <si>
    <t xml:space="preserve">Compare life insurance in Vancouver, BC: instant estimate ($20.50–$29.50/mo example), example prices by age and advisors licensed in British Columbia.</t>
  </si>
  <si>
    <t xml:space="preserve">Life Insurance in Vancouver, BC</t>
  </si>
  <si>
    <t xml:space="preserve">life insurance vancouver</t>
  </si>
  <si>
    <t xml:space="preserve">P0566</t>
  </si>
  <si>
    <t xml:space="preserve">https://instasure.ca/life-insurance/british-columbia/victoria/</t>
  </si>
  <si>
    <t xml:space="preserve">Life Insurance Victoria, BC: Compare Quotes &amp; Costs (2026)</t>
  </si>
  <si>
    <t xml:space="preserve">Compare life insurance in Victoria, BC: instant estimate ($20.50–$29.50/mo example), example prices by age and advisors licensed in British Columbia.</t>
  </si>
  <si>
    <t xml:space="preserve">Life Insurance in Victoria, BC</t>
  </si>
  <si>
    <t xml:space="preserve">life insurance victoria</t>
  </si>
  <si>
    <t xml:space="preserve">P0567</t>
  </si>
  <si>
    <t xml:space="preserve">https://instasure.ca/life-insurance/manitoba/brandon/</t>
  </si>
  <si>
    <t xml:space="preserve">Life Insurance Brandon, MB: Compare Quotes &amp; Costs (2026)</t>
  </si>
  <si>
    <t xml:space="preserve">Compare life insurance in Brandon, MB: instant estimate ($20.50–$29.50/mo example), example prices by age and advisors licensed in Manitoba.</t>
  </si>
  <si>
    <t xml:space="preserve">Life Insurance in Brandon, MB</t>
  </si>
  <si>
    <t xml:space="preserve">life insurance brandon</t>
  </si>
  <si>
    <t xml:space="preserve">P0568</t>
  </si>
  <si>
    <t xml:space="preserve">https://instasure.ca/life-insurance/manitoba/winnipeg/</t>
  </si>
  <si>
    <t xml:space="preserve">Life Insurance Winnipeg, MB: Compare Quotes &amp; Costs (2026)</t>
  </si>
  <si>
    <t xml:space="preserve">Compare life insurance in Winnipeg, MB: instant estimate ($20.50–$29.50/mo example), example prices by age and advisors licensed in Manitoba.</t>
  </si>
  <si>
    <t xml:space="preserve">Life Insurance in Winnipeg, MB</t>
  </si>
  <si>
    <t xml:space="preserve">life insurance winnipeg</t>
  </si>
  <si>
    <t xml:space="preserve">P0569</t>
  </si>
  <si>
    <t xml:space="preserve">https://instasure.ca/life-insurance/new-brunswick/fredericton/</t>
  </si>
  <si>
    <t xml:space="preserve">Life Insurance Fredericton, NB: Compare Quotes &amp; Costs (2026)</t>
  </si>
  <si>
    <t xml:space="preserve">Compare life insurance in Fredericton, NB: instant estimate ($20.50–$29.50/mo example), example prices by age and advisors licensed in New Brunswick.</t>
  </si>
  <si>
    <t xml:space="preserve">Life Insurance in Fredericton, NB</t>
  </si>
  <si>
    <t xml:space="preserve">life insurance fredericton</t>
  </si>
  <si>
    <t xml:space="preserve">P0570</t>
  </si>
  <si>
    <t xml:space="preserve">https://instasure.ca/life-insurance/new-brunswick/moncton/</t>
  </si>
  <si>
    <t xml:space="preserve">Life Insurance Moncton, NB: Compare Quotes &amp; Costs (2026)</t>
  </si>
  <si>
    <t xml:space="preserve">Compare life insurance in Moncton, NB: instant estimate ($20.50–$29.50/mo example), example prices by age and advisors licensed in New Brunswick.</t>
  </si>
  <si>
    <t xml:space="preserve">Life Insurance in Moncton, NB</t>
  </si>
  <si>
    <t xml:space="preserve">life insurance moncton</t>
  </si>
  <si>
    <t xml:space="preserve">P0571</t>
  </si>
  <si>
    <t xml:space="preserve">https://instasure.ca/life-insurance/new-brunswick/saint-john/</t>
  </si>
  <si>
    <t xml:space="preserve">Life Insurance Saint John, NB: Compare Quotes &amp; Costs (2026)</t>
  </si>
  <si>
    <t xml:space="preserve">Compare life insurance in Saint John, NB: instant estimate ($20.50–$29.50/mo example), example prices by age and advisors licensed in New Brunswick.</t>
  </si>
  <si>
    <t xml:space="preserve">Life Insurance in Saint John, NB</t>
  </si>
  <si>
    <t xml:space="preserve">life insurance saint john</t>
  </si>
  <si>
    <t xml:space="preserve">P0572</t>
  </si>
  <si>
    <t xml:space="preserve">https://instasure.ca/life-insurance/newfoundland-and-labrador/st-johns/</t>
  </si>
  <si>
    <t xml:space="preserve">Life Insurance St. John’s, NL: Compare Quotes &amp; Costs (2026)</t>
  </si>
  <si>
    <t xml:space="preserve">Compare life insurance in St. John’s, NL: instant estimate ($20.50–$29.50/mo example), example prices by age and advisors licensed in Newfoundland and Labrador.</t>
  </si>
  <si>
    <t xml:space="preserve">Life Insurance in St. John’s, NL</t>
  </si>
  <si>
    <t xml:space="preserve">life insurance st johns</t>
  </si>
  <si>
    <t xml:space="preserve">P0573</t>
  </si>
  <si>
    <t xml:space="preserve">https://instasure.ca/life-insurance/northwest-territories/yellowknife/</t>
  </si>
  <si>
    <t xml:space="preserve">Life Insurance Yellowknife, NT: Compare Quotes &amp; Costs (2026)</t>
  </si>
  <si>
    <t xml:space="preserve">Compare life insurance in Yellowknife, NT: instant estimate ($20.50–$29.50/mo example), example prices by age and a waitlist for licensed advice in Northwest…</t>
  </si>
  <si>
    <t xml:space="preserve">Life Insurance in Yellowknife, NT</t>
  </si>
  <si>
    <t xml:space="preserve">life insurance yellowknife</t>
  </si>
  <si>
    <t xml:space="preserve">P0574</t>
  </si>
  <si>
    <t xml:space="preserve">https://instasure.ca/life-insurance/nova-scotia/halifax/</t>
  </si>
  <si>
    <t xml:space="preserve">Life Insurance Halifax, NS: Compare Quotes &amp; Costs (2026)</t>
  </si>
  <si>
    <t xml:space="preserve">Compare life insurance in Halifax, NS: instant estimate ($20.50–$29.50/mo example), example prices by age and advisors licensed in Nova Scotia.</t>
  </si>
  <si>
    <t xml:space="preserve">Life Insurance in Halifax, NS</t>
  </si>
  <si>
    <t xml:space="preserve">life insurance halifax</t>
  </si>
  <si>
    <t xml:space="preserve">P0575</t>
  </si>
  <si>
    <t xml:space="preserve">https://instasure.ca/life-insurance/ontario/ajax/</t>
  </si>
  <si>
    <t xml:space="preserve">Life Insurance Ajax, ON: Compare Quotes &amp; Costs (2026)</t>
  </si>
  <si>
    <t xml:space="preserve">Compare life insurance in Ajax, ON: instant estimate ($20.50–$29.50/mo example), example prices by age and advisors licensed in Ontario.</t>
  </si>
  <si>
    <t xml:space="preserve">Life Insurance in Ajax, ON</t>
  </si>
  <si>
    <t xml:space="preserve">life insurance ajax</t>
  </si>
  <si>
    <t xml:space="preserve">P0576</t>
  </si>
  <si>
    <t xml:space="preserve">https://instasure.ca/life-insurance/ontario/barrie/</t>
  </si>
  <si>
    <t xml:space="preserve">Life Insurance Barrie, ON: Compare Quotes &amp; Costs (2026)</t>
  </si>
  <si>
    <t xml:space="preserve">Compare life insurance in Barrie, ON: instant estimate ($20.50–$29.50/mo example), example prices by age and advisors licensed in Ontario.</t>
  </si>
  <si>
    <t xml:space="preserve">Life Insurance in Barrie, ON</t>
  </si>
  <si>
    <t xml:space="preserve">life insurance barrie</t>
  </si>
  <si>
    <t xml:space="preserve">P0577</t>
  </si>
  <si>
    <t xml:space="preserve">https://instasure.ca/life-insurance/ontario/brampton/</t>
  </si>
  <si>
    <t xml:space="preserve">Life Insurance Brampton, ON: Compare Quotes &amp; Costs (2026)</t>
  </si>
  <si>
    <t xml:space="preserve">Compare life insurance in Brampton, ON: instant estimate ($20.50–$29.50/mo example), example prices by age and advisors licensed in Ontario.</t>
  </si>
  <si>
    <t xml:space="preserve">Life Insurance in Brampton, ON</t>
  </si>
  <si>
    <t xml:space="preserve">life insurance brampton</t>
  </si>
  <si>
    <t xml:space="preserve">P0578</t>
  </si>
  <si>
    <t xml:space="preserve">https://instasure.ca/life-insurance/ontario/burlington/</t>
  </si>
  <si>
    <t xml:space="preserve">Life Insurance Burlington, ON: Compare Quotes &amp; Costs (2026)</t>
  </si>
  <si>
    <t xml:space="preserve">Compare life insurance in Burlington, ON: instant estimate ($20.50–$29.50/mo example), example prices by age and advisors licensed in Ontario.</t>
  </si>
  <si>
    <t xml:space="preserve">Life Insurance in Burlington, ON</t>
  </si>
  <si>
    <t xml:space="preserve">life insurance burlington</t>
  </si>
  <si>
    <t xml:space="preserve">P0579</t>
  </si>
  <si>
    <t xml:space="preserve">https://instasure.ca/life-insurance/ontario/cambridge/</t>
  </si>
  <si>
    <t xml:space="preserve">Life Insurance Cambridge, ON: Compare Quotes &amp; Costs (2026)</t>
  </si>
  <si>
    <t xml:space="preserve">Compare life insurance in Cambridge, ON: instant estimate ($20.50–$29.50/mo example), example prices by age and advisors licensed in Ontario.</t>
  </si>
  <si>
    <t xml:space="preserve">Life Insurance in Cambridge, ON</t>
  </si>
  <si>
    <t xml:space="preserve">life insurance cambridge</t>
  </si>
  <si>
    <t xml:space="preserve">P0580</t>
  </si>
  <si>
    <t xml:space="preserve">https://instasure.ca/life-insurance/ontario/guelph/</t>
  </si>
  <si>
    <t xml:space="preserve">Life Insurance Guelph, ON: Compare Quotes &amp; Costs (2026)</t>
  </si>
  <si>
    <t xml:space="preserve">Compare life insurance in Guelph, ON: instant estimate ($20.50–$29.50/mo example), example prices by age and advisors licensed in Ontario.</t>
  </si>
  <si>
    <t xml:space="preserve">Life Insurance in Guelph, ON</t>
  </si>
  <si>
    <t xml:space="preserve">life insurance guelph</t>
  </si>
  <si>
    <t xml:space="preserve">P0581</t>
  </si>
  <si>
    <t xml:space="preserve">https://instasure.ca/life-insurance/ontario/hamilton/</t>
  </si>
  <si>
    <t xml:space="preserve">Life Insurance Hamilton, ON: Compare Quotes &amp; Costs (2026)</t>
  </si>
  <si>
    <t xml:space="preserve">Compare life insurance in Hamilton, ON: instant estimate ($20.50–$29.50/mo example), example prices by age and advisors licensed in Ontario.</t>
  </si>
  <si>
    <t xml:space="preserve">Life Insurance in Hamilton, ON</t>
  </si>
  <si>
    <t xml:space="preserve">life insurance hamilton</t>
  </si>
  <si>
    <t xml:space="preserve">P0582</t>
  </si>
  <si>
    <t xml:space="preserve">https://instasure.ca/life-insurance/ontario/kingston/</t>
  </si>
  <si>
    <t xml:space="preserve">Life Insurance Kingston, ON: Compare Quotes &amp; Costs (2026)</t>
  </si>
  <si>
    <t xml:space="preserve">Compare life insurance in Kingston, ON: instant estimate ($20.50–$29.50/mo example), example prices by age and advisors licensed in Ontario.</t>
  </si>
  <si>
    <t xml:space="preserve">Life Insurance in Kingston, ON</t>
  </si>
  <si>
    <t xml:space="preserve">life insurance kingston</t>
  </si>
  <si>
    <t xml:space="preserve">P0583</t>
  </si>
  <si>
    <t xml:space="preserve">https://instasure.ca/life-insurance/ontario/kitchener/</t>
  </si>
  <si>
    <t xml:space="preserve">Life Insurance Kitchener, ON: Compare Quotes &amp; Costs (2026)</t>
  </si>
  <si>
    <t xml:space="preserve">Compare life insurance in Kitchener, ON: instant estimate ($20.50–$29.50/mo example), example prices by age and advisors licensed in Ontario.</t>
  </si>
  <si>
    <t xml:space="preserve">Life Insurance in Kitchener, ON</t>
  </si>
  <si>
    <t xml:space="preserve">life insurance kitchener</t>
  </si>
  <si>
    <t xml:space="preserve">P0584</t>
  </si>
  <si>
    <t xml:space="preserve">https://instasure.ca/life-insurance/ontario/london/</t>
  </si>
  <si>
    <t xml:space="preserve">Life Insurance London, ON: Compare Quotes &amp; Costs (2026)</t>
  </si>
  <si>
    <t xml:space="preserve">Compare life insurance in London, ON: instant estimate ($20.50–$29.50/mo example), example prices by age and advisors licensed in Ontario.</t>
  </si>
  <si>
    <t xml:space="preserve">Life Insurance in London, ON</t>
  </si>
  <si>
    <t xml:space="preserve">life insurance london ontario</t>
  </si>
  <si>
    <t xml:space="preserve">P0585</t>
  </si>
  <si>
    <t xml:space="preserve">https://instasure.ca/life-insurance/ontario/markham/</t>
  </si>
  <si>
    <t xml:space="preserve">Life Insurance Markham, ON: Compare Quotes &amp; Costs (2026)</t>
  </si>
  <si>
    <t xml:space="preserve">Compare life insurance in Markham, ON: instant estimate ($20.50–$29.50/mo example), example prices by age and advisors licensed in Ontario.</t>
  </si>
  <si>
    <t xml:space="preserve">Life Insurance in Markham, ON</t>
  </si>
  <si>
    <t xml:space="preserve">life insurance markham</t>
  </si>
  <si>
    <t xml:space="preserve">P0586</t>
  </si>
  <si>
    <t xml:space="preserve">https://instasure.ca/life-insurance/ontario/milton/</t>
  </si>
  <si>
    <t xml:space="preserve">Life Insurance Milton, ON: Compare Quotes &amp; Costs (2026)</t>
  </si>
  <si>
    <t xml:space="preserve">Compare life insurance in Milton, ON: instant estimate ($20.50–$29.50/mo example), example prices by age and advisors licensed in Ontario.</t>
  </si>
  <si>
    <t xml:space="preserve">Life Insurance in Milton, ON</t>
  </si>
  <si>
    <t xml:space="preserve">life insurance milton</t>
  </si>
  <si>
    <t xml:space="preserve">P0587</t>
  </si>
  <si>
    <t xml:space="preserve">https://instasure.ca/life-insurance/ontario/mississauga/</t>
  </si>
  <si>
    <t xml:space="preserve">Life Insurance Mississauga, ON: Compare Quotes &amp; Costs (2026)</t>
  </si>
  <si>
    <t xml:space="preserve">Compare life insurance in Mississauga, ON: instant estimate ($20.50–$29.50/mo example), example prices by age and advisors licensed in Ontario.</t>
  </si>
  <si>
    <t xml:space="preserve">Life Insurance in Mississauga, ON</t>
  </si>
  <si>
    <t xml:space="preserve">life insurance mississauga</t>
  </si>
  <si>
    <t xml:space="preserve">P0588</t>
  </si>
  <si>
    <t xml:space="preserve">https://instasure.ca/life-insurance/ontario/oakville/</t>
  </si>
  <si>
    <t xml:space="preserve">Life Insurance Oakville, ON: Compare Quotes &amp; Costs (2026)</t>
  </si>
  <si>
    <t xml:space="preserve">Compare life insurance in Oakville, ON: instant estimate ($20.50–$29.50/mo example), example prices by age and advisors licensed in Ontario.</t>
  </si>
  <si>
    <t xml:space="preserve">Life Insurance in Oakville, ON</t>
  </si>
  <si>
    <t xml:space="preserve">life insurance oakville</t>
  </si>
  <si>
    <t xml:space="preserve">P0589</t>
  </si>
  <si>
    <t xml:space="preserve">https://instasure.ca/life-insurance/ontario/oshawa/</t>
  </si>
  <si>
    <t xml:space="preserve">Life Insurance Oshawa, ON: Compare Quotes &amp; Costs (2026)</t>
  </si>
  <si>
    <t xml:space="preserve">Compare life insurance in Oshawa, ON: instant estimate ($20.50–$29.50/mo example), example prices by age and advisors licensed in Ontario.</t>
  </si>
  <si>
    <t xml:space="preserve">Life Insurance in Oshawa, ON</t>
  </si>
  <si>
    <t xml:space="preserve">life insurance oshawa</t>
  </si>
  <si>
    <t xml:space="preserve">P0590</t>
  </si>
  <si>
    <t xml:space="preserve">https://instasure.ca/life-insurance/ontario/ottawa/</t>
  </si>
  <si>
    <t xml:space="preserve">Life Insurance Ottawa, ON: Compare Quotes &amp; Costs (2026)</t>
  </si>
  <si>
    <t xml:space="preserve">Compare life insurance in Ottawa, ON: instant estimate ($20.50–$29.50/mo example), example prices by age and advisors licensed in Ontario.</t>
  </si>
  <si>
    <t xml:space="preserve">Life Insurance in Ottawa, ON</t>
  </si>
  <si>
    <t xml:space="preserve">life insurance ottawa</t>
  </si>
  <si>
    <t xml:space="preserve">P0591</t>
  </si>
  <si>
    <t xml:space="preserve">https://instasure.ca/life-insurance/ontario/pickering/</t>
  </si>
  <si>
    <t xml:space="preserve">Life Insurance Pickering, ON: Compare Quotes &amp; Costs (2026)</t>
  </si>
  <si>
    <t xml:space="preserve">Compare life insurance in Pickering, ON: instant estimate ($20.50–$29.50/mo example), example prices by age and advisors licensed in Ontario.</t>
  </si>
  <si>
    <t xml:space="preserve">Life Insurance in Pickering, ON</t>
  </si>
  <si>
    <t xml:space="preserve">life insurance pickering</t>
  </si>
  <si>
    <t xml:space="preserve">P0592</t>
  </si>
  <si>
    <t xml:space="preserve">https://instasure.ca/life-insurance/ontario/richmond-hill/</t>
  </si>
  <si>
    <t xml:space="preserve">Life Insurance Richmond Hill, ON: Compare Quotes &amp; Costs (2026)</t>
  </si>
  <si>
    <t xml:space="preserve">Compare life insurance in Richmond Hill, ON: instant estimate ($20.50–$29.50/mo example), example prices by age and advisors licensed in Ontario.</t>
  </si>
  <si>
    <t xml:space="preserve">Life Insurance in Richmond Hill, ON</t>
  </si>
  <si>
    <t xml:space="preserve">life insurance richmond hill</t>
  </si>
  <si>
    <t xml:space="preserve">P0593</t>
  </si>
  <si>
    <t xml:space="preserve">https://instasure.ca/life-insurance/ontario/st-catharines/</t>
  </si>
  <si>
    <t xml:space="preserve">Life Insurance St. Catharines, ON: Compare Quotes &amp; Costs (2026)</t>
  </si>
  <si>
    <t xml:space="preserve">Compare life insurance in St. Catharines, ON: instant estimate ($20.50–$29.50/mo example), example prices by age and advisors licensed in Ontario.</t>
  </si>
  <si>
    <t xml:space="preserve">Life Insurance in St. Catharines, ON</t>
  </si>
  <si>
    <t xml:space="preserve">life insurance st catharines</t>
  </si>
  <si>
    <t xml:space="preserve">P0594</t>
  </si>
  <si>
    <t xml:space="preserve">https://instasure.ca/life-insurance/ontario/sudbury/</t>
  </si>
  <si>
    <t xml:space="preserve">Life Insurance Sudbury, ON: Compare Quotes &amp; Costs (2026)</t>
  </si>
  <si>
    <t xml:space="preserve">Compare life insurance in Sudbury, ON: instant estimate ($20.50–$29.50/mo example), example prices by age and advisors licensed in Ontario.</t>
  </si>
  <si>
    <t xml:space="preserve">Life Insurance in Sudbury, ON</t>
  </si>
  <si>
    <t xml:space="preserve">life insurance sudbury</t>
  </si>
  <si>
    <t xml:space="preserve">P0595</t>
  </si>
  <si>
    <t xml:space="preserve">https://instasure.ca/life-insurance/ontario/thunder-bay/</t>
  </si>
  <si>
    <t xml:space="preserve">Life Insurance Thunder Bay, ON: Compare Quotes &amp; Costs (2026)</t>
  </si>
  <si>
    <t xml:space="preserve">Compare life insurance in Thunder Bay, ON: instant estimate ($20.50–$29.50/mo example), example prices by age and advisors licensed in Ontario.</t>
  </si>
  <si>
    <t xml:space="preserve">Life Insurance in Thunder Bay, ON</t>
  </si>
  <si>
    <t xml:space="preserve">life insurance thunder bay</t>
  </si>
  <si>
    <t xml:space="preserve">P0596</t>
  </si>
  <si>
    <t xml:space="preserve">https://instasure.ca/life-insurance/ontario/toronto/</t>
  </si>
  <si>
    <t xml:space="preserve">Life Insurance Toronto, ON: Compare Quotes &amp; Costs (2026)</t>
  </si>
  <si>
    <t xml:space="preserve">Compare life insurance in Toronto, ON: instant estimate ($20.50–$29.50/mo example), example prices by age and advisors licensed in Ontario.</t>
  </si>
  <si>
    <t xml:space="preserve">Life Insurance in Toronto, ON</t>
  </si>
  <si>
    <t xml:space="preserve">life insurance toronto</t>
  </si>
  <si>
    <t xml:space="preserve">P0597</t>
  </si>
  <si>
    <t xml:space="preserve">https://instasure.ca/life-insurance/ontario/vaughan/</t>
  </si>
  <si>
    <t xml:space="preserve">Life Insurance Vaughan, ON: Compare Quotes &amp; Costs (2026)</t>
  </si>
  <si>
    <t xml:space="preserve">Compare life insurance in Vaughan, ON: instant estimate ($20.50–$29.50/mo example), example prices by age and advisors licensed in Ontario.</t>
  </si>
  <si>
    <t xml:space="preserve">Life Insurance in Vaughan, ON</t>
  </si>
  <si>
    <t xml:space="preserve">life insurance vaughan</t>
  </si>
  <si>
    <t xml:space="preserve">P0598</t>
  </si>
  <si>
    <t xml:space="preserve">https://instasure.ca/life-insurance/ontario/waterloo/</t>
  </si>
  <si>
    <t xml:space="preserve">Life Insurance Waterloo, ON: Compare Quotes &amp; Costs (2026)</t>
  </si>
  <si>
    <t xml:space="preserve">Compare life insurance in Waterloo, ON: instant estimate ($20.50–$29.50/mo example), example prices by age and advisors licensed in Ontario.</t>
  </si>
  <si>
    <t xml:space="preserve">Life Insurance in Waterloo, ON</t>
  </si>
  <si>
    <t xml:space="preserve">life insurance waterloo</t>
  </si>
  <si>
    <t xml:space="preserve">P0599</t>
  </si>
  <si>
    <t xml:space="preserve">https://instasure.ca/life-insurance/ontario/whitby/</t>
  </si>
  <si>
    <t xml:space="preserve">Life Insurance Whitby, ON: Compare Quotes &amp; Costs (2026)</t>
  </si>
  <si>
    <t xml:space="preserve">Compare life insurance in Whitby, ON: instant estimate ($20.50–$29.50/mo example), example prices by age and advisors licensed in Ontario.</t>
  </si>
  <si>
    <t xml:space="preserve">Life Insurance in Whitby, ON</t>
  </si>
  <si>
    <t xml:space="preserve">life insurance whitby</t>
  </si>
  <si>
    <t xml:space="preserve">P0600</t>
  </si>
  <si>
    <t xml:space="preserve">https://instasure.ca/life-insurance/ontario/windsor/</t>
  </si>
  <si>
    <t xml:space="preserve">Life Insurance Windsor, ON: Compare Quotes &amp; Costs (2026)</t>
  </si>
  <si>
    <t xml:space="preserve">Compare life insurance in Windsor, ON: instant estimate ($20.50–$29.50/mo example), example prices by age and advisors licensed in Ontario.</t>
  </si>
  <si>
    <t xml:space="preserve">Life Insurance in Windsor, ON</t>
  </si>
  <si>
    <t xml:space="preserve">life insurance windsor</t>
  </si>
  <si>
    <t xml:space="preserve">P0601</t>
  </si>
  <si>
    <t xml:space="preserve">https://instasure.ca/life-insurance/prince-edward-island/charlottetown/</t>
  </si>
  <si>
    <t xml:space="preserve">Life Insurance Charlottetown, PE: Compare Quotes &amp; Costs (2026)</t>
  </si>
  <si>
    <t xml:space="preserve">Compare life insurance in Charlottetown, PE: instant estimate ($20.50–$29.50/mo example), example prices by age and advisors licensed in Prince Edward Island.</t>
  </si>
  <si>
    <t xml:space="preserve">Life Insurance in Charlottetown, PE</t>
  </si>
  <si>
    <t xml:space="preserve">life insurance charlottetown</t>
  </si>
  <si>
    <t xml:space="preserve">P0602</t>
  </si>
  <si>
    <t xml:space="preserve">https://instasure.ca/life-insurance/quebec/gatineau/</t>
  </si>
  <si>
    <t xml:space="preserve">Life Insurance Gatineau, QC: Compare Quotes &amp; Costs (2026)</t>
  </si>
  <si>
    <t xml:space="preserve">Compare life insurance in Gatineau, QC: instant estimate ($20.50–$29.50/mo example), example prices by age and a waitlist for licensed advice in Quebec.</t>
  </si>
  <si>
    <t xml:space="preserve">Life Insurance in Gatineau, QC</t>
  </si>
  <si>
    <t xml:space="preserve">life insurance gatineau</t>
  </si>
  <si>
    <t xml:space="preserve">P0603</t>
  </si>
  <si>
    <t xml:space="preserve">https://instasure.ca/life-insurance/quebec/laval/</t>
  </si>
  <si>
    <t xml:space="preserve">Life Insurance Laval, QC: Compare Quotes &amp; Costs (2026)</t>
  </si>
  <si>
    <t xml:space="preserve">Compare life insurance in Laval, QC: instant estimate ($20.50–$29.50/mo example), example prices by age and a waitlist for licensed advice in Quebec.</t>
  </si>
  <si>
    <t xml:space="preserve">Life Insurance in Laval, QC</t>
  </si>
  <si>
    <t xml:space="preserve">life insurance laval</t>
  </si>
  <si>
    <t xml:space="preserve">P0604</t>
  </si>
  <si>
    <t xml:space="preserve">https://instasure.ca/life-insurance/quebec/longueuil/</t>
  </si>
  <si>
    <t xml:space="preserve">Life Insurance Longueuil, QC: Compare Quotes &amp; Costs (2026)</t>
  </si>
  <si>
    <t xml:space="preserve">Compare life insurance in Longueuil, QC: instant estimate ($20.50–$29.50/mo example), example prices by age and a waitlist for licensed advice in Quebec.</t>
  </si>
  <si>
    <t xml:space="preserve">Life Insurance in Longueuil, QC</t>
  </si>
  <si>
    <t xml:space="preserve">life insurance longueuil</t>
  </si>
  <si>
    <t xml:space="preserve">P0605</t>
  </si>
  <si>
    <t xml:space="preserve">https://instasure.ca/life-insurance/quebec/montreal/</t>
  </si>
  <si>
    <t xml:space="preserve">Life Insurance Montreal, QC: Compare Quotes &amp; Costs (2026)</t>
  </si>
  <si>
    <t xml:space="preserve">Compare life insurance in Montreal, QC: instant estimate ($20.50–$29.50/mo example), example prices by age and a waitlist for licensed advice in Quebec.</t>
  </si>
  <si>
    <t xml:space="preserve">Life Insurance in Montreal, QC</t>
  </si>
  <si>
    <t xml:space="preserve">life insurance montreal</t>
  </si>
  <si>
    <t xml:space="preserve">P0606</t>
  </si>
  <si>
    <t xml:space="preserve">https://instasure.ca/life-insurance/quebec/quebec-city/</t>
  </si>
  <si>
    <t xml:space="preserve">Life Insurance Quebec City, QC: Compare Quotes &amp; Costs (2026)</t>
  </si>
  <si>
    <t xml:space="preserve">Compare life insurance in Quebec City, QC: instant estimate ($20.50–$29.50/mo example), example prices by age and a waitlist for licensed advice in Quebec.</t>
  </si>
  <si>
    <t xml:space="preserve">Life Insurance in Quebec City, QC</t>
  </si>
  <si>
    <t xml:space="preserve">life insurance quebec city</t>
  </si>
  <si>
    <t xml:space="preserve">P0607</t>
  </si>
  <si>
    <t xml:space="preserve">https://instasure.ca/life-insurance/quebec/sherbrooke/</t>
  </si>
  <si>
    <t xml:space="preserve">Life Insurance Sherbrooke, QC: Compare Quotes &amp; Costs (2026)</t>
  </si>
  <si>
    <t xml:space="preserve">Compare life insurance in Sherbrooke, QC: instant estimate ($20.50–$29.50/mo example), example prices by age and a waitlist for licensed advice in Quebec.</t>
  </si>
  <si>
    <t xml:space="preserve">Life Insurance in Sherbrooke, QC</t>
  </si>
  <si>
    <t xml:space="preserve">life insurance sherbrooke</t>
  </si>
  <si>
    <t xml:space="preserve">P0608</t>
  </si>
  <si>
    <t xml:space="preserve">https://instasure.ca/life-insurance/saskatchewan/regina/</t>
  </si>
  <si>
    <t xml:space="preserve">Life Insurance Regina, SK: Compare Quotes &amp; Costs (2026)</t>
  </si>
  <si>
    <t xml:space="preserve">Compare life insurance in Regina, SK: instant estimate ($20.50–$29.50/mo example), example prices by age and advisors licensed in Saskatchewan.</t>
  </si>
  <si>
    <t xml:space="preserve">Life Insurance in Regina, SK</t>
  </si>
  <si>
    <t xml:space="preserve">life insurance regina</t>
  </si>
  <si>
    <t xml:space="preserve">P0609</t>
  </si>
  <si>
    <t xml:space="preserve">https://instasure.ca/life-insurance/saskatchewan/saskatoon/</t>
  </si>
  <si>
    <t xml:space="preserve">Life Insurance Saskatoon, SK: Compare Quotes &amp; Costs (2026)</t>
  </si>
  <si>
    <t xml:space="preserve">Compare life insurance in Saskatoon, SK: instant estimate ($20.50–$29.50/mo example), example prices by age and advisors licensed in Saskatchewan.</t>
  </si>
  <si>
    <t xml:space="preserve">Life Insurance in Saskatoon, SK</t>
  </si>
  <si>
    <t xml:space="preserve">life insurance saskatoon</t>
  </si>
  <si>
    <t xml:space="preserve">P0610</t>
  </si>
  <si>
    <t xml:space="preserve">https://instasure.ca/life-insurance/yukon/whitehorse/</t>
  </si>
  <si>
    <t xml:space="preserve">Life Insurance Whitehorse, YT: Compare Quotes &amp; Costs (2026)</t>
  </si>
  <si>
    <t xml:space="preserve">Compare life insurance in Whitehorse, YT: instant estimate ($20.50–$29.50/mo example), example prices by age and a waitlist for licensed advice in Yukon.</t>
  </si>
  <si>
    <t xml:space="preserve">Life Insurance in Whitehorse, YT</t>
  </si>
  <si>
    <t xml:space="preserve">life insurance whitehorse</t>
  </si>
  <si>
    <t xml:space="preserve">P0611</t>
  </si>
  <si>
    <t xml:space="preserve">https://instasure.ca/super-visa-insurance/alberta/airdrie/</t>
  </si>
  <si>
    <t xml:space="preserve">Super Visa Insurance Airdrie, AB: Compare Quotes &amp; Costs (2026)</t>
  </si>
  <si>
    <t xml:space="preserve">Compare super visa insurance in Airdrie, AB: instant estimate ($119–$184/mo example), example prices by visitor age and advisors licensed in Alberta.</t>
  </si>
  <si>
    <t xml:space="preserve">Super Visa Insurance in Airdrie, AB</t>
  </si>
  <si>
    <t xml:space="preserve">super visa insurance airdrie</t>
  </si>
  <si>
    <t xml:space="preserve">P0612</t>
  </si>
  <si>
    <t xml:space="preserve">https://instasure.ca/super-visa-insurance/alberta/calgary/</t>
  </si>
  <si>
    <t xml:space="preserve">Super Visa Insurance Calgary, AB: Compare Quotes &amp; Costs (2026)</t>
  </si>
  <si>
    <t xml:space="preserve">Compare super visa insurance in Calgary, AB: instant estimate ($119–$184/mo example), example prices by visitor age and advisors licensed in Alberta.</t>
  </si>
  <si>
    <t xml:space="preserve">Super Visa Insurance in Calgary, AB</t>
  </si>
  <si>
    <t xml:space="preserve">super visa insurance calgary</t>
  </si>
  <si>
    <t xml:space="preserve">P0613</t>
  </si>
  <si>
    <t xml:space="preserve">https://instasure.ca/super-visa-insurance/alberta/edmonton/</t>
  </si>
  <si>
    <t xml:space="preserve">Super Visa Insurance Edmonton, AB: Compare Quotes &amp; Costs (2026)</t>
  </si>
  <si>
    <t xml:space="preserve">Compare super visa insurance in Edmonton, AB: instant estimate ($119–$184/mo example), example prices by visitor age and advisors licensed in Alberta.</t>
  </si>
  <si>
    <t xml:space="preserve">Super Visa Insurance in Edmonton, AB</t>
  </si>
  <si>
    <t xml:space="preserve">super visa insurance edmonton</t>
  </si>
  <si>
    <t xml:space="preserve">P0614</t>
  </si>
  <si>
    <t xml:space="preserve">https://instasure.ca/super-visa-insurance/alberta/lethbridge/</t>
  </si>
  <si>
    <t xml:space="preserve">Super Visa Insurance Lethbridge, AB: Compare Quotes &amp; Costs (2026)</t>
  </si>
  <si>
    <t xml:space="preserve">Compare super visa insurance in Lethbridge, AB: instant estimate ($119–$184/mo example), example prices by visitor age and advisors licensed in Alberta.</t>
  </si>
  <si>
    <t xml:space="preserve">Super Visa Insurance in Lethbridge, AB</t>
  </si>
  <si>
    <t xml:space="preserve">super visa insurance lethbridge</t>
  </si>
  <si>
    <t xml:space="preserve">P0615</t>
  </si>
  <si>
    <t xml:space="preserve">https://instasure.ca/super-visa-insurance/alberta/red-deer/</t>
  </si>
  <si>
    <t xml:space="preserve">Super Visa Insurance Red Deer, AB: Compare Quotes &amp; Costs (2026)</t>
  </si>
  <si>
    <t xml:space="preserve">Compare super visa insurance in Red Deer, AB: instant estimate ($119–$184/mo example), example prices by visitor age and advisors licensed in Alberta.</t>
  </si>
  <si>
    <t xml:space="preserve">Super Visa Insurance in Red Deer, AB</t>
  </si>
  <si>
    <t xml:space="preserve">super visa insurance red deer</t>
  </si>
  <si>
    <t xml:space="preserve">P0616</t>
  </si>
  <si>
    <t xml:space="preserve">https://instasure.ca/super-visa-insurance/british-columbia/abbotsford/</t>
  </si>
  <si>
    <t xml:space="preserve">Super Visa Insurance Abbotsford, BC: Compare Quotes &amp; Costs (2026)</t>
  </si>
  <si>
    <t xml:space="preserve">Compare super visa insurance in Abbotsford, BC: instant estimate ($119–$184/mo example), example prices by visitor age and advisors licensed in British Columbia.</t>
  </si>
  <si>
    <t xml:space="preserve">Super Visa Insurance in Abbotsford, BC</t>
  </si>
  <si>
    <t xml:space="preserve">super visa insurance abbotsford</t>
  </si>
  <si>
    <t xml:space="preserve">P0617</t>
  </si>
  <si>
    <t xml:space="preserve">https://instasure.ca/super-visa-insurance/british-columbia/burnaby/</t>
  </si>
  <si>
    <t xml:space="preserve">Super Visa Insurance Burnaby, BC: Compare Quotes &amp; Costs (2026)</t>
  </si>
  <si>
    <t xml:space="preserve">Compare super visa insurance in Burnaby, BC: instant estimate ($119–$184/mo example), example prices by visitor age and advisors licensed in British Columbia.</t>
  </si>
  <si>
    <t xml:space="preserve">Super Visa Insurance in Burnaby, BC</t>
  </si>
  <si>
    <t xml:space="preserve">super visa insurance burnaby</t>
  </si>
  <si>
    <t xml:space="preserve">P0618</t>
  </si>
  <si>
    <t xml:space="preserve">https://instasure.ca/super-visa-insurance/british-columbia/coquitlam/</t>
  </si>
  <si>
    <t xml:space="preserve">Super Visa Insurance Coquitlam, BC: Compare Quotes &amp; Costs (2026)</t>
  </si>
  <si>
    <t xml:space="preserve">Compare super visa insurance in Coquitlam, BC: instant estimate ($119–$184/mo example), example prices by visitor age and advisors licensed in British Columbia.</t>
  </si>
  <si>
    <t xml:space="preserve">Super Visa Insurance in Coquitlam, BC</t>
  </si>
  <si>
    <t xml:space="preserve">super visa insurance coquitlam</t>
  </si>
  <si>
    <t xml:space="preserve">P0619</t>
  </si>
  <si>
    <t xml:space="preserve">https://instasure.ca/super-visa-insurance/british-columbia/kelowna/</t>
  </si>
  <si>
    <t xml:space="preserve">Super Visa Insurance Kelowna, BC: Compare Quotes &amp; Costs (2026)</t>
  </si>
  <si>
    <t xml:space="preserve">Compare super visa insurance in Kelowna, BC: instant estimate ($119–$184/mo example), example prices by visitor age and advisors licensed in British Columbia.</t>
  </si>
  <si>
    <t xml:space="preserve">Super Visa Insurance in Kelowna, BC</t>
  </si>
  <si>
    <t xml:space="preserve">super visa insurance kelowna</t>
  </si>
  <si>
    <t xml:space="preserve">P0620</t>
  </si>
  <si>
    <t xml:space="preserve">https://instasure.ca/super-visa-insurance/british-columbia/langley/</t>
  </si>
  <si>
    <t xml:space="preserve">Super Visa Insurance Langley, BC: Compare Quotes &amp; Costs (2026)</t>
  </si>
  <si>
    <t xml:space="preserve">Compare super visa insurance in Langley, BC: instant estimate ($119–$184/mo example), example prices by visitor age and advisors licensed in British Columbia.</t>
  </si>
  <si>
    <t xml:space="preserve">Super Visa Insurance in Langley, BC</t>
  </si>
  <si>
    <t xml:space="preserve">super visa insurance langley</t>
  </si>
  <si>
    <t xml:space="preserve">P0621</t>
  </si>
  <si>
    <t xml:space="preserve">https://instasure.ca/super-visa-insurance/british-columbia/richmond/</t>
  </si>
  <si>
    <t xml:space="preserve">Super Visa Insurance Richmond, BC: Compare Quotes &amp; Costs (2026)</t>
  </si>
  <si>
    <t xml:space="preserve">Compare super visa insurance in Richmond, BC: instant estimate ($119–$184/mo example), example prices by visitor age and advisors licensed in British Columbia.</t>
  </si>
  <si>
    <t xml:space="preserve">Super Visa Insurance in Richmond, BC</t>
  </si>
  <si>
    <t xml:space="preserve">super visa insurance richmond bc</t>
  </si>
  <si>
    <t xml:space="preserve">P0622</t>
  </si>
  <si>
    <t xml:space="preserve">https://instasure.ca/super-visa-insurance/british-columbia/surrey/</t>
  </si>
  <si>
    <t xml:space="preserve">Super Visa Insurance Surrey, BC: Compare Quotes &amp; Costs (2026)</t>
  </si>
  <si>
    <t xml:space="preserve">Compare super visa insurance in Surrey, BC: instant estimate ($119–$184/mo example), example prices by visitor age and advisors licensed in British Columbia.</t>
  </si>
  <si>
    <t xml:space="preserve">Super Visa Insurance in Surrey, BC</t>
  </si>
  <si>
    <t xml:space="preserve">super visa insurance surrey</t>
  </si>
  <si>
    <t xml:space="preserve">P0623</t>
  </si>
  <si>
    <t xml:space="preserve">https://instasure.ca/super-visa-insurance/british-columbia/vancouver/</t>
  </si>
  <si>
    <t xml:space="preserve">Super Visa Insurance Vancouver, BC: Compare Quotes &amp; Costs (2026)</t>
  </si>
  <si>
    <t xml:space="preserve">Compare super visa insurance in Vancouver, BC: instant estimate ($119–$184/mo example), example prices by visitor age and advisors licensed in British Columbia.</t>
  </si>
  <si>
    <t xml:space="preserve">Super Visa Insurance in Vancouver, BC</t>
  </si>
  <si>
    <t xml:space="preserve">super visa insurance vancouver</t>
  </si>
  <si>
    <t xml:space="preserve">P0624</t>
  </si>
  <si>
    <t xml:space="preserve">https://instasure.ca/super-visa-insurance/british-columbia/victoria/</t>
  </si>
  <si>
    <t xml:space="preserve">Super Visa Insurance Victoria, BC: Compare Quotes &amp; Costs (2026)</t>
  </si>
  <si>
    <t xml:space="preserve">Compare super visa insurance in Victoria, BC: instant estimate ($119–$184/mo example), example prices by visitor age and advisors licensed in British Columbia.</t>
  </si>
  <si>
    <t xml:space="preserve">Super Visa Insurance in Victoria, BC</t>
  </si>
  <si>
    <t xml:space="preserve">super visa insurance victoria</t>
  </si>
  <si>
    <t xml:space="preserve">P0625</t>
  </si>
  <si>
    <t xml:space="preserve">https://instasure.ca/super-visa-insurance/manitoba/brandon/</t>
  </si>
  <si>
    <t xml:space="preserve">Super Visa Insurance Brandon, MB: Compare Quotes &amp; Costs (2026)</t>
  </si>
  <si>
    <t xml:space="preserve">Compare super visa insurance in Brandon, MB: instant estimate ($119–$184/mo example), example prices by visitor age and advisors licensed in Manitoba.</t>
  </si>
  <si>
    <t xml:space="preserve">Super Visa Insurance in Brandon, MB</t>
  </si>
  <si>
    <t xml:space="preserve">super visa insurance brandon</t>
  </si>
  <si>
    <t xml:space="preserve">P0626</t>
  </si>
  <si>
    <t xml:space="preserve">https://instasure.ca/super-visa-insurance/manitoba/winnipeg/</t>
  </si>
  <si>
    <t xml:space="preserve">Super Visa Insurance Winnipeg, MB: Compare Quotes &amp; Costs (2026)</t>
  </si>
  <si>
    <t xml:space="preserve">Compare super visa insurance in Winnipeg, MB: instant estimate ($119–$184/mo example), example prices by visitor age and advisors licensed in Manitoba.</t>
  </si>
  <si>
    <t xml:space="preserve">Super Visa Insurance in Winnipeg, MB</t>
  </si>
  <si>
    <t xml:space="preserve">super visa insurance winnipeg</t>
  </si>
  <si>
    <t xml:space="preserve">P0627</t>
  </si>
  <si>
    <t xml:space="preserve">https://instasure.ca/super-visa-insurance/new-brunswick/fredericton/</t>
  </si>
  <si>
    <t xml:space="preserve">Super Visa Insurance Fredericton, NB: Compare Quotes &amp; Costs (2026)</t>
  </si>
  <si>
    <t xml:space="preserve">Compare super visa insurance in Fredericton, NB: instant estimate ($119–$184/mo example), example prices by visitor age and advisors licensed in New Brunswick.</t>
  </si>
  <si>
    <t xml:space="preserve">Super Visa Insurance in Fredericton, NB</t>
  </si>
  <si>
    <t xml:space="preserve">super visa insurance fredericton</t>
  </si>
  <si>
    <t xml:space="preserve">P0628</t>
  </si>
  <si>
    <t xml:space="preserve">https://instasure.ca/super-visa-insurance/new-brunswick/moncton/</t>
  </si>
  <si>
    <t xml:space="preserve">Super Visa Insurance Moncton, NB: Compare Quotes &amp; Costs (2026)</t>
  </si>
  <si>
    <t xml:space="preserve">Compare super visa insurance in Moncton, NB: instant estimate ($119–$184/mo example), example prices by visitor age and advisors licensed in New Brunswick.</t>
  </si>
  <si>
    <t xml:space="preserve">Super Visa Insurance in Moncton, NB</t>
  </si>
  <si>
    <t xml:space="preserve">super visa insurance moncton</t>
  </si>
  <si>
    <t xml:space="preserve">P0629</t>
  </si>
  <si>
    <t xml:space="preserve">https://instasure.ca/super-visa-insurance/new-brunswick/saint-john/</t>
  </si>
  <si>
    <t xml:space="preserve">Super Visa Insurance Saint John, NB: Compare Quotes &amp; Costs (2026)</t>
  </si>
  <si>
    <t xml:space="preserve">Compare super visa insurance in Saint John, NB: instant estimate ($119–$184/mo example), example prices by visitor age and advisors licensed in New Brunswick.</t>
  </si>
  <si>
    <t xml:space="preserve">Super Visa Insurance in Saint John, NB</t>
  </si>
  <si>
    <t xml:space="preserve">super visa insurance saint john</t>
  </si>
  <si>
    <t xml:space="preserve">P0630</t>
  </si>
  <si>
    <t xml:space="preserve">https://instasure.ca/super-visa-insurance/newfoundland-and-labrador/st-johns/</t>
  </si>
  <si>
    <t xml:space="preserve">Super Visa Insurance St. John’s, NL: Compare Quotes &amp; Costs (2026)</t>
  </si>
  <si>
    <t xml:space="preserve">Compare super visa insurance in St. John’s, NL: instant estimate ($119–$184/mo example), example prices by visitor age and advisors licensed in Newfoundland and…</t>
  </si>
  <si>
    <t xml:space="preserve">Super Visa Insurance in St. John’s, NL</t>
  </si>
  <si>
    <t xml:space="preserve">super visa insurance st. john’s</t>
  </si>
  <si>
    <t xml:space="preserve">P0631</t>
  </si>
  <si>
    <t xml:space="preserve">https://instasure.ca/super-visa-insurance/northwest-territories/yellowknife/</t>
  </si>
  <si>
    <t xml:space="preserve">Super Visa Insurance Yellowknife, NT: Compare Quotes &amp; Costs (2026)</t>
  </si>
  <si>
    <t xml:space="preserve">Compare super visa insurance in Yellowknife, NT: instant estimate ($119–$184/mo example), example prices by visitor age and a waitlist for licensed advice in…</t>
  </si>
  <si>
    <t xml:space="preserve">Super Visa Insurance in Yellowknife, NT</t>
  </si>
  <si>
    <t xml:space="preserve">super visa insurance yellowknife</t>
  </si>
  <si>
    <t xml:space="preserve">P0632</t>
  </si>
  <si>
    <t xml:space="preserve">https://instasure.ca/super-visa-insurance/nova-scotia/halifax/</t>
  </si>
  <si>
    <t xml:space="preserve">Super Visa Insurance Halifax, NS: Compare Quotes &amp; Costs (2026)</t>
  </si>
  <si>
    <t xml:space="preserve">Compare super visa insurance in Halifax, NS: instant estimate ($119–$184/mo example), example prices by visitor age and advisors licensed in Nova Scotia.</t>
  </si>
  <si>
    <t xml:space="preserve">Super Visa Insurance in Halifax, NS</t>
  </si>
  <si>
    <t xml:space="preserve">super visa insurance halifax</t>
  </si>
  <si>
    <t xml:space="preserve">P0633</t>
  </si>
  <si>
    <t xml:space="preserve">https://instasure.ca/super-visa-insurance/ontario/ajax/</t>
  </si>
  <si>
    <t xml:space="preserve">Super Visa Insurance Ajax, ON: Compare Quotes &amp; Costs (2026)</t>
  </si>
  <si>
    <t xml:space="preserve">Compare super visa insurance in Ajax, ON: instant estimate ($119–$184/mo example), example prices by visitor age and advisors licensed in Ontario.</t>
  </si>
  <si>
    <t xml:space="preserve">Super Visa Insurance in Ajax, ON</t>
  </si>
  <si>
    <t xml:space="preserve">super visa insurance ajax</t>
  </si>
  <si>
    <t xml:space="preserve">P0634</t>
  </si>
  <si>
    <t xml:space="preserve">https://instasure.ca/super-visa-insurance/ontario/barrie/</t>
  </si>
  <si>
    <t xml:space="preserve">Super Visa Insurance Barrie, ON: Compare Quotes &amp; Costs (2026)</t>
  </si>
  <si>
    <t xml:space="preserve">Compare super visa insurance in Barrie, ON: instant estimate ($119–$184/mo example), example prices by visitor age and advisors licensed in Ontario.</t>
  </si>
  <si>
    <t xml:space="preserve">Super Visa Insurance in Barrie, ON</t>
  </si>
  <si>
    <t xml:space="preserve">super visa insurance barrie</t>
  </si>
  <si>
    <t xml:space="preserve">P0635</t>
  </si>
  <si>
    <t xml:space="preserve">https://instasure.ca/super-visa-insurance/ontario/brampton/</t>
  </si>
  <si>
    <t xml:space="preserve">Super Visa Insurance Brampton, ON: Compare Quotes &amp; Costs (2026)</t>
  </si>
  <si>
    <t xml:space="preserve">Compare super visa insurance in Brampton, ON: instant estimate ($119–$184/mo example), example prices by visitor age and advisors licensed in Ontario.</t>
  </si>
  <si>
    <t xml:space="preserve">Super Visa Insurance in Brampton, ON</t>
  </si>
  <si>
    <t xml:space="preserve">super visa insurance brampton</t>
  </si>
  <si>
    <t xml:space="preserve">P0636</t>
  </si>
  <si>
    <t xml:space="preserve">https://instasure.ca/super-visa-insurance/ontario/burlington/</t>
  </si>
  <si>
    <t xml:space="preserve">Super Visa Insurance Burlington, ON: Compare Quotes &amp; Costs (2026)</t>
  </si>
  <si>
    <t xml:space="preserve">Compare super visa insurance in Burlington, ON: instant estimate ($119–$184/mo example), example prices by visitor age and advisors licensed in Ontario.</t>
  </si>
  <si>
    <t xml:space="preserve">Super Visa Insurance in Burlington, ON</t>
  </si>
  <si>
    <t xml:space="preserve">super visa insurance burlington</t>
  </si>
  <si>
    <t xml:space="preserve">P0637</t>
  </si>
  <si>
    <t xml:space="preserve">https://instasure.ca/super-visa-insurance/ontario/cambridge/</t>
  </si>
  <si>
    <t xml:space="preserve">Super Visa Insurance Cambridge, ON: Compare Quotes &amp; Costs (2026)</t>
  </si>
  <si>
    <t xml:space="preserve">Compare super visa insurance in Cambridge, ON: instant estimate ($119–$184/mo example), example prices by visitor age and advisors licensed in Ontario.</t>
  </si>
  <si>
    <t xml:space="preserve">Super Visa Insurance in Cambridge, ON</t>
  </si>
  <si>
    <t xml:space="preserve">super visa insurance cambridge</t>
  </si>
  <si>
    <t xml:space="preserve">P0638</t>
  </si>
  <si>
    <t xml:space="preserve">https://instasure.ca/super-visa-insurance/ontario/guelph/</t>
  </si>
  <si>
    <t xml:space="preserve">Super Visa Insurance Guelph, ON: Compare Quotes &amp; Costs (2026)</t>
  </si>
  <si>
    <t xml:space="preserve">Compare super visa insurance in Guelph, ON: instant estimate ($119–$184/mo example), example prices by visitor age and advisors licensed in Ontario.</t>
  </si>
  <si>
    <t xml:space="preserve">Super Visa Insurance in Guelph, ON</t>
  </si>
  <si>
    <t xml:space="preserve">super visa insurance guelph</t>
  </si>
  <si>
    <t xml:space="preserve">P0639</t>
  </si>
  <si>
    <t xml:space="preserve">https://instasure.ca/super-visa-insurance/ontario/hamilton/</t>
  </si>
  <si>
    <t xml:space="preserve">Super Visa Insurance Hamilton, ON: Compare Quotes &amp; Costs (2026)</t>
  </si>
  <si>
    <t xml:space="preserve">Compare super visa insurance in Hamilton, ON: instant estimate ($119–$184/mo example), example prices by visitor age and advisors licensed in Ontario.</t>
  </si>
  <si>
    <t xml:space="preserve">Super Visa Insurance in Hamilton, ON</t>
  </si>
  <si>
    <t xml:space="preserve">super visa insurance hamilton</t>
  </si>
  <si>
    <t xml:space="preserve">P0640</t>
  </si>
  <si>
    <t xml:space="preserve">https://instasure.ca/super-visa-insurance/ontario/kingston/</t>
  </si>
  <si>
    <t xml:space="preserve">Super Visa Insurance Kingston, ON: Compare Quotes &amp; Costs (2026)</t>
  </si>
  <si>
    <t xml:space="preserve">Compare super visa insurance in Kingston, ON: instant estimate ($119–$184/mo example), example prices by visitor age and advisors licensed in Ontario.</t>
  </si>
  <si>
    <t xml:space="preserve">Super Visa Insurance in Kingston, ON</t>
  </si>
  <si>
    <t xml:space="preserve">super visa insurance kingston</t>
  </si>
  <si>
    <t xml:space="preserve">P0641</t>
  </si>
  <si>
    <t xml:space="preserve">https://instasure.ca/super-visa-insurance/ontario/kitchener/</t>
  </si>
  <si>
    <t xml:space="preserve">Super Visa Insurance Kitchener, ON: Compare Quotes &amp; Costs (2026)</t>
  </si>
  <si>
    <t xml:space="preserve">Compare super visa insurance in Kitchener, ON: instant estimate ($119–$184/mo example), example prices by visitor age and advisors licensed in Ontario.</t>
  </si>
  <si>
    <t xml:space="preserve">Super Visa Insurance in Kitchener, ON</t>
  </si>
  <si>
    <t xml:space="preserve">super visa insurance kitchener</t>
  </si>
  <si>
    <t xml:space="preserve">P0642</t>
  </si>
  <si>
    <t xml:space="preserve">https://instasure.ca/super-visa-insurance/ontario/london/</t>
  </si>
  <si>
    <t xml:space="preserve">Super Visa Insurance London, ON: Compare Quotes &amp; Costs (2026)</t>
  </si>
  <si>
    <t xml:space="preserve">Compare super visa insurance in London, ON: instant estimate ($119–$184/mo example), example prices by visitor age and advisors licensed in Ontario.</t>
  </si>
  <si>
    <t xml:space="preserve">Super Visa Insurance in London, ON</t>
  </si>
  <si>
    <t xml:space="preserve">super visa insurance london ontario</t>
  </si>
  <si>
    <t xml:space="preserve">P0643</t>
  </si>
  <si>
    <t xml:space="preserve">https://instasure.ca/super-visa-insurance/ontario/markham/</t>
  </si>
  <si>
    <t xml:space="preserve">Super Visa Insurance Markham, ON: Compare Quotes &amp; Costs (2026)</t>
  </si>
  <si>
    <t xml:space="preserve">Compare super visa insurance in Markham, ON: instant estimate ($119–$184/mo example), example prices by visitor age and advisors licensed in Ontario.</t>
  </si>
  <si>
    <t xml:space="preserve">Super Visa Insurance in Markham, ON</t>
  </si>
  <si>
    <t xml:space="preserve">super visa insurance markham</t>
  </si>
  <si>
    <t xml:space="preserve">P0644</t>
  </si>
  <si>
    <t xml:space="preserve">https://instasure.ca/super-visa-insurance/ontario/milton/</t>
  </si>
  <si>
    <t xml:space="preserve">Super Visa Insurance Milton, ON: Compare Quotes &amp; Costs (2026)</t>
  </si>
  <si>
    <t xml:space="preserve">Compare super visa insurance in Milton, ON: instant estimate ($119–$184/mo example), example prices by visitor age and advisors licensed in Ontario.</t>
  </si>
  <si>
    <t xml:space="preserve">Super Visa Insurance in Milton, ON</t>
  </si>
  <si>
    <t xml:space="preserve">super visa insurance milton</t>
  </si>
  <si>
    <t xml:space="preserve">P0645</t>
  </si>
  <si>
    <t xml:space="preserve">https://instasure.ca/super-visa-insurance/ontario/mississauga/</t>
  </si>
  <si>
    <t xml:space="preserve">Super Visa Insurance Mississauga, ON: Compare Quotes &amp; Costs (2026)</t>
  </si>
  <si>
    <t xml:space="preserve">Compare super visa insurance in Mississauga, ON: instant estimate ($119–$184/mo example), example prices by visitor age and advisors licensed in Ontario.</t>
  </si>
  <si>
    <t xml:space="preserve">Super Visa Insurance in Mississauga, ON</t>
  </si>
  <si>
    <t xml:space="preserve">super visa insurance mississauga</t>
  </si>
  <si>
    <t xml:space="preserve">P0646</t>
  </si>
  <si>
    <t xml:space="preserve">https://instasure.ca/super-visa-insurance/ontario/oakville/</t>
  </si>
  <si>
    <t xml:space="preserve">Super Visa Insurance Oakville, ON: Compare Quotes &amp; Costs (2026)</t>
  </si>
  <si>
    <t xml:space="preserve">Compare super visa insurance in Oakville, ON: instant estimate ($119–$184/mo example), example prices by visitor age and advisors licensed in Ontario.</t>
  </si>
  <si>
    <t xml:space="preserve">Super Visa Insurance in Oakville, ON</t>
  </si>
  <si>
    <t xml:space="preserve">super visa insurance oakville</t>
  </si>
  <si>
    <t xml:space="preserve">P0647</t>
  </si>
  <si>
    <t xml:space="preserve">https://instasure.ca/super-visa-insurance/ontario/oshawa/</t>
  </si>
  <si>
    <t xml:space="preserve">Super Visa Insurance Oshawa, ON: Compare Quotes &amp; Costs (2026)</t>
  </si>
  <si>
    <t xml:space="preserve">Compare super visa insurance in Oshawa, ON: instant estimate ($119–$184/mo example), example prices by visitor age and advisors licensed in Ontario.</t>
  </si>
  <si>
    <t xml:space="preserve">Super Visa Insurance in Oshawa, ON</t>
  </si>
  <si>
    <t xml:space="preserve">super visa insurance oshawa</t>
  </si>
  <si>
    <t xml:space="preserve">P0648</t>
  </si>
  <si>
    <t xml:space="preserve">https://instasure.ca/super-visa-insurance/ontario/ottawa/</t>
  </si>
  <si>
    <t xml:space="preserve">Super Visa Insurance Ottawa, ON: Compare Quotes &amp; Costs (2026)</t>
  </si>
  <si>
    <t xml:space="preserve">Compare super visa insurance in Ottawa, ON: instant estimate ($119–$184/mo example), example prices by visitor age and advisors licensed in Ontario.</t>
  </si>
  <si>
    <t xml:space="preserve">Super Visa Insurance in Ottawa, ON</t>
  </si>
  <si>
    <t xml:space="preserve">super visa insurance ottawa</t>
  </si>
  <si>
    <t xml:space="preserve">P0649</t>
  </si>
  <si>
    <t xml:space="preserve">https://instasure.ca/super-visa-insurance/ontario/pickering/</t>
  </si>
  <si>
    <t xml:space="preserve">Super Visa Insurance Pickering, ON: Compare Quotes &amp; Costs (2026)</t>
  </si>
  <si>
    <t xml:space="preserve">Compare super visa insurance in Pickering, ON: instant estimate ($119–$184/mo example), example prices by visitor age and advisors licensed in Ontario.</t>
  </si>
  <si>
    <t xml:space="preserve">Super Visa Insurance in Pickering, ON</t>
  </si>
  <si>
    <t xml:space="preserve">super visa insurance pickering</t>
  </si>
  <si>
    <t xml:space="preserve">P0650</t>
  </si>
  <si>
    <t xml:space="preserve">https://instasure.ca/super-visa-insurance/ontario/richmond-hill/</t>
  </si>
  <si>
    <t xml:space="preserve">Super Visa Insurance Richmond Hill, ON: Compare Quotes &amp; Costs (2026)</t>
  </si>
  <si>
    <t xml:space="preserve">Compare super visa insurance in Richmond Hill, ON: instant estimate ($119–$184/mo example), example prices by visitor age and advisors licensed in Ontario.</t>
  </si>
  <si>
    <t xml:space="preserve">Super Visa Insurance in Richmond Hill, ON</t>
  </si>
  <si>
    <t xml:space="preserve">super visa insurance richmond hill</t>
  </si>
  <si>
    <t xml:space="preserve">P0651</t>
  </si>
  <si>
    <t xml:space="preserve">https://instasure.ca/super-visa-insurance/ontario/st-catharines/</t>
  </si>
  <si>
    <t xml:space="preserve">Super Visa Insurance St. Catharines, ON: Compare Quotes &amp; Costs (2026)</t>
  </si>
  <si>
    <t xml:space="preserve">Compare super visa insurance in St. Catharines, ON: instant estimate ($119–$184/mo example), example prices by visitor age and advisors licensed in Ontario.</t>
  </si>
  <si>
    <t xml:space="preserve">Super Visa Insurance in St. Catharines, ON</t>
  </si>
  <si>
    <t xml:space="preserve">super visa insurance st. catharines</t>
  </si>
  <si>
    <t xml:space="preserve">P0652</t>
  </si>
  <si>
    <t xml:space="preserve">https://instasure.ca/super-visa-insurance/ontario/sudbury/</t>
  </si>
  <si>
    <t xml:space="preserve">Super Visa Insurance Sudbury, ON: Compare Quotes &amp; Costs (2026)</t>
  </si>
  <si>
    <t xml:space="preserve">Compare super visa insurance in Sudbury, ON: instant estimate ($119–$184/mo example), example prices by visitor age and advisors licensed in Ontario.</t>
  </si>
  <si>
    <t xml:space="preserve">Super Visa Insurance in Sudbury, ON</t>
  </si>
  <si>
    <t xml:space="preserve">super visa insurance sudbury</t>
  </si>
  <si>
    <t xml:space="preserve">P0653</t>
  </si>
  <si>
    <t xml:space="preserve">https://instasure.ca/super-visa-insurance/ontario/thunder-bay/</t>
  </si>
  <si>
    <t xml:space="preserve">Super Visa Insurance Thunder Bay, ON: Compare Quotes &amp; Costs (2026)</t>
  </si>
  <si>
    <t xml:space="preserve">Compare super visa insurance in Thunder Bay, ON: instant estimate ($119–$184/mo example), example prices by visitor age and advisors licensed in Ontario.</t>
  </si>
  <si>
    <t xml:space="preserve">Super Visa Insurance in Thunder Bay, ON</t>
  </si>
  <si>
    <t xml:space="preserve">super visa insurance thunder bay</t>
  </si>
  <si>
    <t xml:space="preserve">P0654</t>
  </si>
  <si>
    <t xml:space="preserve">https://instasure.ca/super-visa-insurance/ontario/toronto/</t>
  </si>
  <si>
    <t xml:space="preserve">Super Visa Insurance Toronto, ON: Compare Quotes &amp; Costs (2026)</t>
  </si>
  <si>
    <t xml:space="preserve">Compare super visa insurance in Toronto, ON: instant estimate ($119–$184/mo example), example prices by visitor age and advisors licensed in Ontario.</t>
  </si>
  <si>
    <t xml:space="preserve">Super Visa Insurance in Toronto, ON</t>
  </si>
  <si>
    <t xml:space="preserve">super visa insurance toronto</t>
  </si>
  <si>
    <t xml:space="preserve">P0655</t>
  </si>
  <si>
    <t xml:space="preserve">https://instasure.ca/super-visa-insurance/ontario/vaughan/</t>
  </si>
  <si>
    <t xml:space="preserve">Super Visa Insurance Vaughan, ON: Compare Quotes &amp; Costs (2026)</t>
  </si>
  <si>
    <t xml:space="preserve">Compare super visa insurance in Vaughan, ON: instant estimate ($119–$184/mo example), example prices by visitor age and advisors licensed in Ontario.</t>
  </si>
  <si>
    <t xml:space="preserve">Super Visa Insurance in Vaughan, ON</t>
  </si>
  <si>
    <t xml:space="preserve">super visa insurance vaughan</t>
  </si>
  <si>
    <t xml:space="preserve">P0656</t>
  </si>
  <si>
    <t xml:space="preserve">https://instasure.ca/super-visa-insurance/ontario/waterloo/</t>
  </si>
  <si>
    <t xml:space="preserve">Super Visa Insurance Waterloo, ON: Compare Quotes &amp; Costs (2026)</t>
  </si>
  <si>
    <t xml:space="preserve">Compare super visa insurance in Waterloo, ON: instant estimate ($119–$184/mo example), example prices by visitor age and advisors licensed in Ontario.</t>
  </si>
  <si>
    <t xml:space="preserve">Super Visa Insurance in Waterloo, ON</t>
  </si>
  <si>
    <t xml:space="preserve">super visa insurance waterloo</t>
  </si>
  <si>
    <t xml:space="preserve">P0657</t>
  </si>
  <si>
    <t xml:space="preserve">https://instasure.ca/super-visa-insurance/ontario/whitby/</t>
  </si>
  <si>
    <t xml:space="preserve">Super Visa Insurance Whitby, ON: Compare Quotes &amp; Costs (2026)</t>
  </si>
  <si>
    <t xml:space="preserve">Compare super visa insurance in Whitby, ON: instant estimate ($119–$184/mo example), example prices by visitor age and advisors licensed in Ontario.</t>
  </si>
  <si>
    <t xml:space="preserve">Super Visa Insurance in Whitby, ON</t>
  </si>
  <si>
    <t xml:space="preserve">super visa insurance whitby</t>
  </si>
  <si>
    <t xml:space="preserve">P0658</t>
  </si>
  <si>
    <t xml:space="preserve">https://instasure.ca/super-visa-insurance/ontario/windsor/</t>
  </si>
  <si>
    <t xml:space="preserve">Super Visa Insurance Windsor, ON: Compare Quotes &amp; Costs (2026)</t>
  </si>
  <si>
    <t xml:space="preserve">Compare super visa insurance in Windsor, ON: instant estimate ($119–$184/mo example), example prices by visitor age and advisors licensed in Ontario.</t>
  </si>
  <si>
    <t xml:space="preserve">Super Visa Insurance in Windsor, ON</t>
  </si>
  <si>
    <t xml:space="preserve">super visa insurance windsor</t>
  </si>
  <si>
    <t xml:space="preserve">P0659</t>
  </si>
  <si>
    <t xml:space="preserve">https://instasure.ca/super-visa-insurance/prince-edward-island/charlottetown/</t>
  </si>
  <si>
    <t xml:space="preserve">Super Visa Insurance Charlottetown, PE: Compare Quotes &amp; Costs (2026)</t>
  </si>
  <si>
    <t xml:space="preserve">Compare super visa insurance in Charlottetown, PE: instant estimate ($119–$184/mo example), example prices by visitor age and advisors licensed in Prince Edward…</t>
  </si>
  <si>
    <t xml:space="preserve">Super Visa Insurance in Charlottetown, PE</t>
  </si>
  <si>
    <t xml:space="preserve">super visa insurance charlottetown</t>
  </si>
  <si>
    <t xml:space="preserve">P0660</t>
  </si>
  <si>
    <t xml:space="preserve">https://instasure.ca/super-visa-insurance/quebec/gatineau/</t>
  </si>
  <si>
    <t xml:space="preserve">Super Visa Insurance Gatineau, QC: Compare Quotes &amp; Costs (2026)</t>
  </si>
  <si>
    <t xml:space="preserve">Compare super visa insurance in Gatineau, QC: instant estimate ($119–$184/mo example), example prices by visitor age and a waitlist for licensed advice in Quebec.</t>
  </si>
  <si>
    <t xml:space="preserve">Super Visa Insurance in Gatineau, QC</t>
  </si>
  <si>
    <t xml:space="preserve">super visa insurance gatineau</t>
  </si>
  <si>
    <t xml:space="preserve">P0661</t>
  </si>
  <si>
    <t xml:space="preserve">https://instasure.ca/super-visa-insurance/quebec/laval/</t>
  </si>
  <si>
    <t xml:space="preserve">Super Visa Insurance Laval, QC: Compare Quotes &amp; Costs (2026)</t>
  </si>
  <si>
    <t xml:space="preserve">Compare super visa insurance in Laval, QC: instant estimate ($119–$184/mo example), example prices by visitor age and a waitlist for licensed advice in Quebec.</t>
  </si>
  <si>
    <t xml:space="preserve">Super Visa Insurance in Laval, QC</t>
  </si>
  <si>
    <t xml:space="preserve">super visa insurance laval</t>
  </si>
  <si>
    <t xml:space="preserve">P0662</t>
  </si>
  <si>
    <t xml:space="preserve">https://instasure.ca/super-visa-insurance/quebec/longueuil/</t>
  </si>
  <si>
    <t xml:space="preserve">Super Visa Insurance Longueuil, QC: Compare Quotes &amp; Costs (2026)</t>
  </si>
  <si>
    <t xml:space="preserve">Compare super visa insurance in Longueuil, QC: instant estimate ($119–$184/mo example), example prices by visitor age and a waitlist for licensed advice in Quebec.</t>
  </si>
  <si>
    <t xml:space="preserve">Super Visa Insurance in Longueuil, QC</t>
  </si>
  <si>
    <t xml:space="preserve">super visa insurance longueuil</t>
  </si>
  <si>
    <t xml:space="preserve">P0663</t>
  </si>
  <si>
    <t xml:space="preserve">https://instasure.ca/super-visa-insurance/quebec/montreal/</t>
  </si>
  <si>
    <t xml:space="preserve">Super Visa Insurance Montreal, QC: Compare Quotes &amp; Costs (2026)</t>
  </si>
  <si>
    <t xml:space="preserve">Compare super visa insurance in Montreal, QC: instant estimate ($119–$184/mo example), example prices by visitor age and a waitlist for licensed advice in Quebec.</t>
  </si>
  <si>
    <t xml:space="preserve">Super Visa Insurance in Montreal, QC</t>
  </si>
  <si>
    <t xml:space="preserve">super visa insurance montreal</t>
  </si>
  <si>
    <t xml:space="preserve">P0664</t>
  </si>
  <si>
    <t xml:space="preserve">https://instasure.ca/super-visa-insurance/quebec/quebec-city/</t>
  </si>
  <si>
    <t xml:space="preserve">Super Visa Insurance Quebec City, QC: Compare Quotes &amp; Costs (2026)</t>
  </si>
  <si>
    <t xml:space="preserve">Compare super visa insurance in Quebec City, QC: instant estimate ($119–$184/mo example), example prices by visitor age and a waitlist for licensed advice in Quebec.</t>
  </si>
  <si>
    <t xml:space="preserve">Super Visa Insurance in Quebec City, QC</t>
  </si>
  <si>
    <t xml:space="preserve">super visa insurance quebec city</t>
  </si>
  <si>
    <t xml:space="preserve">P0665</t>
  </si>
  <si>
    <t xml:space="preserve">https://instasure.ca/super-visa-insurance/quebec/sherbrooke/</t>
  </si>
  <si>
    <t xml:space="preserve">Super Visa Insurance Sherbrooke, QC: Compare Quotes &amp; Costs (2026)</t>
  </si>
  <si>
    <t xml:space="preserve">Compare super visa insurance in Sherbrooke, QC: instant estimate ($119–$184/mo example), example prices by visitor age and a waitlist for licensed advice in Quebec.</t>
  </si>
  <si>
    <t xml:space="preserve">Super Visa Insurance in Sherbrooke, QC</t>
  </si>
  <si>
    <t xml:space="preserve">super visa insurance sherbrooke</t>
  </si>
  <si>
    <t xml:space="preserve">P0666</t>
  </si>
  <si>
    <t xml:space="preserve">https://instasure.ca/super-visa-insurance/saskatchewan/regina/</t>
  </si>
  <si>
    <t xml:space="preserve">Super Visa Insurance Regina, SK: Compare Quotes &amp; Costs (2026)</t>
  </si>
  <si>
    <t xml:space="preserve">Compare super visa insurance in Regina, SK: instant estimate ($119–$184/mo example), example prices by visitor age and advisors licensed in Saskatchewan.</t>
  </si>
  <si>
    <t xml:space="preserve">Super Visa Insurance in Regina, SK</t>
  </si>
  <si>
    <t xml:space="preserve">super visa insurance regina</t>
  </si>
  <si>
    <t xml:space="preserve">P0667</t>
  </si>
  <si>
    <t xml:space="preserve">https://instasure.ca/super-visa-insurance/saskatchewan/saskatoon/</t>
  </si>
  <si>
    <t xml:space="preserve">Super Visa Insurance Saskatoon, SK: Compare Quotes &amp; Costs (2026)</t>
  </si>
  <si>
    <t xml:space="preserve">Compare super visa insurance in Saskatoon, SK: instant estimate ($119–$184/mo example), example prices by visitor age and advisors licensed in Saskatchewan.</t>
  </si>
  <si>
    <t xml:space="preserve">Super Visa Insurance in Saskatoon, SK</t>
  </si>
  <si>
    <t xml:space="preserve">super visa insurance saskatoon</t>
  </si>
  <si>
    <t xml:space="preserve">P0668</t>
  </si>
  <si>
    <t xml:space="preserve">https://instasure.ca/super-visa-insurance/yukon/whitehorse/</t>
  </si>
  <si>
    <t xml:space="preserve">Super Visa Insurance Whitehorse, YT: Compare Quotes &amp; Costs (2026)</t>
  </si>
  <si>
    <t xml:space="preserve">Compare super visa insurance in Whitehorse, YT: instant estimate ($119–$184/mo example), example prices by visitor age and a waitlist for licensed advice in Yukon.</t>
  </si>
  <si>
    <t xml:space="preserve">Super Visa Insurance in Whitehorse, YT</t>
  </si>
  <si>
    <t xml:space="preserve">super visa insurance whitehorse</t>
  </si>
  <si>
    <t xml:space="preserve">P0669</t>
  </si>
  <si>
    <t xml:space="preserve">https://instasure.ca/tenant-insurance/alberta/airdrie/</t>
  </si>
  <si>
    <t xml:space="preserve">Tenant Insurance Airdrie, AB: Compare Quotes &amp; Costs (2026)</t>
  </si>
  <si>
    <t xml:space="preserve">Compare tenant insurance in Airdrie, AB: instant estimate ($21.00–$35.00/mo example), local risk factors and advisors licensed in Alberta.</t>
  </si>
  <si>
    <t xml:space="preserve">Tenant Insurance in Airdrie, AB</t>
  </si>
  <si>
    <t xml:space="preserve">tenant insurance airdrie</t>
  </si>
  <si>
    <t xml:space="preserve">P0670</t>
  </si>
  <si>
    <t xml:space="preserve">https://instasure.ca/tenant-insurance/alberta/calgary/</t>
  </si>
  <si>
    <t xml:space="preserve">Tenant Insurance Calgary, AB: Compare Quotes &amp; Costs (2026)</t>
  </si>
  <si>
    <t xml:space="preserve">Compare tenant insurance in Calgary, AB: instant estimate ($22.00–$36.00/mo example), local risk factors and advisors licensed in Alberta.</t>
  </si>
  <si>
    <t xml:space="preserve">Tenant Insurance in Calgary, AB</t>
  </si>
  <si>
    <t xml:space="preserve">tenant insurance calgary</t>
  </si>
  <si>
    <t xml:space="preserve">P0671</t>
  </si>
  <si>
    <t xml:space="preserve">https://instasure.ca/tenant-insurance/alberta/edmonton/</t>
  </si>
  <si>
    <t xml:space="preserve">Tenant Insurance Edmonton, AB: Compare Quotes &amp; Costs (2026)</t>
  </si>
  <si>
    <t xml:space="preserve">Compare tenant insurance in Edmonton, AB: instant estimate ($20.00–$33.00/mo example), local risk factors and advisors licensed in Alberta.</t>
  </si>
  <si>
    <t xml:space="preserve">Tenant Insurance in Edmonton, AB</t>
  </si>
  <si>
    <t xml:space="preserve">tenant insurance edmonton</t>
  </si>
  <si>
    <t xml:space="preserve">P0672</t>
  </si>
  <si>
    <t xml:space="preserve">https://instasure.ca/tenant-insurance/alberta/lethbridge/</t>
  </si>
  <si>
    <t xml:space="preserve">Tenant Insurance Lethbridge, AB: Compare Quotes &amp; Costs (2026)</t>
  </si>
  <si>
    <t xml:space="preserve">Compare tenant insurance in Lethbridge, AB: instant estimate ($21.00–$33.00/mo example), local risk factors and advisors licensed in Alberta.</t>
  </si>
  <si>
    <t xml:space="preserve">Tenant Insurance in Lethbridge, AB</t>
  </si>
  <si>
    <t xml:space="preserve">tenant insurance lethbridge</t>
  </si>
  <si>
    <t xml:space="preserve">P0673</t>
  </si>
  <si>
    <t xml:space="preserve">https://instasure.ca/tenant-insurance/alberta/red-deer/</t>
  </si>
  <si>
    <t xml:space="preserve">Tenant Insurance Red Deer, AB: Compare Quotes &amp; Costs (2026)</t>
  </si>
  <si>
    <t xml:space="preserve">Compare tenant insurance in Red Deer, AB: instant estimate ($21.00–$34.00/mo example), local risk factors and advisors licensed in Alberta.</t>
  </si>
  <si>
    <t xml:space="preserve">Tenant Insurance in Red Deer, AB</t>
  </si>
  <si>
    <t xml:space="preserve">tenant insurance red deer</t>
  </si>
  <si>
    <t xml:space="preserve">P0674</t>
  </si>
  <si>
    <t xml:space="preserve">https://instasure.ca/tenant-insurance/british-columbia/abbotsford/</t>
  </si>
  <si>
    <t xml:space="preserve">Tenant Insurance Abbotsford, BC: Compare Quotes &amp; Costs (2026)</t>
  </si>
  <si>
    <t xml:space="preserve">Compare tenant insurance in Abbotsford, BC: instant estimate ($20.00–$32.00/mo example), local risk factors and advisors licensed in British Columbia.</t>
  </si>
  <si>
    <t xml:space="preserve">Tenant Insurance in Abbotsford, BC</t>
  </si>
  <si>
    <t xml:space="preserve">tenant insurance abbotsford</t>
  </si>
  <si>
    <t xml:space="preserve">P0675</t>
  </si>
  <si>
    <t xml:space="preserve">https://instasure.ca/tenant-insurance/british-columbia/burnaby/</t>
  </si>
  <si>
    <t xml:space="preserve">Tenant Insurance Burnaby, BC: Compare Quotes &amp; Costs (2026)</t>
  </si>
  <si>
    <t xml:space="preserve">Compare tenant insurance in Burnaby, BC: instant estimate ($19.00–$30.00/mo example), local risk factors and advisors licensed in British Columbia.</t>
  </si>
  <si>
    <t xml:space="preserve">Tenant Insurance in Burnaby, BC</t>
  </si>
  <si>
    <t xml:space="preserve">tenant insurance burnaby</t>
  </si>
  <si>
    <t xml:space="preserve">P0676</t>
  </si>
  <si>
    <t xml:space="preserve">https://instasure.ca/tenant-insurance/british-columbia/coquitlam/</t>
  </si>
  <si>
    <t xml:space="preserve">Tenant Insurance Coquitlam, BC: Compare Quotes &amp; Costs (2026)</t>
  </si>
  <si>
    <t xml:space="preserve">Compare tenant insurance in Coquitlam, BC: instant estimate ($19.00–$30.00/mo example), local risk factors and advisors licensed in British Columbia.</t>
  </si>
  <si>
    <t xml:space="preserve">Tenant Insurance in Coquitlam, BC</t>
  </si>
  <si>
    <t xml:space="preserve">tenant insurance coquitlam</t>
  </si>
  <si>
    <t xml:space="preserve">P0677</t>
  </si>
  <si>
    <t xml:space="preserve">https://instasure.ca/tenant-insurance/british-columbia/kelowna/</t>
  </si>
  <si>
    <t xml:space="preserve">Tenant Insurance Kelowna, BC: Compare Quotes &amp; Costs (2026)</t>
  </si>
  <si>
    <t xml:space="preserve">Compare tenant insurance in Kelowna, BC: instant estimate ($19.00–$30.00/mo example), local risk factors and advisors licensed in British Columbia.</t>
  </si>
  <si>
    <t xml:space="preserve">Tenant Insurance in Kelowna, BC</t>
  </si>
  <si>
    <t xml:space="preserve">tenant insurance kelowna</t>
  </si>
  <si>
    <t xml:space="preserve">P0678</t>
  </si>
  <si>
    <t xml:space="preserve">https://instasure.ca/tenant-insurance/british-columbia/langley/</t>
  </si>
  <si>
    <t xml:space="preserve">Tenant Insurance Langley, BC: Compare Quotes &amp; Costs (2026)</t>
  </si>
  <si>
    <t xml:space="preserve">Compare tenant insurance in Langley, BC: instant estimate ($19.00–$30.00/mo example), local risk factors and advisors licensed in British Columbia.</t>
  </si>
  <si>
    <t xml:space="preserve">Tenant Insurance in Langley, BC</t>
  </si>
  <si>
    <t xml:space="preserve">tenant insurance langley</t>
  </si>
  <si>
    <t xml:space="preserve">P0679</t>
  </si>
  <si>
    <t xml:space="preserve">https://instasure.ca/tenant-insurance/british-columbia/richmond/</t>
  </si>
  <si>
    <t xml:space="preserve">Tenant Insurance Richmond, BC: Compare Quotes &amp; Costs (2026)</t>
  </si>
  <si>
    <t xml:space="preserve">Compare tenant insurance in Richmond, BC: instant estimate ($19.00–$31.00/mo example), local risk factors and advisors licensed in British Columbia.</t>
  </si>
  <si>
    <t xml:space="preserve">Tenant Insurance in Richmond, BC</t>
  </si>
  <si>
    <t xml:space="preserve">tenant insurance richmond bc</t>
  </si>
  <si>
    <t xml:space="preserve">P0680</t>
  </si>
  <si>
    <t xml:space="preserve">https://instasure.ca/tenant-insurance/british-columbia/surrey/</t>
  </si>
  <si>
    <t xml:space="preserve">Tenant Insurance Surrey, BC: Compare Quotes &amp; Costs (2026)</t>
  </si>
  <si>
    <t xml:space="preserve">Compare tenant insurance in Surrey, BC: instant estimate ($19.00–$30.00/mo example), local risk factors and advisors licensed in British Columbia.</t>
  </si>
  <si>
    <t xml:space="preserve">Tenant Insurance in Surrey, BC</t>
  </si>
  <si>
    <t xml:space="preserve">tenant insurance surrey</t>
  </si>
  <si>
    <t xml:space="preserve">P0681</t>
  </si>
  <si>
    <t xml:space="preserve">https://instasure.ca/tenant-insurance/british-columbia/vancouver/</t>
  </si>
  <si>
    <t xml:space="preserve">Tenant Insurance Vancouver, BC: Compare Quotes &amp; Costs (2026)</t>
  </si>
  <si>
    <t xml:space="preserve">Compare tenant insurance in Vancouver, BC: instant estimate ($19.00–$30.00/mo example), local risk factors and advisors licensed in British Columbia.</t>
  </si>
  <si>
    <t xml:space="preserve">Tenant Insurance in Vancouver, BC</t>
  </si>
  <si>
    <t xml:space="preserve">tenant insurance vancouver</t>
  </si>
  <si>
    <t xml:space="preserve">P0682</t>
  </si>
  <si>
    <t xml:space="preserve">https://instasure.ca/tenant-insurance/british-columbia/victoria/</t>
  </si>
  <si>
    <t xml:space="preserve">Tenant Insurance Victoria, BC: Compare Quotes &amp; Costs (2026)</t>
  </si>
  <si>
    <t xml:space="preserve">Compare tenant insurance in Victoria, BC: instant estimate ($19.00–$30.00/mo example), local risk factors and advisors licensed in British Columbia.</t>
  </si>
  <si>
    <t xml:space="preserve">Tenant Insurance in Victoria, BC</t>
  </si>
  <si>
    <t xml:space="preserve">tenant insurance victoria</t>
  </si>
  <si>
    <t xml:space="preserve">P0683</t>
  </si>
  <si>
    <t xml:space="preserve">https://instasure.ca/tenant-insurance/manitoba/brandon/</t>
  </si>
  <si>
    <t xml:space="preserve">Tenant Insurance Brandon, MB: Compare Quotes &amp; Costs (2026)</t>
  </si>
  <si>
    <t xml:space="preserve">Compare tenant insurance in Brandon, MB: instant estimate ($18.00–$29.00/mo example), local risk factors and advisors licensed in Manitoba.</t>
  </si>
  <si>
    <t xml:space="preserve">Tenant Insurance in Brandon, MB</t>
  </si>
  <si>
    <t xml:space="preserve">tenant insurance brandon</t>
  </si>
  <si>
    <t xml:space="preserve">P0684</t>
  </si>
  <si>
    <t xml:space="preserve">https://instasure.ca/tenant-insurance/manitoba/winnipeg/</t>
  </si>
  <si>
    <t xml:space="preserve">Tenant Insurance Winnipeg, MB: Compare Quotes &amp; Costs (2026)</t>
  </si>
  <si>
    <t xml:space="preserve">Compare tenant insurance in Winnipeg, MB: instant estimate ($18.00–$30.00/mo example), local risk factors and advisors licensed in Manitoba.</t>
  </si>
  <si>
    <t xml:space="preserve">Tenant Insurance in Winnipeg, MB</t>
  </si>
  <si>
    <t xml:space="preserve">tenant insurance winnipeg</t>
  </si>
  <si>
    <t xml:space="preserve">P0685</t>
  </si>
  <si>
    <t xml:space="preserve">https://instasure.ca/tenant-insurance/new-brunswick/fredericton/</t>
  </si>
  <si>
    <t xml:space="preserve">Tenant Insurance Fredericton, NB: Compare Quotes &amp; Costs (2026)</t>
  </si>
  <si>
    <t xml:space="preserve">Compare tenant insurance in Fredericton, NB: instant estimate ($16.00–$26.00/mo example), local risk factors and advisors licensed in New Brunswick.</t>
  </si>
  <si>
    <t xml:space="preserve">Tenant Insurance in Fredericton, NB</t>
  </si>
  <si>
    <t xml:space="preserve">tenant insurance fredericton</t>
  </si>
  <si>
    <t xml:space="preserve">P0686</t>
  </si>
  <si>
    <t xml:space="preserve">https://instasure.ca/tenant-insurance/new-brunswick/moncton/</t>
  </si>
  <si>
    <t xml:space="preserve">Tenant Insurance Moncton, NB: Compare Quotes &amp; Costs (2026)</t>
  </si>
  <si>
    <t xml:space="preserve">Compare tenant insurance in Moncton, NB: instant estimate ($16.00–$25.00/mo example), local risk factors and advisors licensed in New Brunswick.</t>
  </si>
  <si>
    <t xml:space="preserve">Tenant Insurance in Moncton, NB</t>
  </si>
  <si>
    <t xml:space="preserve">tenant insurance moncton</t>
  </si>
  <si>
    <t xml:space="preserve">P0687</t>
  </si>
  <si>
    <t xml:space="preserve">https://instasure.ca/tenant-insurance/new-brunswick/saint-john/</t>
  </si>
  <si>
    <t xml:space="preserve">Tenant Insurance Saint John, NB: Compare Quotes &amp; Costs (2026)</t>
  </si>
  <si>
    <t xml:space="preserve">Compare tenant insurance in Saint John, NB: instant estimate ($16.00–$26.00/mo example), local risk factors and advisors licensed in New Brunswick.</t>
  </si>
  <si>
    <t xml:space="preserve">Tenant Insurance in Saint John, NB</t>
  </si>
  <si>
    <t xml:space="preserve">tenant insurance saint john</t>
  </si>
  <si>
    <t xml:space="preserve">P0688</t>
  </si>
  <si>
    <t xml:space="preserve">https://instasure.ca/tenant-insurance/newfoundland-and-labrador/st-johns/</t>
  </si>
  <si>
    <t xml:space="preserve">Tenant Insurance St. John’s, NL: Compare Quotes &amp; Costs (2026)</t>
  </si>
  <si>
    <t xml:space="preserve">Compare tenant insurance in St. John’s, NL: instant estimate ($17.00–$28.00/mo example), local risk factors and advisors licensed in Newfoundland and Labrador.</t>
  </si>
  <si>
    <t xml:space="preserve">Tenant Insurance in St. John’s, NL</t>
  </si>
  <si>
    <t xml:space="preserve">tenant insurance st johns</t>
  </si>
  <si>
    <t xml:space="preserve">P0689</t>
  </si>
  <si>
    <t xml:space="preserve">https://instasure.ca/tenant-insurance/northwest-territories/yellowknife/</t>
  </si>
  <si>
    <t xml:space="preserve">Tenant Insurance Yellowknife, NT: Compare Quotes &amp; Costs (2026)</t>
  </si>
  <si>
    <t xml:space="preserve">Compare tenant insurance in Yellowknife, NT: instant estimate ($22.00–$35.00/mo example), local risk factors and a waitlist for licensed advice in Northwest…</t>
  </si>
  <si>
    <t xml:space="preserve">Tenant Insurance in Yellowknife, NT</t>
  </si>
  <si>
    <t xml:space="preserve">tenant insurance yellowknife</t>
  </si>
  <si>
    <t xml:space="preserve">P0690</t>
  </si>
  <si>
    <t xml:space="preserve">https://instasure.ca/tenant-insurance/nova-scotia/halifax/</t>
  </si>
  <si>
    <t xml:space="preserve">Tenant Insurance Halifax, NS: Compare Quotes &amp; Costs (2026)</t>
  </si>
  <si>
    <t xml:space="preserve">Compare tenant insurance in Halifax, NS: instant estimate ($17.00–$28.00/mo example), local risk factors and advisors licensed in Nova Scotia.</t>
  </si>
  <si>
    <t xml:space="preserve">Tenant Insurance in Halifax, NS</t>
  </si>
  <si>
    <t xml:space="preserve">tenant insurance halifax</t>
  </si>
  <si>
    <t xml:space="preserve">P0691</t>
  </si>
  <si>
    <t xml:space="preserve">https://instasure.ca/tenant-insurance/ontario/ajax/</t>
  </si>
  <si>
    <t xml:space="preserve">Tenant Insurance Ajax, ON: Compare Quotes &amp; Costs (2026)</t>
  </si>
  <si>
    <t xml:space="preserve">Compare tenant insurance in Ajax, ON: instant estimate ($20.00–$33.00/mo example), local risk factors and advisors licensed in Ontario.</t>
  </si>
  <si>
    <t xml:space="preserve">Tenant Insurance in Ajax, ON</t>
  </si>
  <si>
    <t xml:space="preserve">tenant insurance ajax</t>
  </si>
  <si>
    <t xml:space="preserve">P0692</t>
  </si>
  <si>
    <t xml:space="preserve">https://instasure.ca/tenant-insurance/ontario/barrie/</t>
  </si>
  <si>
    <t xml:space="preserve">Tenant Insurance Barrie, ON: Compare Quotes &amp; Costs (2026)</t>
  </si>
  <si>
    <t xml:space="preserve">Compare tenant insurance in Barrie, ON: instant estimate ($20.00–$33.00/mo example), local risk factors and advisors licensed in Ontario.</t>
  </si>
  <si>
    <t xml:space="preserve">Tenant Insurance in Barrie, ON</t>
  </si>
  <si>
    <t xml:space="preserve">tenant insurance barrie</t>
  </si>
  <si>
    <t xml:space="preserve">P0693</t>
  </si>
  <si>
    <t xml:space="preserve">https://instasure.ca/tenant-insurance/ontario/brampton/</t>
  </si>
  <si>
    <t xml:space="preserve">Tenant Insurance Brampton, ON: Compare Quotes &amp; Costs (2026)</t>
  </si>
  <si>
    <t xml:space="preserve">Compare tenant insurance in Brampton, ON: instant estimate ($20.00–$33.00/mo example), local risk factors and advisors licensed in Ontario.</t>
  </si>
  <si>
    <t xml:space="preserve">Tenant Insurance in Brampton, ON</t>
  </si>
  <si>
    <t xml:space="preserve">tenant insurance brampton</t>
  </si>
  <si>
    <t xml:space="preserve">P0694</t>
  </si>
  <si>
    <t xml:space="preserve">https://instasure.ca/tenant-insurance/ontario/burlington/</t>
  </si>
  <si>
    <t xml:space="preserve">Tenant Insurance Burlington, ON: Compare Quotes &amp; Costs (2026)</t>
  </si>
  <si>
    <t xml:space="preserve">Compare tenant insurance in Burlington, ON: instant estimate ($20.00–$33.00/mo example), local risk factors and advisors licensed in Ontario.</t>
  </si>
  <si>
    <t xml:space="preserve">Tenant Insurance in Burlington, ON</t>
  </si>
  <si>
    <t xml:space="preserve">tenant insurance burlington</t>
  </si>
  <si>
    <t xml:space="preserve">P0695</t>
  </si>
  <si>
    <t xml:space="preserve">https://instasure.ca/tenant-insurance/ontario/cambridge/</t>
  </si>
  <si>
    <t xml:space="preserve">Tenant Insurance Cambridge, ON: Compare Quotes &amp; Costs (2026)</t>
  </si>
  <si>
    <t xml:space="preserve">Compare tenant insurance in Cambridge, ON: instant estimate ($20.00–$33.00/mo example), local risk factors and advisors licensed in Ontario.</t>
  </si>
  <si>
    <t xml:space="preserve">Tenant Insurance in Cambridge, ON</t>
  </si>
  <si>
    <t xml:space="preserve">tenant insurance cambridge</t>
  </si>
  <si>
    <t xml:space="preserve">P0696</t>
  </si>
  <si>
    <t xml:space="preserve">https://instasure.ca/tenant-insurance/ontario/guelph/</t>
  </si>
  <si>
    <t xml:space="preserve">Tenant Insurance Guelph, ON: Compare Quotes &amp; Costs (2026)</t>
  </si>
  <si>
    <t xml:space="preserve">Compare tenant insurance in Guelph, ON: instant estimate ($20.00–$33.00/mo example), local risk factors and advisors licensed in Ontario.</t>
  </si>
  <si>
    <t xml:space="preserve">Tenant Insurance in Guelph, ON</t>
  </si>
  <si>
    <t xml:space="preserve">tenant insurance guelph</t>
  </si>
  <si>
    <t xml:space="preserve">P0697</t>
  </si>
  <si>
    <t xml:space="preserve">https://instasure.ca/tenant-insurance/ontario/hamilton/</t>
  </si>
  <si>
    <t xml:space="preserve">Tenant Insurance Hamilton, ON: Compare Quotes &amp; Costs (2026)</t>
  </si>
  <si>
    <t xml:space="preserve">Compare tenant insurance in Hamilton, ON: instant estimate ($20.00–$33.00/mo example), local risk factors and advisors licensed in Ontario.</t>
  </si>
  <si>
    <t xml:space="preserve">Tenant Insurance in Hamilton, ON</t>
  </si>
  <si>
    <t xml:space="preserve">tenant insurance hamilton</t>
  </si>
  <si>
    <t xml:space="preserve">P0698</t>
  </si>
  <si>
    <t xml:space="preserve">https://instasure.ca/tenant-insurance/ontario/kingston/</t>
  </si>
  <si>
    <t xml:space="preserve">Tenant Insurance Kingston, ON: Compare Quotes &amp; Costs (2026)</t>
  </si>
  <si>
    <t xml:space="preserve">Compare tenant insurance in Kingston, ON: instant estimate ($20.00–$33.00/mo example), local risk factors and advisors licensed in Ontario.</t>
  </si>
  <si>
    <t xml:space="preserve">Tenant Insurance in Kingston, ON</t>
  </si>
  <si>
    <t xml:space="preserve">tenant insurance kingston</t>
  </si>
  <si>
    <t xml:space="preserve">P0699</t>
  </si>
  <si>
    <t xml:space="preserve">https://instasure.ca/tenant-insurance/ontario/kitchener/</t>
  </si>
  <si>
    <t xml:space="preserve">Tenant Insurance Kitchener, ON: Compare Quotes &amp; Costs (2026)</t>
  </si>
  <si>
    <t xml:space="preserve">Compare tenant insurance in Kitchener, ON: instant estimate ($20.00–$33.00/mo example), local risk factors and advisors licensed in Ontario.</t>
  </si>
  <si>
    <t xml:space="preserve">Tenant Insurance in Kitchener, ON</t>
  </si>
  <si>
    <t xml:space="preserve">tenant insurance kitchener</t>
  </si>
  <si>
    <t xml:space="preserve">P0700</t>
  </si>
  <si>
    <t xml:space="preserve">https://instasure.ca/tenant-insurance/ontario/london/</t>
  </si>
  <si>
    <t xml:space="preserve">Tenant Insurance London, ON: Compare Quotes &amp; Costs (2026)</t>
  </si>
  <si>
    <t xml:space="preserve">Compare tenant insurance in London, ON: instant estimate ($20.00–$33.00/mo example), local risk factors and advisors licensed in Ontario.</t>
  </si>
  <si>
    <t xml:space="preserve">Tenant Insurance in London, ON</t>
  </si>
  <si>
    <t xml:space="preserve">tenant insurance london ontario</t>
  </si>
  <si>
    <t xml:space="preserve">P0701</t>
  </si>
  <si>
    <t xml:space="preserve">https://instasure.ca/tenant-insurance/ontario/markham/</t>
  </si>
  <si>
    <t xml:space="preserve">Tenant Insurance Markham, ON: Compare Quotes &amp; Costs (2026)</t>
  </si>
  <si>
    <t xml:space="preserve">Compare tenant insurance in Markham, ON: instant estimate ($20.00–$33.00/mo example), local risk factors and advisors licensed in Ontario.</t>
  </si>
  <si>
    <t xml:space="preserve">Tenant Insurance in Markham, ON</t>
  </si>
  <si>
    <t xml:space="preserve">tenant insurance markham</t>
  </si>
  <si>
    <t xml:space="preserve">P0702</t>
  </si>
  <si>
    <t xml:space="preserve">https://instasure.ca/tenant-insurance/ontario/milton/</t>
  </si>
  <si>
    <t xml:space="preserve">Tenant Insurance Milton, ON: Compare Quotes &amp; Costs (2026)</t>
  </si>
  <si>
    <t xml:space="preserve">Compare tenant insurance in Milton, ON: instant estimate ($20.00–$33.00/mo example), local risk factors and advisors licensed in Ontario.</t>
  </si>
  <si>
    <t xml:space="preserve">Tenant Insurance in Milton, ON</t>
  </si>
  <si>
    <t xml:space="preserve">tenant insurance milton</t>
  </si>
  <si>
    <t xml:space="preserve">P0703</t>
  </si>
  <si>
    <t xml:space="preserve">https://instasure.ca/tenant-insurance/ontario/mississauga/</t>
  </si>
  <si>
    <t xml:space="preserve">Tenant Insurance Mississauga, ON: Compare Quotes &amp; Costs (2026)</t>
  </si>
  <si>
    <t xml:space="preserve">Compare tenant insurance in Mississauga, ON: instant estimate ($20.00–$33.00/mo example), local risk factors and advisors licensed in Ontario.</t>
  </si>
  <si>
    <t xml:space="preserve">Tenant Insurance in Mississauga, ON</t>
  </si>
  <si>
    <t xml:space="preserve">tenant insurance mississauga</t>
  </si>
  <si>
    <t xml:space="preserve">P0704</t>
  </si>
  <si>
    <t xml:space="preserve">https://instasure.ca/tenant-insurance/ontario/oakville/</t>
  </si>
  <si>
    <t xml:space="preserve">Tenant Insurance Oakville, ON: Compare Quotes &amp; Costs (2026)</t>
  </si>
  <si>
    <t xml:space="preserve">Compare tenant insurance in Oakville, ON: instant estimate ($20.00–$33.00/mo example), local risk factors and advisors licensed in Ontario.</t>
  </si>
  <si>
    <t xml:space="preserve">Tenant Insurance in Oakville, ON</t>
  </si>
  <si>
    <t xml:space="preserve">tenant insurance oakville</t>
  </si>
  <si>
    <t xml:space="preserve">P0705</t>
  </si>
  <si>
    <t xml:space="preserve">https://instasure.ca/tenant-insurance/ontario/oshawa/</t>
  </si>
  <si>
    <t xml:space="preserve">Tenant Insurance Oshawa, ON: Compare Quotes &amp; Costs (2026)</t>
  </si>
  <si>
    <t xml:space="preserve">Compare tenant insurance in Oshawa, ON: instant estimate ($20.00–$33.00/mo example), local risk factors and advisors licensed in Ontario.</t>
  </si>
  <si>
    <t xml:space="preserve">Tenant Insurance in Oshawa, ON</t>
  </si>
  <si>
    <t xml:space="preserve">tenant insurance oshawa</t>
  </si>
  <si>
    <t xml:space="preserve">P0706</t>
  </si>
  <si>
    <t xml:space="preserve">https://instasure.ca/tenant-insurance/ontario/ottawa/</t>
  </si>
  <si>
    <t xml:space="preserve">Tenant Insurance Ottawa, ON: Compare Quotes &amp; Costs (2026)</t>
  </si>
  <si>
    <t xml:space="preserve">Compare tenant insurance in Ottawa, ON: instant estimate ($20.00–$33.00/mo example), local risk factors and advisors licensed in Ontario.</t>
  </si>
  <si>
    <t xml:space="preserve">Tenant Insurance in Ottawa, ON</t>
  </si>
  <si>
    <t xml:space="preserve">tenant insurance ottawa</t>
  </si>
  <si>
    <t xml:space="preserve">P0707</t>
  </si>
  <si>
    <t xml:space="preserve">https://instasure.ca/tenant-insurance/ontario/pickering/</t>
  </si>
  <si>
    <t xml:space="preserve">Tenant Insurance Pickering, ON: Compare Quotes &amp; Costs (2026)</t>
  </si>
  <si>
    <t xml:space="preserve">Compare tenant insurance in Pickering, ON: instant estimate ($20.00–$33.00/mo example), local risk factors and advisors licensed in Ontario.</t>
  </si>
  <si>
    <t xml:space="preserve">Tenant Insurance in Pickering, ON</t>
  </si>
  <si>
    <t xml:space="preserve">tenant insurance pickering</t>
  </si>
  <si>
    <t xml:space="preserve">P0708</t>
  </si>
  <si>
    <t xml:space="preserve">https://instasure.ca/tenant-insurance/ontario/richmond-hill/</t>
  </si>
  <si>
    <t xml:space="preserve">Tenant Insurance Richmond Hill, ON: Compare Quotes &amp; Costs (2026)</t>
  </si>
  <si>
    <t xml:space="preserve">Compare tenant insurance in Richmond Hill, ON: instant estimate ($20.00–$33.00/mo example), local risk factors and advisors licensed in Ontario.</t>
  </si>
  <si>
    <t xml:space="preserve">Tenant Insurance in Richmond Hill, ON</t>
  </si>
  <si>
    <t xml:space="preserve">tenant insurance richmond hill</t>
  </si>
  <si>
    <t xml:space="preserve">P0709</t>
  </si>
  <si>
    <t xml:space="preserve">https://instasure.ca/tenant-insurance/ontario/st-catharines/</t>
  </si>
  <si>
    <t xml:space="preserve">Tenant Insurance St. Catharines, ON: Compare Quotes &amp; Costs (2026)</t>
  </si>
  <si>
    <t xml:space="preserve">Compare tenant insurance in St. Catharines, ON: instant estimate ($20.00–$33.00/mo example), local risk factors and advisors licensed in Ontario.</t>
  </si>
  <si>
    <t xml:space="preserve">Tenant Insurance in St. Catharines, ON</t>
  </si>
  <si>
    <t xml:space="preserve">tenant insurance st catharines</t>
  </si>
  <si>
    <t xml:space="preserve">P0710</t>
  </si>
  <si>
    <t xml:space="preserve">https://instasure.ca/tenant-insurance/ontario/sudbury/</t>
  </si>
  <si>
    <t xml:space="preserve">Tenant Insurance Sudbury, ON: Compare Quotes &amp; Costs (2026)</t>
  </si>
  <si>
    <t xml:space="preserve">Compare tenant insurance in Sudbury, ON: instant estimate ($20.00–$33.00/mo example), local risk factors and advisors licensed in Ontario.</t>
  </si>
  <si>
    <t xml:space="preserve">Tenant Insurance in Sudbury, ON</t>
  </si>
  <si>
    <t xml:space="preserve">tenant insurance sudbury</t>
  </si>
  <si>
    <t xml:space="preserve">P0711</t>
  </si>
  <si>
    <t xml:space="preserve">https://instasure.ca/tenant-insurance/ontario/thunder-bay/</t>
  </si>
  <si>
    <t xml:space="preserve">Tenant Insurance Thunder Bay, ON: Compare Quotes &amp; Costs (2026)</t>
  </si>
  <si>
    <t xml:space="preserve">Compare tenant insurance in Thunder Bay, ON: instant estimate ($20.00–$33.00/mo example), local risk factors and advisors licensed in Ontario.</t>
  </si>
  <si>
    <t xml:space="preserve">Tenant Insurance in Thunder Bay, ON</t>
  </si>
  <si>
    <t xml:space="preserve">tenant insurance thunder bay</t>
  </si>
  <si>
    <t xml:space="preserve">P0712</t>
  </si>
  <si>
    <t xml:space="preserve">https://instasure.ca/tenant-insurance/ontario/toronto/</t>
  </si>
  <si>
    <t xml:space="preserve">Tenant Insurance Toronto, ON: Compare Quotes &amp; Costs (2026)</t>
  </si>
  <si>
    <t xml:space="preserve">Compare tenant insurance in Toronto, ON: instant estimate ($21.00–$34.00/mo example), local risk factors and advisors licensed in Ontario.</t>
  </si>
  <si>
    <t xml:space="preserve">Tenant Insurance in Toronto, ON</t>
  </si>
  <si>
    <t xml:space="preserve">tenant insurance toronto</t>
  </si>
  <si>
    <t xml:space="preserve">P0713</t>
  </si>
  <si>
    <t xml:space="preserve">https://instasure.ca/tenant-insurance/ontario/vaughan/</t>
  </si>
  <si>
    <t xml:space="preserve">Tenant Insurance Vaughan, ON: Compare Quotes &amp; Costs (2026)</t>
  </si>
  <si>
    <t xml:space="preserve">Compare tenant insurance in Vaughan, ON: instant estimate ($20.00–$33.00/mo example), local risk factors and advisors licensed in Ontario.</t>
  </si>
  <si>
    <t xml:space="preserve">Tenant Insurance in Vaughan, ON</t>
  </si>
  <si>
    <t xml:space="preserve">tenant insurance vaughan</t>
  </si>
  <si>
    <t xml:space="preserve">P0714</t>
  </si>
  <si>
    <t xml:space="preserve">https://instasure.ca/tenant-insurance/ontario/waterloo/</t>
  </si>
  <si>
    <t xml:space="preserve">Tenant Insurance Waterloo, ON: Compare Quotes &amp; Costs (2026)</t>
  </si>
  <si>
    <t xml:space="preserve">Compare tenant insurance in Waterloo, ON: instant estimate ($20.00–$33.00/mo example), local risk factors and advisors licensed in Ontario.</t>
  </si>
  <si>
    <t xml:space="preserve">Tenant Insurance in Waterloo, ON</t>
  </si>
  <si>
    <t xml:space="preserve">tenant insurance waterloo</t>
  </si>
  <si>
    <t xml:space="preserve">P0715</t>
  </si>
  <si>
    <t xml:space="preserve">https://instasure.ca/tenant-insurance/ontario/whitby/</t>
  </si>
  <si>
    <t xml:space="preserve">Tenant Insurance Whitby, ON: Compare Quotes &amp; Costs (2026)</t>
  </si>
  <si>
    <t xml:space="preserve">Compare tenant insurance in Whitby, ON: instant estimate ($20.00–$33.00/mo example), local risk factors and advisors licensed in Ontario.</t>
  </si>
  <si>
    <t xml:space="preserve">Tenant Insurance in Whitby, ON</t>
  </si>
  <si>
    <t xml:space="preserve">tenant insurance whitby</t>
  </si>
  <si>
    <t xml:space="preserve">P0716</t>
  </si>
  <si>
    <t xml:space="preserve">https://instasure.ca/tenant-insurance/ontario/windsor/</t>
  </si>
  <si>
    <t xml:space="preserve">Tenant Insurance Windsor, ON: Compare Quotes &amp; Costs (2026)</t>
  </si>
  <si>
    <t xml:space="preserve">Compare tenant insurance in Windsor, ON: instant estimate ($20.00–$33.00/mo example), local risk factors and advisors licensed in Ontario.</t>
  </si>
  <si>
    <t xml:space="preserve">Tenant Insurance in Windsor, ON</t>
  </si>
  <si>
    <t xml:space="preserve">tenant insurance windsor</t>
  </si>
  <si>
    <t xml:space="preserve">P0717</t>
  </si>
  <si>
    <t xml:space="preserve">https://instasure.ca/tenant-insurance/prince-edward-island/charlottetown/</t>
  </si>
  <si>
    <t xml:space="preserve">Tenant Insurance Charlottetown, PE: Compare Quotes &amp; Costs (2026)</t>
  </si>
  <si>
    <t xml:space="preserve">Compare tenant insurance in Charlottetown, PE: instant estimate ($16.00–$25.00/mo example), local risk factors and advisors licensed in Prince Edward Island.</t>
  </si>
  <si>
    <t xml:space="preserve">Tenant Insurance in Charlottetown, PE</t>
  </si>
  <si>
    <t xml:space="preserve">tenant insurance charlottetown</t>
  </si>
  <si>
    <t xml:space="preserve">P0718</t>
  </si>
  <si>
    <t xml:space="preserve">https://instasure.ca/tenant-insurance/quebec/gatineau/</t>
  </si>
  <si>
    <t xml:space="preserve">Tenant Insurance Gatineau, QC: Compare Quotes &amp; Costs (2026)</t>
  </si>
  <si>
    <t xml:space="preserve">Compare tenant insurance in Gatineau, QC: instant estimate ($16.00–$26.00/mo example), local risk factors and a waitlist for licensed advice in Quebec.</t>
  </si>
  <si>
    <t xml:space="preserve">Tenant Insurance in Gatineau, QC</t>
  </si>
  <si>
    <t xml:space="preserve">tenant insurance gatineau</t>
  </si>
  <si>
    <t xml:space="preserve">P0719</t>
  </si>
  <si>
    <t xml:space="preserve">https://instasure.ca/tenant-insurance/quebec/laval/</t>
  </si>
  <si>
    <t xml:space="preserve">Tenant Insurance Laval, QC: Compare Quotes &amp; Costs (2026)</t>
  </si>
  <si>
    <t xml:space="preserve">Compare tenant insurance in Laval, QC: instant estimate ($16.00–$26.00/mo example), local risk factors and a waitlist for licensed advice in Quebec.</t>
  </si>
  <si>
    <t xml:space="preserve">Tenant Insurance in Laval, QC</t>
  </si>
  <si>
    <t xml:space="preserve">tenant insurance laval</t>
  </si>
  <si>
    <t xml:space="preserve">P0720</t>
  </si>
  <si>
    <t xml:space="preserve">https://instasure.ca/tenant-insurance/quebec/longueuil/</t>
  </si>
  <si>
    <t xml:space="preserve">Tenant Insurance Longueuil, QC: Compare Quotes &amp; Costs (2026)</t>
  </si>
  <si>
    <t xml:space="preserve">Compare tenant insurance in Longueuil, QC: instant estimate ($16.00–$25.00/mo example), local risk factors and a waitlist for licensed advice in Quebec.</t>
  </si>
  <si>
    <t xml:space="preserve">Tenant Insurance in Longueuil, QC</t>
  </si>
  <si>
    <t xml:space="preserve">tenant insurance longueuil</t>
  </si>
  <si>
    <t xml:space="preserve">P0721</t>
  </si>
  <si>
    <t xml:space="preserve">https://instasure.ca/tenant-insurance/quebec/montreal/</t>
  </si>
  <si>
    <t xml:space="preserve">Tenant Insurance Montreal, QC: Compare Quotes &amp; Costs (2026)</t>
  </si>
  <si>
    <t xml:space="preserve">Compare tenant insurance in Montreal, QC: instant estimate ($16.00–$25.00/mo example), local risk factors and a waitlist for licensed advice in Quebec.</t>
  </si>
  <si>
    <t xml:space="preserve">Tenant Insurance in Montreal, QC</t>
  </si>
  <si>
    <t xml:space="preserve">tenant insurance montreal</t>
  </si>
  <si>
    <t xml:space="preserve">P0722</t>
  </si>
  <si>
    <t xml:space="preserve">https://instasure.ca/tenant-insurance/quebec/quebec-city/</t>
  </si>
  <si>
    <t xml:space="preserve">Tenant Insurance Quebec City, QC: Compare Quotes &amp; Costs (2026)</t>
  </si>
  <si>
    <t xml:space="preserve">Compare tenant insurance in Quebec City, QC: instant estimate ($16.00–$25.00/mo example), local risk factors and a waitlist for licensed advice in Quebec.</t>
  </si>
  <si>
    <t xml:space="preserve">Tenant Insurance in Quebec City, QC</t>
  </si>
  <si>
    <t xml:space="preserve">tenant insurance quebec city</t>
  </si>
  <si>
    <t xml:space="preserve">P0723</t>
  </si>
  <si>
    <t xml:space="preserve">https://instasure.ca/tenant-insurance/quebec/sherbrooke/</t>
  </si>
  <si>
    <t xml:space="preserve">Tenant Insurance Sherbrooke, QC: Compare Quotes &amp; Costs (2026)</t>
  </si>
  <si>
    <t xml:space="preserve">Compare tenant insurance in Sherbrooke, QC: instant estimate ($16.00–$25.00/mo example), local risk factors and a waitlist for licensed advice in Quebec.</t>
  </si>
  <si>
    <t xml:space="preserve">Tenant Insurance in Sherbrooke, QC</t>
  </si>
  <si>
    <t xml:space="preserve">tenant insurance sherbrooke</t>
  </si>
  <si>
    <t xml:space="preserve">P0724</t>
  </si>
  <si>
    <t xml:space="preserve">https://instasure.ca/tenant-insurance/saskatchewan/regina/</t>
  </si>
  <si>
    <t xml:space="preserve">Tenant Insurance Regina, SK: Compare Quotes &amp; Costs (2026)</t>
  </si>
  <si>
    <t xml:space="preserve">Compare tenant insurance in Regina, SK: instant estimate ($18.00–$29.00/mo example), local risk factors and advisors licensed in Saskatchewan.</t>
  </si>
  <si>
    <t xml:space="preserve">Tenant Insurance in Regina, SK</t>
  </si>
  <si>
    <t xml:space="preserve">tenant insurance regina</t>
  </si>
  <si>
    <t xml:space="preserve">P0725</t>
  </si>
  <si>
    <t xml:space="preserve">https://instasure.ca/tenant-insurance/saskatchewan/saskatoon/</t>
  </si>
  <si>
    <t xml:space="preserve">Tenant Insurance Saskatoon, SK: Compare Quotes &amp; Costs (2026)</t>
  </si>
  <si>
    <t xml:space="preserve">Compare tenant insurance in Saskatoon, SK: instant estimate ($18.00–$29.00/mo example), local risk factors and advisors licensed in Saskatchewan.</t>
  </si>
  <si>
    <t xml:space="preserve">Tenant Insurance in Saskatoon, SK</t>
  </si>
  <si>
    <t xml:space="preserve">tenant insurance saskatoon</t>
  </si>
  <si>
    <t xml:space="preserve">P0726</t>
  </si>
  <si>
    <t xml:space="preserve">https://instasure.ca/tenant-insurance/yukon/whitehorse/</t>
  </si>
  <si>
    <t xml:space="preserve">Tenant Insurance Whitehorse, YT: Compare Quotes &amp; Costs (2026)</t>
  </si>
  <si>
    <t xml:space="preserve">Compare tenant insurance in Whitehorse, YT: instant estimate ($22.00–$35.00/mo example), local risk factors and a waitlist for licensed advice in Yukon.</t>
  </si>
  <si>
    <t xml:space="preserve">Tenant Insurance in Whitehorse, YT</t>
  </si>
  <si>
    <t xml:space="preserve">tenant insurance whitehorse</t>
  </si>
  <si>
    <t xml:space="preserve">P0727</t>
  </si>
  <si>
    <t xml:space="preserve">https://instasure.ca/insurance/alberta/</t>
  </si>
  <si>
    <t xml:space="preserve">Place hub</t>
  </si>
  <si>
    <t xml:space="preserve">Insurance in Alberta: Life, Home, Car &amp; Business Coverage</t>
  </si>
  <si>
    <t xml:space="preserve">How insurance works in Alberta: private insurers with a government rate cap, regulator (Superintendent of Insurance), local risks and licensed advisors. Get…</t>
  </si>
  <si>
    <t xml:space="preserve">Insurance in Alberta</t>
  </si>
  <si>
    <t xml:space="preserve">insurance alberta</t>
  </si>
  <si>
    <t xml:space="preserve">sitemap-places.xml</t>
  </si>
  <si>
    <t xml:space="preserve">P0728</t>
  </si>
  <si>
    <t xml:space="preserve">https://instasure.ca/insurance/alberta/airdrie/</t>
  </si>
  <si>
    <t xml:space="preserve">Insurance in Airdrie, AB: Compare Quotes &amp; Licensed Advisors</t>
  </si>
  <si>
    <t xml:space="preserve">Insurance in Airdrie: instant estimates for car, home, tenant, life and business coverage, local risk factors, and advisors licensed in Alberta.</t>
  </si>
  <si>
    <t xml:space="preserve">Insurance in Airdrie, AB</t>
  </si>
  <si>
    <t xml:space="preserve">insurance airdrie</t>
  </si>
  <si>
    <t xml:space="preserve">P0729</t>
  </si>
  <si>
    <t xml:space="preserve">https://instasure.ca/insurance/alberta/calgary/</t>
  </si>
  <si>
    <t xml:space="preserve">Insurance in Calgary, AB: Compare Quotes &amp; Licensed Advisors</t>
  </si>
  <si>
    <t xml:space="preserve">Insurance in Calgary: instant estimates for car, home, tenant, life and business coverage, local risk factors, and advisors licensed in Alberta.</t>
  </si>
  <si>
    <t xml:space="preserve">Insurance in Calgary, AB</t>
  </si>
  <si>
    <t xml:space="preserve">insurance advisor calgary</t>
  </si>
  <si>
    <t xml:space="preserve">P0730</t>
  </si>
  <si>
    <t xml:space="preserve">https://instasure.ca/insurance/alberta/edmonton/</t>
  </si>
  <si>
    <t xml:space="preserve">Insurance in Edmonton, AB: Compare Quotes &amp; Licensed Advisors</t>
  </si>
  <si>
    <t xml:space="preserve">Insurance in Edmonton: instant estimates for car, home, tenant, life and business coverage, local risk factors, and advisors licensed in Alberta.</t>
  </si>
  <si>
    <t xml:space="preserve">Insurance in Edmonton, AB</t>
  </si>
  <si>
    <t xml:space="preserve">insurance advisor edmonton</t>
  </si>
  <si>
    <t xml:space="preserve">P0731</t>
  </si>
  <si>
    <t xml:space="preserve">https://instasure.ca/insurance/alberta/lethbridge/</t>
  </si>
  <si>
    <t xml:space="preserve">Insurance in Lethbridge, AB: Compare Quotes &amp; Licensed Advisors</t>
  </si>
  <si>
    <t xml:space="preserve">Insurance in Lethbridge: instant estimates for car, home, tenant, life and business coverage, local risk factors, and advisors licensed in Alberta.</t>
  </si>
  <si>
    <t xml:space="preserve">Insurance in Lethbridge, AB</t>
  </si>
  <si>
    <t xml:space="preserve">insurance lethbridge</t>
  </si>
  <si>
    <t xml:space="preserve">P0732</t>
  </si>
  <si>
    <t xml:space="preserve">https://instasure.ca/insurance/alberta/red-deer/</t>
  </si>
  <si>
    <t xml:space="preserve">Insurance in Red Deer, AB: Compare Quotes &amp; Licensed Advisors</t>
  </si>
  <si>
    <t xml:space="preserve">Insurance in Red Deer: instant estimates for car, home, tenant, life and business coverage, local risk factors, and advisors licensed in Alberta.</t>
  </si>
  <si>
    <t xml:space="preserve">Insurance in Red Deer, AB</t>
  </si>
  <si>
    <t xml:space="preserve">insurance red deer</t>
  </si>
  <si>
    <t xml:space="preserve">P0733</t>
  </si>
  <si>
    <t xml:space="preserve">https://instasure.ca/insurance/british-columbia/</t>
  </si>
  <si>
    <t xml:space="preserve">Insurance in British Columbia: Life, Home, Car &amp; Business Coverage</t>
  </si>
  <si>
    <t xml:space="preserve">How insurance works in British Columbia: icbc basic is mandatory; optional coverage from icbc or private insurers, regulator (BCFSA), local risks and licensed…</t>
  </si>
  <si>
    <t xml:space="preserve">Insurance in British Columbia</t>
  </si>
  <si>
    <t xml:space="preserve">insurance british columbia</t>
  </si>
  <si>
    <t xml:space="preserve">P0734</t>
  </si>
  <si>
    <t xml:space="preserve">https://instasure.ca/insurance/british-columbia/abbotsford/</t>
  </si>
  <si>
    <t xml:space="preserve">Insurance in Abbotsford, BC: Compare Quotes &amp; Licensed Advisors</t>
  </si>
  <si>
    <t xml:space="preserve">Insurance in Abbotsford: instant estimates for car, home, tenant, life and business coverage, local risk factors, and advisors licensed in British Columbia.</t>
  </si>
  <si>
    <t xml:space="preserve">Insurance in Abbotsford, BC</t>
  </si>
  <si>
    <t xml:space="preserve">insurance abbotsford</t>
  </si>
  <si>
    <t xml:space="preserve">P0735</t>
  </si>
  <si>
    <t xml:space="preserve">https://instasure.ca/insurance/british-columbia/burnaby/</t>
  </si>
  <si>
    <t xml:space="preserve">Insurance in Burnaby, BC: Compare Quotes &amp; Licensed Advisors</t>
  </si>
  <si>
    <t xml:space="preserve">Insurance in Burnaby: instant estimates for car, home, tenant, life and business coverage, local risk factors, and advisors licensed in British Columbia.</t>
  </si>
  <si>
    <t xml:space="preserve">Insurance in Burnaby, BC</t>
  </si>
  <si>
    <t xml:space="preserve">insurance advisor burnaby</t>
  </si>
  <si>
    <t xml:space="preserve">P0736</t>
  </si>
  <si>
    <t xml:space="preserve">https://instasure.ca/insurance/british-columbia/coquitlam/</t>
  </si>
  <si>
    <t xml:space="preserve">Insurance in Coquitlam, BC: Compare Quotes &amp; Licensed Advisors</t>
  </si>
  <si>
    <t xml:space="preserve">Insurance in Coquitlam: instant estimates for car, home, tenant, life and business coverage, local risk factors, and advisors licensed in British Columbia.</t>
  </si>
  <si>
    <t xml:space="preserve">Insurance in Coquitlam, BC</t>
  </si>
  <si>
    <t xml:space="preserve">insurance coquitlam</t>
  </si>
  <si>
    <t xml:space="preserve">P0737</t>
  </si>
  <si>
    <t xml:space="preserve">https://instasure.ca/insurance/british-columbia/kelowna/</t>
  </si>
  <si>
    <t xml:space="preserve">Insurance in Kelowna, BC: Compare Quotes &amp; Licensed Advisors</t>
  </si>
  <si>
    <t xml:space="preserve">Insurance in Kelowna: instant estimates for car, home, tenant, life and business coverage, local risk factors, and advisors licensed in British Columbia.</t>
  </si>
  <si>
    <t xml:space="preserve">Insurance in Kelowna, BC</t>
  </si>
  <si>
    <t xml:space="preserve">insurance advisor kelowna</t>
  </si>
  <si>
    <t xml:space="preserve">P0738</t>
  </si>
  <si>
    <t xml:space="preserve">https://instasure.ca/insurance/british-columbia/langley/</t>
  </si>
  <si>
    <t xml:space="preserve">Insurance in Langley, BC: Compare Quotes &amp; Licensed Advisors</t>
  </si>
  <si>
    <t xml:space="preserve">Insurance in Langley: instant estimates for car, home, tenant, life and business coverage, local risk factors, and advisors licensed in British Columbia.</t>
  </si>
  <si>
    <t xml:space="preserve">Insurance in Langley, BC</t>
  </si>
  <si>
    <t xml:space="preserve">insurance langley</t>
  </si>
  <si>
    <t xml:space="preserve">P0739</t>
  </si>
  <si>
    <t xml:space="preserve">https://instasure.ca/insurance/british-columbia/richmond/</t>
  </si>
  <si>
    <t xml:space="preserve">Insurance in Richmond, BC: Compare Quotes &amp; Licensed Advisors</t>
  </si>
  <si>
    <t xml:space="preserve">Insurance in Richmond: instant estimates for car, home, tenant, life and business coverage, local risk factors, and advisors licensed in British Columbia.</t>
  </si>
  <si>
    <t xml:space="preserve">Insurance in Richmond, BC</t>
  </si>
  <si>
    <t xml:space="preserve">insurance richmond</t>
  </si>
  <si>
    <t xml:space="preserve">P0740</t>
  </si>
  <si>
    <t xml:space="preserve">https://instasure.ca/insurance/british-columbia/surrey/</t>
  </si>
  <si>
    <t xml:space="preserve">Insurance in Surrey, BC: Compare Quotes &amp; Licensed Advisors</t>
  </si>
  <si>
    <t xml:space="preserve">Insurance in Surrey: instant estimates for car, home, tenant, life and business coverage, local risk factors, and advisors licensed in British Columbia.</t>
  </si>
  <si>
    <t xml:space="preserve">Insurance in Surrey, BC</t>
  </si>
  <si>
    <t xml:space="preserve">insurance advisor surrey</t>
  </si>
  <si>
    <t xml:space="preserve">P0741</t>
  </si>
  <si>
    <t xml:space="preserve">https://instasure.ca/insurance/british-columbia/vancouver/</t>
  </si>
  <si>
    <t xml:space="preserve">Insurance in Vancouver, BC: Compare Quotes &amp; Licensed Advisors</t>
  </si>
  <si>
    <t xml:space="preserve">Insurance in Vancouver: instant estimates for car, home, tenant, life and business coverage, local risk factors, and advisors licensed in British Columbia.</t>
  </si>
  <si>
    <t xml:space="preserve">Insurance in Vancouver, BC</t>
  </si>
  <si>
    <t xml:space="preserve">insurance advisor vancouver</t>
  </si>
  <si>
    <t xml:space="preserve">P0742</t>
  </si>
  <si>
    <t xml:space="preserve">https://instasure.ca/insurance/british-columbia/victoria/</t>
  </si>
  <si>
    <t xml:space="preserve">Insurance in Victoria, BC: Compare Quotes &amp; Licensed Advisors</t>
  </si>
  <si>
    <t xml:space="preserve">Insurance in Victoria: instant estimates for car, home, tenant, life and business coverage, local risk factors, and advisors licensed in British Columbia.</t>
  </si>
  <si>
    <t xml:space="preserve">Insurance in Victoria, BC</t>
  </si>
  <si>
    <t xml:space="preserve">insurance advisor victoria</t>
  </si>
  <si>
    <t xml:space="preserve">P0743</t>
  </si>
  <si>
    <t xml:space="preserve">https://instasure.ca/insurance/manitoba/</t>
  </si>
  <si>
    <t xml:space="preserve">Insurance in Manitoba: Life, Home, Car &amp; Business Coverage</t>
  </si>
  <si>
    <t xml:space="preserve">How insurance works in Manitoba: manitoba public insurance (mpi) provides basic autopac, regulator (FIRB), local risks and licensed advisors. Get instant estimates…</t>
  </si>
  <si>
    <t xml:space="preserve">Insurance in Manitoba</t>
  </si>
  <si>
    <t xml:space="preserve">insurance manitoba</t>
  </si>
  <si>
    <t xml:space="preserve">P0744</t>
  </si>
  <si>
    <t xml:space="preserve">https://instasure.ca/insurance/manitoba/brandon/</t>
  </si>
  <si>
    <t xml:space="preserve">Insurance in Brandon, MB: Compare Quotes &amp; Licensed Advisors</t>
  </si>
  <si>
    <t xml:space="preserve">Insurance in Brandon: instant estimates for car, home, tenant, life and business coverage, local risk factors, and advisors licensed in Manitoba.</t>
  </si>
  <si>
    <t xml:space="preserve">Insurance in Brandon, MB</t>
  </si>
  <si>
    <t xml:space="preserve">insurance brandon</t>
  </si>
  <si>
    <t xml:space="preserve">P0745</t>
  </si>
  <si>
    <t xml:space="preserve">https://instasure.ca/insurance/manitoba/winnipeg/</t>
  </si>
  <si>
    <t xml:space="preserve">Insurance in Winnipeg, MB: Compare Quotes &amp; Licensed Advisors</t>
  </si>
  <si>
    <t xml:space="preserve">Insurance in Winnipeg: instant estimates for car, home, tenant, life and business coverage, local risk factors, and advisors licensed in Manitoba.</t>
  </si>
  <si>
    <t xml:space="preserve">Insurance in Winnipeg, MB</t>
  </si>
  <si>
    <t xml:space="preserve">insurance advisor winnipeg</t>
  </si>
  <si>
    <t xml:space="preserve">P0746</t>
  </si>
  <si>
    <t xml:space="preserve">https://instasure.ca/insurance/new-brunswick/</t>
  </si>
  <si>
    <t xml:space="preserve">Insurance in New Brunswick: Life, Home, Car &amp; Business Coverage</t>
  </si>
  <si>
    <t xml:space="preserve">How insurance works in New Brunswick: private insurers, regulator (FCNB), local risks and licensed advisors. Get instant estimates for every type of coverage.</t>
  </si>
  <si>
    <t xml:space="preserve">Insurance in New Brunswick</t>
  </si>
  <si>
    <t xml:space="preserve">insurance new brunswick</t>
  </si>
  <si>
    <t xml:space="preserve">P0747</t>
  </si>
  <si>
    <t xml:space="preserve">https://instasure.ca/insurance/new-brunswick/fredericton/</t>
  </si>
  <si>
    <t xml:space="preserve">Insurance in Fredericton, NB: Compare Quotes &amp; Licensed Advisors</t>
  </si>
  <si>
    <t xml:space="preserve">Insurance in Fredericton: instant estimates for car, home, tenant, life and business coverage, local risk factors, and advisors licensed in New Brunswick.</t>
  </si>
  <si>
    <t xml:space="preserve">Insurance in Fredericton, NB</t>
  </si>
  <si>
    <t xml:space="preserve">insurance fredericton</t>
  </si>
  <si>
    <t xml:space="preserve">P0748</t>
  </si>
  <si>
    <t xml:space="preserve">https://instasure.ca/insurance/new-brunswick/moncton/</t>
  </si>
  <si>
    <t xml:space="preserve">Insurance in Moncton, NB: Compare Quotes &amp; Licensed Advisors</t>
  </si>
  <si>
    <t xml:space="preserve">Insurance in Moncton: instant estimates for car, home, tenant, life and business coverage, local risk factors, and advisors licensed in New Brunswick.</t>
  </si>
  <si>
    <t xml:space="preserve">Insurance in Moncton, NB</t>
  </si>
  <si>
    <t xml:space="preserve">insurance moncton</t>
  </si>
  <si>
    <t xml:space="preserve">P0749</t>
  </si>
  <si>
    <t xml:space="preserve">https://instasure.ca/insurance/new-brunswick/saint-john/</t>
  </si>
  <si>
    <t xml:space="preserve">Insurance in Saint John, NB: Compare Quotes &amp; Licensed Advisors</t>
  </si>
  <si>
    <t xml:space="preserve">Insurance in Saint John: instant estimates for car, home, tenant, life and business coverage, local risk factors, and advisors licensed in New Brunswick.</t>
  </si>
  <si>
    <t xml:space="preserve">Insurance in Saint John, NB</t>
  </si>
  <si>
    <t xml:space="preserve">insurance saint john</t>
  </si>
  <si>
    <t xml:space="preserve">P0750</t>
  </si>
  <si>
    <t xml:space="preserve">https://instasure.ca/insurance/newfoundland-and-labrador/</t>
  </si>
  <si>
    <t xml:space="preserve">Insurance in Newfoundland and Labrador: Life, Home, Car &amp; Business Coverage</t>
  </si>
  <si>
    <t xml:space="preserve">How insurance works in Newfoundland and Labrador: private insurers, regulator (Service NL), local risks and licensed advisors. Get instant estimates for every type…</t>
  </si>
  <si>
    <t xml:space="preserve">Insurance in Newfoundland and Labrador</t>
  </si>
  <si>
    <t xml:space="preserve">insurance newfoundland and labrador</t>
  </si>
  <si>
    <t xml:space="preserve">P0751</t>
  </si>
  <si>
    <t xml:space="preserve">https://instasure.ca/insurance/newfoundland-and-labrador/st-johns/</t>
  </si>
  <si>
    <t xml:space="preserve">Insurance in St. John’s, NL: Compare Quotes &amp; Licensed Advisors</t>
  </si>
  <si>
    <t xml:space="preserve">Insurance in St. John’s: instant estimates for car, home, tenant, life and business coverage, local risk factors, and advisors licensed in Newfoundland and Labrador.</t>
  </si>
  <si>
    <t xml:space="preserve">Insurance in St. John’s, NL</t>
  </si>
  <si>
    <t xml:space="preserve">insurance advisor st johns</t>
  </si>
  <si>
    <t xml:space="preserve">P0752</t>
  </si>
  <si>
    <t xml:space="preserve">https://instasure.ca/insurance/northwest-territories/</t>
  </si>
  <si>
    <t xml:space="preserve">Insurance in Northwest Territories: Life, Home, Car &amp; Business Coverage</t>
  </si>
  <si>
    <t xml:space="preserve">How insurance works in Northwest Territories: private insurers, regulator (NWT Superintendent), local risks and licensed advisors. Get instant estimates for every…</t>
  </si>
  <si>
    <t xml:space="preserve">Insurance in Northwest Territories</t>
  </si>
  <si>
    <t xml:space="preserve">insurance northwest territories</t>
  </si>
  <si>
    <t xml:space="preserve">P0753</t>
  </si>
  <si>
    <t xml:space="preserve">https://instasure.ca/insurance/northwest-territories/yellowknife/</t>
  </si>
  <si>
    <t xml:space="preserve">Insurance in Yellowknife, NT: Compare Quotes &amp; Licensed Advisors</t>
  </si>
  <si>
    <t xml:space="preserve">Insurance in Yellowknife: instant estimates for car, home, tenant, life and business coverage, local risk factors, and advisors licensed in Northwest Territories.</t>
  </si>
  <si>
    <t xml:space="preserve">Insurance in Yellowknife, NT</t>
  </si>
  <si>
    <t xml:space="preserve">insurance yellowknife</t>
  </si>
  <si>
    <t xml:space="preserve">P0754</t>
  </si>
  <si>
    <t xml:space="preserve">https://instasure.ca/insurance/nova-scotia/</t>
  </si>
  <si>
    <t xml:space="preserve">Insurance in Nova Scotia: Life, Home, Car &amp; Business Coverage</t>
  </si>
  <si>
    <t xml:space="preserve">How insurance works in Nova Scotia: private insurers, regulator (NS Superintendent of Insurance), local risks and licensed advisors. Get instant estimates for…</t>
  </si>
  <si>
    <t xml:space="preserve">Insurance in Nova Scotia</t>
  </si>
  <si>
    <t xml:space="preserve">insurance nova scotia</t>
  </si>
  <si>
    <t xml:space="preserve">P0755</t>
  </si>
  <si>
    <t xml:space="preserve">https://instasure.ca/insurance/nova-scotia/halifax/</t>
  </si>
  <si>
    <t xml:space="preserve">Insurance in Halifax, NS: Compare Quotes &amp; Licensed Advisors</t>
  </si>
  <si>
    <t xml:space="preserve">Insurance in Halifax: instant estimates for car, home, tenant, life and business coverage, local risk factors, and advisors licensed in Nova Scotia.</t>
  </si>
  <si>
    <t xml:space="preserve">Insurance in Halifax, NS</t>
  </si>
  <si>
    <t xml:space="preserve">insurance advisor halifax</t>
  </si>
  <si>
    <t xml:space="preserve">P0756</t>
  </si>
  <si>
    <t xml:space="preserve">https://instasure.ca/insurance/nunavut/</t>
  </si>
  <si>
    <t xml:space="preserve">Insurance in Nunavut: Life, Home, Car &amp; Business Coverage</t>
  </si>
  <si>
    <t xml:space="preserve">How insurance works in Nunavut: private insurers, regulator (Nunavut Superintendent), local risks and licensed advisors. Get instant estimates for every type of…</t>
  </si>
  <si>
    <t xml:space="preserve">Insurance in Nunavut</t>
  </si>
  <si>
    <t xml:space="preserve">insurance nunavut</t>
  </si>
  <si>
    <t xml:space="preserve">P0757</t>
  </si>
  <si>
    <t xml:space="preserve">https://instasure.ca/insurance/ontario/</t>
  </si>
  <si>
    <t xml:space="preserve">Insurance in Ontario: Life, Home, Car &amp; Business Coverage</t>
  </si>
  <si>
    <t xml:space="preserve">How insurance works in Ontario: private insurers compete on price, regulator (FSRA), local risks and licensed advisors. Get instant estimates for every type of…</t>
  </si>
  <si>
    <t xml:space="preserve">Insurance in Ontario</t>
  </si>
  <si>
    <t xml:space="preserve">insurance ontario</t>
  </si>
  <si>
    <t xml:space="preserve">P0758</t>
  </si>
  <si>
    <t xml:space="preserve">https://instasure.ca/insurance/ontario/ajax/</t>
  </si>
  <si>
    <t xml:space="preserve">Insurance in Ajax, ON: Compare Quotes &amp; Licensed Advisors</t>
  </si>
  <si>
    <t xml:space="preserve">Insurance in Ajax: instant estimates for car, home, tenant, life and business coverage, local risk factors, and advisors licensed in Ontario.</t>
  </si>
  <si>
    <t xml:space="preserve">Insurance in Ajax, ON</t>
  </si>
  <si>
    <t xml:space="preserve">insurance ajax</t>
  </si>
  <si>
    <t xml:space="preserve">P0759</t>
  </si>
  <si>
    <t xml:space="preserve">https://instasure.ca/insurance/ontario/barrie/</t>
  </si>
  <si>
    <t xml:space="preserve">Insurance in Barrie, ON: Compare Quotes &amp; Licensed Advisors</t>
  </si>
  <si>
    <t xml:space="preserve">Insurance in Barrie: instant estimates for car, home, tenant, life and business coverage, local risk factors, and advisors licensed in Ontario.</t>
  </si>
  <si>
    <t xml:space="preserve">Insurance in Barrie, ON</t>
  </si>
  <si>
    <t xml:space="preserve">insurance barrie</t>
  </si>
  <si>
    <t xml:space="preserve">P0760</t>
  </si>
  <si>
    <t xml:space="preserve">https://instasure.ca/insurance/ontario/brampton/</t>
  </si>
  <si>
    <t xml:space="preserve">Insurance in Brampton, ON: Compare Quotes &amp; Licensed Advisors</t>
  </si>
  <si>
    <t xml:space="preserve">Insurance in Brampton: instant estimates for car, home, tenant, life and business coverage, local risk factors, and advisors licensed in Ontario.</t>
  </si>
  <si>
    <t xml:space="preserve">Insurance in Brampton, ON</t>
  </si>
  <si>
    <t xml:space="preserve">insurance advisor brampton</t>
  </si>
  <si>
    <t xml:space="preserve">P0761</t>
  </si>
  <si>
    <t xml:space="preserve">https://instasure.ca/insurance/ontario/burlington/</t>
  </si>
  <si>
    <t xml:space="preserve">Insurance in Burlington, ON: Compare Quotes &amp; Licensed Advisors</t>
  </si>
  <si>
    <t xml:space="preserve">Insurance in Burlington: instant estimates for car, home, tenant, life and business coverage, local risk factors, and advisors licensed in Ontario.</t>
  </si>
  <si>
    <t xml:space="preserve">Insurance in Burlington, ON</t>
  </si>
  <si>
    <t xml:space="preserve">insurance burlington</t>
  </si>
  <si>
    <t xml:space="preserve">P0762</t>
  </si>
  <si>
    <t xml:space="preserve">https://instasure.ca/insurance/ontario/cambridge/</t>
  </si>
  <si>
    <t xml:space="preserve">Insurance in Cambridge, ON: Compare Quotes &amp; Licensed Advisors</t>
  </si>
  <si>
    <t xml:space="preserve">Insurance in Cambridge: instant estimates for car, home, tenant, life and business coverage, local risk factors, and advisors licensed in Ontario.</t>
  </si>
  <si>
    <t xml:space="preserve">Insurance in Cambridge, ON</t>
  </si>
  <si>
    <t xml:space="preserve">insurance cambridge</t>
  </si>
  <si>
    <t xml:space="preserve">P0763</t>
  </si>
  <si>
    <t xml:space="preserve">https://instasure.ca/insurance/ontario/guelph/</t>
  </si>
  <si>
    <t xml:space="preserve">Insurance in Guelph, ON: Compare Quotes &amp; Licensed Advisors</t>
  </si>
  <si>
    <t xml:space="preserve">Insurance in Guelph: instant estimates for car, home, tenant, life and business coverage, local risk factors, and advisors licensed in Ontario.</t>
  </si>
  <si>
    <t xml:space="preserve">Insurance in Guelph, ON</t>
  </si>
  <si>
    <t xml:space="preserve">insurance guelph</t>
  </si>
  <si>
    <t xml:space="preserve">P0764</t>
  </si>
  <si>
    <t xml:space="preserve">https://instasure.ca/insurance/ontario/hamilton/</t>
  </si>
  <si>
    <t xml:space="preserve">Insurance in Hamilton, ON: Compare Quotes &amp; Licensed Advisors</t>
  </si>
  <si>
    <t xml:space="preserve">Insurance in Hamilton: instant estimates for car, home, tenant, life and business coverage, local risk factors, and advisors licensed in Ontario.</t>
  </si>
  <si>
    <t xml:space="preserve">Insurance in Hamilton, ON</t>
  </si>
  <si>
    <t xml:space="preserve">insurance advisor hamilton</t>
  </si>
  <si>
    <t xml:space="preserve">P0765</t>
  </si>
  <si>
    <t xml:space="preserve">https://instasure.ca/insurance/ontario/kingston/</t>
  </si>
  <si>
    <t xml:space="preserve">Insurance in Kingston, ON: Compare Quotes &amp; Licensed Advisors</t>
  </si>
  <si>
    <t xml:space="preserve">Insurance in Kingston: instant estimates for car, home, tenant, life and business coverage, local risk factors, and advisors licensed in Ontario.</t>
  </si>
  <si>
    <t xml:space="preserve">Insurance in Kingston, ON</t>
  </si>
  <si>
    <t xml:space="preserve">insurance kingston</t>
  </si>
  <si>
    <t xml:space="preserve">P0766</t>
  </si>
  <si>
    <t xml:space="preserve">https://instasure.ca/insurance/ontario/kitchener/</t>
  </si>
  <si>
    <t xml:space="preserve">Insurance in Kitchener, ON: Compare Quotes &amp; Licensed Advisors</t>
  </si>
  <si>
    <t xml:space="preserve">Insurance in Kitchener: instant estimates for car, home, tenant, life and business coverage, local risk factors, and advisors licensed in Ontario.</t>
  </si>
  <si>
    <t xml:space="preserve">Insurance in Kitchener, ON</t>
  </si>
  <si>
    <t xml:space="preserve">insurance advisor kitchener</t>
  </si>
  <si>
    <t xml:space="preserve">P0767</t>
  </si>
  <si>
    <t xml:space="preserve">https://instasure.ca/insurance/ontario/london/</t>
  </si>
  <si>
    <t xml:space="preserve">Insurance in London, ON: Compare Quotes &amp; Licensed Advisors</t>
  </si>
  <si>
    <t xml:space="preserve">Insurance in London: instant estimates for car, home, tenant, life and business coverage, local risk factors, and advisors licensed in Ontario.</t>
  </si>
  <si>
    <t xml:space="preserve">Insurance in London, ON</t>
  </si>
  <si>
    <t xml:space="preserve">insurance advisor london ontario</t>
  </si>
  <si>
    <t xml:space="preserve">P0768</t>
  </si>
  <si>
    <t xml:space="preserve">https://instasure.ca/insurance/ontario/markham/</t>
  </si>
  <si>
    <t xml:space="preserve">Insurance in Markham, ON: Compare Quotes &amp; Licensed Advisors</t>
  </si>
  <si>
    <t xml:space="preserve">Insurance in Markham: instant estimates for car, home, tenant, life and business coverage, local risk factors, and advisors licensed in Ontario.</t>
  </si>
  <si>
    <t xml:space="preserve">Insurance in Markham, ON</t>
  </si>
  <si>
    <t xml:space="preserve">insurance advisor markham</t>
  </si>
  <si>
    <t xml:space="preserve">P0769</t>
  </si>
  <si>
    <t xml:space="preserve">https://instasure.ca/insurance/ontario/milton/</t>
  </si>
  <si>
    <t xml:space="preserve">Insurance in Milton, ON: Compare Quotes &amp; Licensed Advisors</t>
  </si>
  <si>
    <t xml:space="preserve">Insurance in Milton: instant estimates for car, home, tenant, life and business coverage, local risk factors, and advisors licensed in Ontario.</t>
  </si>
  <si>
    <t xml:space="preserve">Insurance in Milton, ON</t>
  </si>
  <si>
    <t xml:space="preserve">insurance milton</t>
  </si>
  <si>
    <t xml:space="preserve">P0770</t>
  </si>
  <si>
    <t xml:space="preserve">https://instasure.ca/insurance/ontario/mississauga/</t>
  </si>
  <si>
    <t xml:space="preserve">Insurance in Mississauga, ON: Compare Quotes &amp; Licensed Advisors</t>
  </si>
  <si>
    <t xml:space="preserve">Insurance in Mississauga: instant estimates for car, home, tenant, life and business coverage, local risk factors, and advisors licensed in Ontario.</t>
  </si>
  <si>
    <t xml:space="preserve">Insurance in Mississauga, ON</t>
  </si>
  <si>
    <t xml:space="preserve">insurance advisor mississauga</t>
  </si>
  <si>
    <t xml:space="preserve">P0771</t>
  </si>
  <si>
    <t xml:space="preserve">https://instasure.ca/insurance/ontario/oakville/</t>
  </si>
  <si>
    <t xml:space="preserve">Insurance in Oakville, ON: Compare Quotes &amp; Licensed Advisors</t>
  </si>
  <si>
    <t xml:space="preserve">Insurance in Oakville: instant estimates for car, home, tenant, life and business coverage, local risk factors, and advisors licensed in Ontario.</t>
  </si>
  <si>
    <t xml:space="preserve">Insurance in Oakville, ON</t>
  </si>
  <si>
    <t xml:space="preserve">insurance oakville</t>
  </si>
  <si>
    <t xml:space="preserve">P0772</t>
  </si>
  <si>
    <t xml:space="preserve">https://instasure.ca/insurance/ontario/oshawa/</t>
  </si>
  <si>
    <t xml:space="preserve">Insurance in Oshawa, ON: Compare Quotes &amp; Licensed Advisors</t>
  </si>
  <si>
    <t xml:space="preserve">Insurance in Oshawa: instant estimates for car, home, tenant, life and business coverage, local risk factors, and advisors licensed in Ontario.</t>
  </si>
  <si>
    <t xml:space="preserve">Insurance in Oshawa, ON</t>
  </si>
  <si>
    <t xml:space="preserve">insurance oshawa</t>
  </si>
  <si>
    <t xml:space="preserve">P0773</t>
  </si>
  <si>
    <t xml:space="preserve">https://instasure.ca/insurance/ontario/ottawa/</t>
  </si>
  <si>
    <t xml:space="preserve">Insurance in Ottawa, ON: Compare Quotes &amp; Licensed Advisors</t>
  </si>
  <si>
    <t xml:space="preserve">Insurance in Ottawa: instant estimates for car, home, tenant, life and business coverage, local risk factors, and advisors licensed in Ontario.</t>
  </si>
  <si>
    <t xml:space="preserve">Insurance in Ottawa, ON</t>
  </si>
  <si>
    <t xml:space="preserve">insurance advisor ottawa</t>
  </si>
  <si>
    <t xml:space="preserve">P0774</t>
  </si>
  <si>
    <t xml:space="preserve">https://instasure.ca/insurance/ontario/pickering/</t>
  </si>
  <si>
    <t xml:space="preserve">Insurance in Pickering, ON: Compare Quotes &amp; Licensed Advisors</t>
  </si>
  <si>
    <t xml:space="preserve">Insurance in Pickering: instant estimates for car, home, tenant, life and business coverage, local risk factors, and advisors licensed in Ontario.</t>
  </si>
  <si>
    <t xml:space="preserve">Insurance in Pickering, ON</t>
  </si>
  <si>
    <t xml:space="preserve">insurance pickering</t>
  </si>
  <si>
    <t xml:space="preserve">P0775</t>
  </si>
  <si>
    <t xml:space="preserve">https://instasure.ca/insurance/ontario/richmond-hill/</t>
  </si>
  <si>
    <t xml:space="preserve">Insurance in Richmond Hill, ON: Compare Quotes &amp; Licensed Advisors</t>
  </si>
  <si>
    <t xml:space="preserve">Insurance in Richmond Hill: instant estimates for car, home, tenant, life and business coverage, local risk factors, and advisors licensed in Ontario.</t>
  </si>
  <si>
    <t xml:space="preserve">Insurance in Richmond Hill, ON</t>
  </si>
  <si>
    <t xml:space="preserve">insurance richmond hill</t>
  </si>
  <si>
    <t xml:space="preserve">P0776</t>
  </si>
  <si>
    <t xml:space="preserve">https://instasure.ca/insurance/ontario/st-catharines/</t>
  </si>
  <si>
    <t xml:space="preserve">Insurance in St. Catharines, ON: Compare Quotes &amp; Licensed Advisors</t>
  </si>
  <si>
    <t xml:space="preserve">Insurance in St. Catharines: instant estimates for car, home, tenant, life and business coverage, local risk factors, and advisors licensed in Ontario.</t>
  </si>
  <si>
    <t xml:space="preserve">Insurance in St. Catharines, ON</t>
  </si>
  <si>
    <t xml:space="preserve">insurance st. catharines</t>
  </si>
  <si>
    <t xml:space="preserve">P0777</t>
  </si>
  <si>
    <t xml:space="preserve">https://instasure.ca/insurance/ontario/sudbury/</t>
  </si>
  <si>
    <t xml:space="preserve">Insurance in Sudbury, ON: Compare Quotes &amp; Licensed Advisors</t>
  </si>
  <si>
    <t xml:space="preserve">Insurance in Sudbury: instant estimates for car, home, tenant, life and business coverage, local risk factors, and advisors licensed in Ontario.</t>
  </si>
  <si>
    <t xml:space="preserve">Insurance in Sudbury, ON</t>
  </si>
  <si>
    <t xml:space="preserve">insurance sudbury</t>
  </si>
  <si>
    <t xml:space="preserve">P0778</t>
  </si>
  <si>
    <t xml:space="preserve">https://instasure.ca/insurance/ontario/thunder-bay/</t>
  </si>
  <si>
    <t xml:space="preserve">Insurance in Thunder Bay, ON: Compare Quotes &amp; Licensed Advisors</t>
  </si>
  <si>
    <t xml:space="preserve">Insurance in Thunder Bay: instant estimates for car, home, tenant, life and business coverage, local risk factors, and advisors licensed in Ontario.</t>
  </si>
  <si>
    <t xml:space="preserve">Insurance in Thunder Bay, ON</t>
  </si>
  <si>
    <t xml:space="preserve">insurance thunder bay</t>
  </si>
  <si>
    <t xml:space="preserve">P0779</t>
  </si>
  <si>
    <t xml:space="preserve">https://instasure.ca/insurance/ontario/toronto/</t>
  </si>
  <si>
    <t xml:space="preserve">Insurance in Toronto, ON: Compare Quotes &amp; Licensed Advisors</t>
  </si>
  <si>
    <t xml:space="preserve">Insurance in Toronto: instant estimates for car, home, tenant, life and business coverage, local risk factors, and advisors licensed in Ontario.</t>
  </si>
  <si>
    <t xml:space="preserve">Insurance in Toronto, ON</t>
  </si>
  <si>
    <t xml:space="preserve">insurance advisor toronto</t>
  </si>
  <si>
    <t xml:space="preserve">P0780</t>
  </si>
  <si>
    <t xml:space="preserve">https://instasure.ca/insurance/ontario/vaughan/</t>
  </si>
  <si>
    <t xml:space="preserve">Insurance in Vaughan, ON: Compare Quotes &amp; Licensed Advisors</t>
  </si>
  <si>
    <t xml:space="preserve">Insurance in Vaughan: instant estimates for car, home, tenant, life and business coverage, local risk factors, and advisors licensed in Ontario.</t>
  </si>
  <si>
    <t xml:space="preserve">Insurance in Vaughan, ON</t>
  </si>
  <si>
    <t xml:space="preserve">insurance advisor vaughan</t>
  </si>
  <si>
    <t xml:space="preserve">P0781</t>
  </si>
  <si>
    <t xml:space="preserve">https://instasure.ca/insurance/ontario/waterloo/</t>
  </si>
  <si>
    <t xml:space="preserve">Insurance in Waterloo, ON: Compare Quotes &amp; Licensed Advisors</t>
  </si>
  <si>
    <t xml:space="preserve">Insurance in Waterloo: instant estimates for car, home, tenant, life and business coverage, local risk factors, and advisors licensed in Ontario.</t>
  </si>
  <si>
    <t xml:space="preserve">Insurance in Waterloo, ON</t>
  </si>
  <si>
    <t xml:space="preserve">insurance waterloo</t>
  </si>
  <si>
    <t xml:space="preserve">P0782</t>
  </si>
  <si>
    <t xml:space="preserve">https://instasure.ca/insurance/ontario/whitby/</t>
  </si>
  <si>
    <t xml:space="preserve">Insurance in Whitby, ON: Compare Quotes &amp; Licensed Advisors</t>
  </si>
  <si>
    <t xml:space="preserve">Insurance in Whitby: instant estimates for car, home, tenant, life and business coverage, local risk factors, and advisors licensed in Ontario.</t>
  </si>
  <si>
    <t xml:space="preserve">Insurance in Whitby, ON</t>
  </si>
  <si>
    <t xml:space="preserve">insurance whitby</t>
  </si>
  <si>
    <t xml:space="preserve">P0783</t>
  </si>
  <si>
    <t xml:space="preserve">https://instasure.ca/insurance/ontario/windsor/</t>
  </si>
  <si>
    <t xml:space="preserve">Insurance in Windsor, ON: Compare Quotes &amp; Licensed Advisors</t>
  </si>
  <si>
    <t xml:space="preserve">Insurance in Windsor: instant estimates for car, home, tenant, life and business coverage, local risk factors, and advisors licensed in Ontario.</t>
  </si>
  <si>
    <t xml:space="preserve">Insurance in Windsor, ON</t>
  </si>
  <si>
    <t xml:space="preserve">insurance advisor windsor</t>
  </si>
  <si>
    <t xml:space="preserve">P0784</t>
  </si>
  <si>
    <t xml:space="preserve">https://instasure.ca/insurance/prince-edward-island/</t>
  </si>
  <si>
    <t xml:space="preserve">Insurance in Prince Edward Island: Life, Home, Car &amp; Business Coverage</t>
  </si>
  <si>
    <t xml:space="preserve">How insurance works in Prince Edward Island: private insurers, regulator (PEI Superintendent), local risks and licensed advisors. Get instant estimates for every…</t>
  </si>
  <si>
    <t xml:space="preserve">Insurance in Prince Edward Island</t>
  </si>
  <si>
    <t xml:space="preserve">insurance prince edward island</t>
  </si>
  <si>
    <t xml:space="preserve">P0785</t>
  </si>
  <si>
    <t xml:space="preserve">https://instasure.ca/insurance/prince-edward-island/charlottetown/</t>
  </si>
  <si>
    <t xml:space="preserve">Insurance in Charlottetown, PE: Compare Quotes &amp; Licensed Advisors</t>
  </si>
  <si>
    <t xml:space="preserve">Insurance in Charlottetown: instant estimates for car, home, tenant, life and business coverage, local risk factors, and advisors licensed in Prince Edward Island.</t>
  </si>
  <si>
    <t xml:space="preserve">Insurance in Charlottetown, PE</t>
  </si>
  <si>
    <t xml:space="preserve">insurance charlottetown</t>
  </si>
  <si>
    <t xml:space="preserve">P0786</t>
  </si>
  <si>
    <t xml:space="preserve">https://instasure.ca/insurance/quebec/</t>
  </si>
  <si>
    <t xml:space="preserve">Insurance in Quebec: Life, Home, Car &amp; Business Coverage</t>
  </si>
  <si>
    <t xml:space="preserve">How insurance works in Quebec: saaq covers bodily injury; private insurers cover property damage, regulator (AMF), local risks and licensed advisors. Get instant…</t>
  </si>
  <si>
    <t xml:space="preserve">Insurance in Quebec</t>
  </si>
  <si>
    <t xml:space="preserve">insurance quebec</t>
  </si>
  <si>
    <t xml:space="preserve">P0787</t>
  </si>
  <si>
    <t xml:space="preserve">https://instasure.ca/insurance/quebec/gatineau/</t>
  </si>
  <si>
    <t xml:space="preserve">Insurance in Gatineau, QC: Compare Quotes &amp; Licensed Advisors</t>
  </si>
  <si>
    <t xml:space="preserve">Insurance in Gatineau: instant estimates for car, home, tenant, life and business coverage, local risk factors, and advisors licensed in Quebec.</t>
  </si>
  <si>
    <t xml:space="preserve">Insurance in Gatineau, QC</t>
  </si>
  <si>
    <t xml:space="preserve">insurance gatineau</t>
  </si>
  <si>
    <t xml:space="preserve">P0788</t>
  </si>
  <si>
    <t xml:space="preserve">https://instasure.ca/insurance/quebec/laval/</t>
  </si>
  <si>
    <t xml:space="preserve">Insurance in Laval, QC: Compare Quotes &amp; Licensed Advisors</t>
  </si>
  <si>
    <t xml:space="preserve">Insurance in Laval: instant estimates for car, home, tenant, life and business coverage, local risk factors, and advisors licensed in Quebec.</t>
  </si>
  <si>
    <t xml:space="preserve">Insurance in Laval, QC</t>
  </si>
  <si>
    <t xml:space="preserve">insurance laval</t>
  </si>
  <si>
    <t xml:space="preserve">P0789</t>
  </si>
  <si>
    <t xml:space="preserve">https://instasure.ca/insurance/quebec/longueuil/</t>
  </si>
  <si>
    <t xml:space="preserve">Insurance in Longueuil, QC: Compare Quotes &amp; Licensed Advisors</t>
  </si>
  <si>
    <t xml:space="preserve">Insurance in Longueuil: instant estimates for car, home, tenant, life and business coverage, local risk factors, and advisors licensed in Quebec.</t>
  </si>
  <si>
    <t xml:space="preserve">Insurance in Longueuil, QC</t>
  </si>
  <si>
    <t xml:space="preserve">insurance longueuil</t>
  </si>
  <si>
    <t xml:space="preserve">P0790</t>
  </si>
  <si>
    <t xml:space="preserve">https://instasure.ca/insurance/quebec/montreal/</t>
  </si>
  <si>
    <t xml:space="preserve">Insurance in Montreal, QC: Compare Quotes &amp; Licensed Advisors</t>
  </si>
  <si>
    <t xml:space="preserve">Insurance in Montreal: instant estimates for car, home, tenant, life and business coverage, local risk factors, and advisors licensed in Quebec.</t>
  </si>
  <si>
    <t xml:space="preserve">Insurance in Montreal, QC</t>
  </si>
  <si>
    <t xml:space="preserve">insurance montreal</t>
  </si>
  <si>
    <t xml:space="preserve">P0791</t>
  </si>
  <si>
    <t xml:space="preserve">https://instasure.ca/insurance/quebec/quebec-city/</t>
  </si>
  <si>
    <t xml:space="preserve">Insurance in Quebec City, QC: Compare Quotes &amp; Licensed Advisors</t>
  </si>
  <si>
    <t xml:space="preserve">Insurance in Quebec City: instant estimates for car, home, tenant, life and business coverage, local risk factors, and advisors licensed in Quebec.</t>
  </si>
  <si>
    <t xml:space="preserve">Insurance in Quebec City, QC</t>
  </si>
  <si>
    <t xml:space="preserve">insurance quebec city</t>
  </si>
  <si>
    <t xml:space="preserve">P0792</t>
  </si>
  <si>
    <t xml:space="preserve">https://instasure.ca/insurance/quebec/sherbrooke/</t>
  </si>
  <si>
    <t xml:space="preserve">Insurance in Sherbrooke, QC: Compare Quotes &amp; Licensed Advisors</t>
  </si>
  <si>
    <t xml:space="preserve">Insurance in Sherbrooke: instant estimates for car, home, tenant, life and business coverage, local risk factors, and advisors licensed in Quebec.</t>
  </si>
  <si>
    <t xml:space="preserve">Insurance in Sherbrooke, QC</t>
  </si>
  <si>
    <t xml:space="preserve">insurance sherbrooke</t>
  </si>
  <si>
    <t xml:space="preserve">P0793</t>
  </si>
  <si>
    <t xml:space="preserve">https://instasure.ca/insurance/saskatchewan/</t>
  </si>
  <si>
    <t xml:space="preserve">Insurance in Saskatchewan: Life, Home, Car &amp; Business Coverage</t>
  </si>
  <si>
    <t xml:space="preserve">How insurance works in Saskatchewan: sgi provides basic plate coverage; optional packages available, regulator (FCAA), local risks and licensed advisors. Get…</t>
  </si>
  <si>
    <t xml:space="preserve">Insurance in Saskatchewan</t>
  </si>
  <si>
    <t xml:space="preserve">insurance saskatchewan</t>
  </si>
  <si>
    <t xml:space="preserve">P0794</t>
  </si>
  <si>
    <t xml:space="preserve">https://instasure.ca/insurance/saskatchewan/regina/</t>
  </si>
  <si>
    <t xml:space="preserve">Insurance in Regina, SK: Compare Quotes &amp; Licensed Advisors</t>
  </si>
  <si>
    <t xml:space="preserve">Insurance in Regina: instant estimates for car, home, tenant, life and business coverage, local risk factors, and advisors licensed in Saskatchewan.</t>
  </si>
  <si>
    <t xml:space="preserve">Insurance in Regina, SK</t>
  </si>
  <si>
    <t xml:space="preserve">insurance advisor regina</t>
  </si>
  <si>
    <t xml:space="preserve">P0795</t>
  </si>
  <si>
    <t xml:space="preserve">https://instasure.ca/insurance/saskatchewan/saskatoon/</t>
  </si>
  <si>
    <t xml:space="preserve">Insurance in Saskatoon, SK: Compare Quotes &amp; Licensed Advisors</t>
  </si>
  <si>
    <t xml:space="preserve">Insurance in Saskatoon: instant estimates for car, home, tenant, life and business coverage, local risk factors, and advisors licensed in Saskatchewan.</t>
  </si>
  <si>
    <t xml:space="preserve">Insurance in Saskatoon, SK</t>
  </si>
  <si>
    <t xml:space="preserve">insurance advisor saskatoon</t>
  </si>
  <si>
    <t xml:space="preserve">P0796</t>
  </si>
  <si>
    <t xml:space="preserve">https://instasure.ca/insurance/yukon/</t>
  </si>
  <si>
    <t xml:space="preserve">Insurance in Yukon: Life, Home, Car &amp; Business Coverage</t>
  </si>
  <si>
    <t xml:space="preserve">How insurance works in Yukon: private insurers, regulator (Yukon Superintendent), local risks and licensed advisors. Get instant estimates for every type of…</t>
  </si>
  <si>
    <t xml:space="preserve">Insurance in Yukon</t>
  </si>
  <si>
    <t xml:space="preserve">insurance yukon</t>
  </si>
  <si>
    <t xml:space="preserve">P0797</t>
  </si>
  <si>
    <t xml:space="preserve">https://instasure.ca/insurance/yukon/whitehorse/</t>
  </si>
  <si>
    <t xml:space="preserve">Insurance in Whitehorse, YT: Compare Quotes &amp; Licensed Advisors</t>
  </si>
  <si>
    <t xml:space="preserve">Insurance in Whitehorse: instant estimates for car, home, tenant, life and business coverage, local risk factors, and advisors licensed in Yukon.</t>
  </si>
  <si>
    <t xml:space="preserve">Insurance in Whitehorse, YT</t>
  </si>
  <si>
    <t xml:space="preserve">insurance whitehorse</t>
  </si>
  <si>
    <t xml:space="preserve">P0798</t>
  </si>
  <si>
    <t xml:space="preserve">https://instasure.ca/guides/alberta-car-insurance-2026-care-first/</t>
  </si>
  <si>
    <t xml:space="preserve">Guide (blog)</t>
  </si>
  <si>
    <t xml:space="preserve">Alberta Car Insurance 2026: Rate Cap and Care-First</t>
  </si>
  <si>
    <t xml:space="preserve">Alberta car insurance in 2026: how the 7.5% good-driver rate cap works, what Care-First changes from January 1, 2027, and how to shop your renewal now.</t>
  </si>
  <si>
    <t xml:space="preserve">Alberta Car Insurance 2026: Rate Cap, Care-First and How to Shop</t>
  </si>
  <si>
    <t xml:space="preserve">alberta car insurance increase 2026</t>
  </si>
  <si>
    <t xml:space="preserve">sitemap-guides.xml</t>
  </si>
  <si>
    <t xml:space="preserve">P0799</t>
  </si>
  <si>
    <t xml:space="preserve">https://instasure.ca/guides/calgary-hail-insurance-guide/</t>
  </si>
  <si>
    <t xml:space="preserve">Calgary Hail Insurance Guide: Home and Car Coverage</t>
  </si>
  <si>
    <t xml:space="preserve">Calgary hail insurance guide: how comprehensive covers hail on your car, how home roof claims and deductibles work, and how to reduce future hail costs.</t>
  </si>
  <si>
    <t xml:space="preserve">Calgary Hail Insurance Guide: Home and Car Coverage Explained</t>
  </si>
  <si>
    <t xml:space="preserve">hail damage insurance</t>
  </si>
  <si>
    <t xml:space="preserve">P0800</t>
  </si>
  <si>
    <t xml:space="preserve">https://instasure.ca/guides/condo-insurance-deductible-assessment-explained/</t>
  </si>
  <si>
    <t xml:space="preserve">Condo Insurance Deductible Assessment, Explained | Instasure.ca</t>
  </si>
  <si>
    <t xml:space="preserve">How a condo insurance deductible assessment works in Ontario and BC: master vs unit policy, the standard unit, loss assessment and how to choose your limits.</t>
  </si>
  <si>
    <t xml:space="preserve">Condo Insurance Deductible Assessment, Explained</t>
  </si>
  <si>
    <t xml:space="preserve">strata insurance deductible bc</t>
  </si>
  <si>
    <t xml:space="preserve">P0801</t>
  </si>
  <si>
    <t xml:space="preserve">https://instasure.ca/guides/critical-illness-vs-disability-insurance/</t>
  </si>
  <si>
    <t xml:space="preserve">Critical Illness vs Disability Insurance in Canada | Instasure.ca</t>
  </si>
  <si>
    <t xml:space="preserve">Critical illness vs disability insurance in Canada: lump sum vs monthly income, who needs which, how they work together and how benefits are taxed.</t>
  </si>
  <si>
    <t xml:space="preserve">Critical Illness vs Disability Insurance: Which Do You Need?</t>
  </si>
  <si>
    <t xml:space="preserve">critical illness vs disability insurance</t>
  </si>
  <si>
    <t xml:space="preserve">P0802</t>
  </si>
  <si>
    <t xml:space="preserve">https://instasure.ca/guides/does-home-insurance-cover-water-damage-canada/</t>
  </si>
  <si>
    <t xml:space="preserve">Does Home Insurance Cover Water Damage in Canada? | Instasure.ca</t>
  </si>
  <si>
    <t xml:space="preserve">Does home insurance cover water damage? Sudden leaks usually are covered, but sewer backup and overland flood need add-ons. What's covered and what to ask.</t>
  </si>
  <si>
    <t xml:space="preserve">Does Home Insurance Cover Water Damage in Canada?</t>
  </si>
  <si>
    <t xml:space="preserve">does home insurance cover water damage</t>
  </si>
  <si>
    <t xml:space="preserve">P0803</t>
  </si>
  <si>
    <t xml:space="preserve">https://instasure.ca/guides/gig-driver-insurance-uber-doordash-ontario/</t>
  </si>
  <si>
    <t xml:space="preserve">Gig Driver Insurance in Ontario: Uber and DoorDash | Instasure.ca</t>
  </si>
  <si>
    <t xml:space="preserve">Gig driver insurance in Ontario: how Uber and DoorDash coverage works, where gaps are, when you need OPCF 6A and which accident benefits to keep.</t>
  </si>
  <si>
    <t xml:space="preserve">Gig Driver Insurance in Ontario: Uber, Lyft, DoorDash and Skip</t>
  </si>
  <si>
    <t xml:space="preserve">gig driver insurance</t>
  </si>
  <si>
    <t xml:space="preserve">P0804</t>
  </si>
  <si>
    <t xml:space="preserve">https://instasure.ca/guides/how-much-does-life-insurance-cost-canada/</t>
  </si>
  <si>
    <t xml:space="preserve">How Much Does Life Insurance Cost in Canada? (2026)</t>
  </si>
  <si>
    <t xml:space="preserve">How much does life insurance cost in Canada? See example term life prices by age, smoker vs non-smoker rates, what insurers look at and how to pay less.</t>
  </si>
  <si>
    <t xml:space="preserve">How Much Does Life Insurance Cost in Canada? Prices by Age</t>
  </si>
  <si>
    <t xml:space="preserve">how much does life insurance cost</t>
  </si>
  <si>
    <t xml:space="preserve">P0805</t>
  </si>
  <si>
    <t xml:space="preserve">https://instasure.ca/guides/how-much-life-insurance-do-i-need-canada/</t>
  </si>
  <si>
    <t xml:space="preserve">How Much Life Insurance Do I Need? Canada Guide (2026)</t>
  </si>
  <si>
    <t xml:space="preserve">How much life insurance do I need? Use the DIME method, a worked Canadian example, and your group and CPP benefits to size your coverage in minutes.</t>
  </si>
  <si>
    <t xml:space="preserve">How Much Life Insurance Do I Need in Canada?</t>
  </si>
  <si>
    <t xml:space="preserve">how much life insurance do i need</t>
  </si>
  <si>
    <t xml:space="preserve">P0806</t>
  </si>
  <si>
    <t xml:space="preserve">https://instasure.ca/guides/icbc-optional-insurance-explained/</t>
  </si>
  <si>
    <t xml:space="preserve">ICBC Optional Insurance Explained: What to Buy in BC</t>
  </si>
  <si>
    <t xml:space="preserve">ICBC optional insurance explained: what Basic Autoplan covers, which optional coverage to add, private insurer options and the low-kilometre discount in BC.</t>
  </si>
  <si>
    <t xml:space="preserve">ICBC Optional Insurance Explained: What to Buy on Top of Basic</t>
  </si>
  <si>
    <t xml:space="preserve">icbc optional insurance</t>
  </si>
  <si>
    <t xml:space="preserve">P0807</t>
  </si>
  <si>
    <t xml:space="preserve">https://instasure.ca/guides/life-insurance-for-newcomers-to-canada/</t>
  </si>
  <si>
    <t xml:space="preserve">Life Insurance for Newcomers to Canada (2026 Guide)</t>
  </si>
  <si>
    <t xml:space="preserve">Life insurance for newcomers to Canada: who qualifies on PR, work and study permits, coverage limits, underwriting abroad, group benefits and Super Visa tips.</t>
  </si>
  <si>
    <t xml:space="preserve">Life Insurance for Newcomers to Canada: PR, Work Permits and Students</t>
  </si>
  <si>
    <t xml:space="preserve">P0808</t>
  </si>
  <si>
    <t xml:space="preserve">https://instasure.ca/guides/mortgage-life-insurance-vs-term-life-insurance/</t>
  </si>
  <si>
    <t xml:space="preserve">Mortgage Life Insurance vs Term Life Insurance (2026)</t>
  </si>
  <si>
    <t xml:space="preserve">Mortgage life insurance vs term life insurance: how bank creditor coverage, declining benefits and post-claim underwriting compare at your 2026 renewal.</t>
  </si>
  <si>
    <t xml:space="preserve">Mortgage Life Insurance vs Term Life Insurance: What to Choose in 2026</t>
  </si>
  <si>
    <t xml:space="preserve">mortgage insurance vs life insurance</t>
  </si>
  <si>
    <t xml:space="preserve">P0809</t>
  </si>
  <si>
    <t xml:space="preserve">https://instasure.ca/guides/ontario-auto-insurance-changes-july-2026/</t>
  </si>
  <si>
    <t xml:space="preserve">Ontario Auto Insurance Changes July 2026: What's Optional</t>
  </si>
  <si>
    <t xml:space="preserve">Ontario auto insurance changes took effect July 1, 2026. See which accident benefits are optional, who should keep income replacement and what to ask.</t>
  </si>
  <si>
    <t xml:space="preserve">Ontario Auto Insurance Changes (July 2026): What's Optional Now</t>
  </si>
  <si>
    <t xml:space="preserve">ontario auto insurance changes 2026</t>
  </si>
  <si>
    <t xml:space="preserve">P0810</t>
  </si>
  <si>
    <t xml:space="preserve">https://instasure.ca/guides/private-dental-insurance-vs-cdcp/</t>
  </si>
  <si>
    <t xml:space="preserve">Private Dental Insurance vs CDCP: Who Should Buy What</t>
  </si>
  <si>
    <t xml:space="preserve">Private dental insurance vs the Canadian Dental Care Plan: who qualifies for the CDCP, why private coverage can affect eligibility, and who should buy what.</t>
  </si>
  <si>
    <t xml:space="preserve">Private Dental Insurance vs the CDCP: Who Should Buy What?</t>
  </si>
  <si>
    <t xml:space="preserve">canadian dental care plan vs private insurance</t>
  </si>
  <si>
    <t xml:space="preserve">P0811</t>
  </si>
  <si>
    <t xml:space="preserve">https://instasure.ca/guides/small-business-insurance-cost-canada/</t>
  </si>
  <si>
    <t xml:space="preserve">Small Business Insurance Cost in Canada: What Drives It</t>
  </si>
  <si>
    <t xml:space="preserve">Small business insurance cost in Canada depends on your industry, revenue, limits and claims. See illustrative ranges by business type and ways to lower cost.</t>
  </si>
  <si>
    <t xml:space="preserve">How Much Does Small Business Insurance Cost in Canada?</t>
  </si>
  <si>
    <t xml:space="preserve">small business insurance cost</t>
  </si>
  <si>
    <t xml:space="preserve">P0812</t>
  </si>
  <si>
    <t xml:space="preserve">https://instasure.ca/guides/super-visa-insurance-requirements-cost/</t>
  </si>
  <si>
    <t xml:space="preserve">Super Visa Insurance Requirements and Cost by Age | Instasure.ca</t>
  </si>
  <si>
    <t xml:space="preserve">Super Visa insurance requirements explained: $100,000 minimum, one-year validity and eligible insurers, plus illustrative costs by age, deductibles and refunds.</t>
  </si>
  <si>
    <t xml:space="preserve">Super Visa Insurance: Requirements and Cost by Age</t>
  </si>
  <si>
    <t xml:space="preserve">super visa insurance cost</t>
  </si>
  <si>
    <t xml:space="preserve">P0813</t>
  </si>
  <si>
    <t xml:space="preserve">https://instasure.ca/guides/tenant-insurance-ontario-landlord-require/</t>
  </si>
  <si>
    <t xml:space="preserve">Tenant Insurance Ontario: Can a Landlord Require It?</t>
  </si>
  <si>
    <t xml:space="preserve">Tenant insurance Ontario guide: a landlord can require liability coverage through the standard lease. See what it covers, typical costs and tips for students.</t>
  </si>
  <si>
    <t xml:space="preserve">Can a Landlord Require Tenant Insurance in Ontario?</t>
  </si>
  <si>
    <t xml:space="preserve">is tenant insurance mandatory</t>
  </si>
  <si>
    <t xml:space="preserve">P0814</t>
  </si>
  <si>
    <t xml:space="preserve">https://instasure.ca/guides/term-vs-whole-life-insurance-canada/</t>
  </si>
  <si>
    <t xml:space="preserve">Term vs Whole Life Insurance in Canada (2026) | Instasure.ca</t>
  </si>
  <si>
    <t xml:space="preserve">Term vs whole life insurance in Canada: compare cost, cash value and flexibility, see when each fits, and learn how laddering and conversion work.</t>
  </si>
  <si>
    <t xml:space="preserve">Term vs Whole Life Insurance in Canada: Which Fits You?</t>
  </si>
  <si>
    <t xml:space="preserve">term vs whole life insurance</t>
  </si>
  <si>
    <t xml:space="preserve">P0815</t>
  </si>
  <si>
    <t xml:space="preserve">https://instasure.ca/guides/why-is-my-car-insurance-going-up-2026/</t>
  </si>
  <si>
    <t xml:space="preserve">Why Is My Car Insurance Going Up in 2026? | Instasure.ca</t>
  </si>
  <si>
    <t xml:space="preserve">Why is my car insurance going up? Repair costs, theft, claims and weather are pushing 2026 premiums higher. See what's driving it and 10 ways to lower it.</t>
  </si>
  <si>
    <t xml:space="preserve">Why Is My Car Insurance Going Up in 2026? Causes and 10 Ways to Save</t>
  </si>
  <si>
    <t xml:space="preserve">why is my car insurance going up</t>
  </si>
  <si>
    <t xml:space="preserve">P0816</t>
  </si>
  <si>
    <t xml:space="preserve">https://instasure.ca/guides/category/auto/</t>
  </si>
  <si>
    <t xml:space="preserve">Guide category</t>
  </si>
  <si>
    <t xml:space="preserve">Auto insurance Guides for Canadians | Instasure.ca</t>
  </si>
  <si>
    <t xml:space="preserve">Car insurance rules, costs and changes by province.</t>
  </si>
  <si>
    <t xml:space="preserve">Auto insurance guides</t>
  </si>
  <si>
    <t xml:space="preserve">P0817</t>
  </si>
  <si>
    <t xml:space="preserve">https://instasure.ca/guides/category/business/</t>
  </si>
  <si>
    <t xml:space="preserve">Business insurance Guides for Canadians | Instasure.ca</t>
  </si>
  <si>
    <t xml:space="preserve">Liability, property and benefits for Canadian small businesses.</t>
  </si>
  <si>
    <t xml:space="preserve">Business insurance guides</t>
  </si>
  <si>
    <t xml:space="preserve">P0818</t>
  </si>
  <si>
    <t xml:space="preserve">https://instasure.ca/guides/category/claims-rules/</t>
  </si>
  <si>
    <t xml:space="preserve">Claims &amp; provincial rules Guides for Canadians | Instasure.ca</t>
  </si>
  <si>
    <t xml:space="preserve">How claims, complaints and provincial regulation work.</t>
  </si>
  <si>
    <t xml:space="preserve">Claims &amp; provincial rules guides</t>
  </si>
  <si>
    <t xml:space="preserve">P0819</t>
  </si>
  <si>
    <t xml:space="preserve">https://instasure.ca/guides/category/home-property/</t>
  </si>
  <si>
    <t xml:space="preserve">Home, condo &amp; tenant Guides for Canadians | Instasure.ca</t>
  </si>
  <si>
    <t xml:space="preserve">Protecting your home, belongings and liability across Canada.</t>
  </si>
  <si>
    <t xml:space="preserve">Home, condo &amp; tenant guides</t>
  </si>
  <si>
    <t xml:space="preserve">P0820</t>
  </si>
  <si>
    <t xml:space="preserve">https://instasure.ca/guides/category/life-insurance/</t>
  </si>
  <si>
    <t xml:space="preserve">Life insurance Guides for Canadians | Instasure.ca</t>
  </si>
  <si>
    <t xml:space="preserve">Term, whole and no-medical life insurance explained for Canadians.</t>
  </si>
  <si>
    <t xml:space="preserve">Life insurance guides</t>
  </si>
  <si>
    <t xml:space="preserve">P0821</t>
  </si>
  <si>
    <t xml:space="preserve">https://instasure.ca/guides/category/living-benefits/</t>
  </si>
  <si>
    <t xml:space="preserve">Health &amp; living benefits Guides for Canadians | Instasure.ca</t>
  </si>
  <si>
    <t xml:space="preserve">Critical illness, disability and health &amp; dental coverage.</t>
  </si>
  <si>
    <t xml:space="preserve">Health &amp; living benefits guides</t>
  </si>
  <si>
    <t xml:space="preserve">P0822</t>
  </si>
  <si>
    <t xml:space="preserve">https://instasure.ca/guides/category/travel-visitors/</t>
  </si>
  <si>
    <t xml:space="preserve">Travel &amp; visitors Guides for Canadians | Instasure.ca</t>
  </si>
  <si>
    <t xml:space="preserve">Travel medical and Super Visa insurance.</t>
  </si>
  <si>
    <t xml:space="preserve">Travel &amp; visitors guides</t>
  </si>
  <si>
    <t xml:space="preserve">P0823</t>
  </si>
  <si>
    <t xml:space="preserve">https://instasure.ca/advisors/instasure-advisor-team/</t>
  </si>
  <si>
    <t xml:space="preserve">Advisor profile</t>
  </si>
  <si>
    <t xml:space="preserve">Instasure Advisor Team — Licensed advisor team | Instasure.ca</t>
  </si>
  <si>
    <t xml:space="preserve">The Instasure advisor team reviews every request you send us: instant estimates, specialist desk call backs and questions. We connect you with an insurance…</t>
  </si>
  <si>
    <t xml:space="preserve">Instasure Advisor Team</t>
  </si>
  <si>
    <t xml:space="preserve">Keyword</t>
  </si>
  <si>
    <t xml:space="preserve">Level</t>
  </si>
  <si>
    <t xml:space="preserve">Volume / mo (modelled)</t>
  </si>
  <si>
    <t xml:space="preserve">Difficulty (0–100)</t>
  </si>
  <si>
    <t xml:space="preserve">Intent</t>
  </si>
  <si>
    <t xml:space="preserve">Cluster</t>
  </si>
  <si>
    <t xml:space="preserve">Priority (1 = first)</t>
  </si>
  <si>
    <t xml:space="preserve">Role on page</t>
  </si>
  <si>
    <t xml:space="preserve">Keyword in page title?</t>
  </si>
  <si>
    <t xml:space="preserve">Competitors seen</t>
  </si>
  <si>
    <t xml:space="preserve">commercial</t>
  </si>
  <si>
    <t xml:space="preserve">auto-core</t>
  </si>
  <si>
    <t xml:space="preserve">Primary</t>
  </si>
  <si>
    <t xml:space="preserve">ratehub, rates.ca, kanetix, mychoice, insurer brands</t>
  </si>
  <si>
    <t xml:space="preserve">Head term. Win through province and city depth rather than head-on.</t>
  </si>
  <si>
    <t xml:space="preserve">auto insurance</t>
  </si>
  <si>
    <t xml:space="preserve">Secondary</t>
  </si>
  <si>
    <t xml:space="preserve">ratehub, rates.ca, insurer brands</t>
  </si>
  <si>
    <t xml:space="preserve">Synonym. Use in H2s and meta descriptions, not a separate page.</t>
  </si>
  <si>
    <t xml:space="preserve">cheap car insurance</t>
  </si>
  <si>
    <t xml:space="preserve">transactional</t>
  </si>
  <si>
    <t xml:space="preserve">auto-cost</t>
  </si>
  <si>
    <t xml:space="preserve">ratehub (15 ways), rates.ca, mychoice</t>
  </si>
  <si>
    <t xml:space="preserve">Answer with savings factors and compare. No "cheapest" claim without a published methodology.</t>
  </si>
  <si>
    <t xml:space="preserve">travel</t>
  </si>
  <si>
    <t xml:space="preserve">sun life, manulife, credit cards, ratehub</t>
  </si>
  <si>
    <t xml:space="preserve">Huge but low lead value. Capture through super visa, snowbird and visitors.</t>
  </si>
  <si>
    <t xml:space="preserve">out of province travel insurance</t>
  </si>
  <si>
    <t xml:space="preserve">informational</t>
  </si>
  <si>
    <t xml:space="preserve">sun life</t>
  </si>
  <si>
    <t xml:space="preserve">property-core</t>
  </si>
  <si>
    <t xml:space="preserve">ratehub, rates.ca, sonnet, insurer brands</t>
  </si>
  <si>
    <t xml:space="preserve">house insurance</t>
  </si>
  <si>
    <t xml:space="preserve">ratehub, rates.ca</t>
  </si>
  <si>
    <t xml:space="preserve">life-core</t>
  </si>
  <si>
    <t xml:space="preserve">policyadvisor, sun life, manulife, policyme, ratehub, canada life</t>
  </si>
  <si>
    <t xml:space="preserve">Highest-value head term. Province, city and cost pages feed it.</t>
  </si>
  <si>
    <t xml:space="preserve">sonnet, ratehub, rates.ca, squareone</t>
  </si>
  <si>
    <t xml:space="preserve">renters insurance</t>
  </si>
  <si>
    <t xml:space="preserve">sonnet, ratehub</t>
  </si>
  <si>
    <t xml:space="preserve">Synonym used in titles ("Tenant (Renters) Insurance").</t>
  </si>
  <si>
    <t xml:space="preserve">tenant insurance cost</t>
  </si>
  <si>
    <t xml:space="preserve">property-cost</t>
  </si>
  <si>
    <t xml:space="preserve">ratehub, sonnet</t>
  </si>
  <si>
    <t xml:space="preserve">business</t>
  </si>
  <si>
    <t xml:space="preserve">ratehub, rates.ca, zensurance, apollo</t>
  </si>
  <si>
    <t xml:space="preserve">liability insurance</t>
  </si>
  <si>
    <t xml:space="preserve">small business insurance</t>
  </si>
  <si>
    <t xml:space="preserve">rates.ca, ratehub</t>
  </si>
  <si>
    <t xml:space="preserve">general liability insurance</t>
  </si>
  <si>
    <t xml:space="preserve">ratehub (CGL), rates.ca</t>
  </si>
  <si>
    <t xml:space="preserve">https://instasure.ca/quote/car-insurance/</t>
  </si>
  <si>
    <t xml:space="preserve">(not a live page)</t>
  </si>
  <si>
    <t xml:space="preserve">car insurance quotes</t>
  </si>
  <si>
    <t xml:space="preserve">ratehub, rates.ca, kanetix, lowestrates</t>
  </si>
  <si>
    <t xml:space="preserve">Money term: send to the instant estimate flow.</t>
  </si>
  <si>
    <t xml:space="preserve">car insurance calculator</t>
  </si>
  <si>
    <t xml:space="preserve">auto-tools</t>
  </si>
  <si>
    <t xml:space="preserve">rates.ca (ON, AB), lowestrates (ON)</t>
  </si>
  <si>
    <t xml:space="preserve">Instant estimate covers the intent. Planned: /calculators/car-insurance-cost/ with province selector.</t>
  </si>
  <si>
    <t xml:space="preserve">ontario car insurance calculator</t>
  </si>
  <si>
    <t xml:space="preserve">rates.ca, lowestrates</t>
  </si>
  <si>
    <t xml:space="preserve">alberta car insurance calculator</t>
  </si>
  <si>
    <t xml:space="preserve">rates.ca</t>
  </si>
  <si>
    <t xml:space="preserve">specialty-personal</t>
  </si>
  <si>
    <t xml:space="preserve">sonnet (pet product), trupanion, petsecure, pets plus us</t>
  </si>
  <si>
    <t xml:space="preserve">Big but low advisor fit: most pet insurers sell direct. A completeness page that keeps visitors on site.</t>
  </si>
  <si>
    <t xml:space="preserve">health-dental</t>
  </si>
  <si>
    <t xml:space="preserve">sun life, manulife, blue cross, policyadvisor</t>
  </si>
  <si>
    <t xml:space="preserve">Much of the volume is CDCP navigation; target the self-employed and CDCP-ineligible.</t>
  </si>
  <si>
    <t xml:space="preserve">private health insurance canada</t>
  </si>
  <si>
    <t xml:space="preserve">policyadvisor, sun life, manulife, blue cross</t>
  </si>
  <si>
    <t xml:space="preserve">health and dental insurance</t>
  </si>
  <si>
    <t xml:space="preserve">policyadvisor, sun life, blue cross</t>
  </si>
  <si>
    <t xml:space="preserve">health insurance for self employed</t>
  </si>
  <si>
    <t xml:space="preserve">policyadvisor</t>
  </si>
  <si>
    <t xml:space="preserve">auto-province</t>
  </si>
  <si>
    <t xml:space="preserve">ratehub, rates.ca, sonnet</t>
  </si>
  <si>
    <t xml:space="preserve">local</t>
  </si>
  <si>
    <t xml:space="preserve">auto-local</t>
  </si>
  <si>
    <t xml:space="preserve">ratehub, rates.ca, sonnet, mychoice/squareone/thinkinsure</t>
  </si>
  <si>
    <t xml:space="preserve">Competitor city pages here are thin or carry stale dates (October 2026 review): freshness opening.</t>
  </si>
  <si>
    <t xml:space="preserve">cheap car insurance toronto</t>
  </si>
  <si>
    <t xml:space="preserve">Rates.ca titles lead with "Cheap"; answer with factors and FSA data, not a price promise.</t>
  </si>
  <si>
    <t xml:space="preserve">how much is car insurance in toronto</t>
  </si>
  <si>
    <t xml:space="preserve">Ratehub ranks a blog post for this. The city page answers it in the first two sentences with a dated average.</t>
  </si>
  <si>
    <t xml:space="preserve">travel-visitors</t>
  </si>
  <si>
    <t xml:space="preserve">policyadvisor (38 visitor pages incl. insurer reviews), ratehub, hellosafe, bestquote, coverme</t>
  </si>
  <si>
    <t xml:space="preserve">Mandatory purchase with high intent and a strong newcomer-community fit.</t>
  </si>
  <si>
    <t xml:space="preserve">policyadvisor, sun life, ratehub, policyme</t>
  </si>
  <si>
    <t xml:space="preserve">term life insurance rates</t>
  </si>
  <si>
    <t xml:space="preserve">life-cost</t>
  </si>
  <si>
    <t xml:space="preserve">sun life (rates page), policyadvisor</t>
  </si>
  <si>
    <t xml:space="preserve">20 year term life insurance</t>
  </si>
  <si>
    <t xml:space="preserve">advisors</t>
  </si>
  <si>
    <t xml:space="preserve">local brokers, thinkinsure</t>
  </si>
  <si>
    <t xml:space="preserve">Needs Google Business Profiles. Say "licensed advisor" unless the entity is a registered brokerage.</t>
  </si>
  <si>
    <t xml:space="preserve">insurance advisor near me</t>
  </si>
  <si>
    <t xml:space="preserve">policyadvisor (advisor pages), sun life advisor microsites</t>
  </si>
  <si>
    <t xml:space="preserve">https://instasure.ca/quote/home-insurance/</t>
  </si>
  <si>
    <t xml:space="preserve">home insurance quotes</t>
  </si>
  <si>
    <t xml:space="preserve">ratehub, rates.ca, sonnet, squareone</t>
  </si>
  <si>
    <t xml:space="preserve">home insurance calculator</t>
  </si>
  <si>
    <t xml:space="preserve">property-tools</t>
  </si>
  <si>
    <t xml:space="preserve">rates.ca (AB)</t>
  </si>
  <si>
    <t xml:space="preserve">living-benefits</t>
  </si>
  <si>
    <t xml:space="preserve">policyadvisor, sun life, policyme, ratehub</t>
  </si>
  <si>
    <t xml:space="preserve">critical illness insurance cost</t>
  </si>
  <si>
    <t xml:space="preserve">policyadvisor (cost page + calculator), ratehub (age table), policyme</t>
  </si>
  <si>
    <t xml:space="preserve">sonnet, ratehub, rates.ca</t>
  </si>
  <si>
    <t xml:space="preserve">condo insurance cost</t>
  </si>
  <si>
    <t xml:space="preserve">policyadvisor, sun life</t>
  </si>
  <si>
    <t xml:space="preserve">long term disability insurance</t>
  </si>
  <si>
    <t xml:space="preserve">Much of the volume is about group or claims; qualify carefully.</t>
  </si>
  <si>
    <t xml:space="preserve">brand-instant</t>
  </si>
  <si>
    <t xml:space="preserve">ratehub, rates.ca, kanetix</t>
  </si>
  <si>
    <t xml:space="preserve">instant insurance quote</t>
  </si>
  <si>
    <t xml:space="preserve">(fragmented)</t>
  </si>
  <si>
    <t xml:space="preserve">Brand-defining term for instasure.ca.</t>
  </si>
  <si>
    <t xml:space="preserve">auto-regulation</t>
  </si>
  <si>
    <t xml:space="preserve">rates.ca, ratelab, thinkinsure, intact, IBC, RIBO, CP24</t>
  </si>
  <si>
    <t xml:space="preserve">Every Ontario renewal from July 2026 to June 2027 forces the opt-out decision.</t>
  </si>
  <si>
    <t xml:space="preserve">optional accident benefits ontario</t>
  </si>
  <si>
    <t xml:space="preserve">intact, northbridge, thebig.ca</t>
  </si>
  <si>
    <t xml:space="preserve">income replacement benefit ontario opt out</t>
  </si>
  <si>
    <t xml:space="preserve">thebig.ca, thinkinsure</t>
  </si>
  <si>
    <t xml:space="preserve">Pair with the disability insurance page for self-employed drivers.</t>
  </si>
  <si>
    <t xml:space="preserve">auto-recreational</t>
  </si>
  <si>
    <t xml:space="preserve">ratehub (ON, AB), rates.ca, insurer brands</t>
  </si>
  <si>
    <t xml:space="preserve">Seasonal: searches peak March to May. Province pages are the next step if quote volume justifies them.</t>
  </si>
  <si>
    <t xml:space="preserve">policyadvisor, sun life, ratehub</t>
  </si>
  <si>
    <t xml:space="preserve">ratehub, rates.ca, sonnet, hellosafe barometer</t>
  </si>
  <si>
    <t xml:space="preserve">Rate Index page. It stays noindex until a product × province cell has 25 quote requests; the province pages carry the published averages meanwhile.</t>
  </si>
  <si>
    <t xml:space="preserve">average home insurance cost canada</t>
  </si>
  <si>
    <t xml:space="preserve">car insurance rates by province</t>
  </si>
  <si>
    <t xml:space="preserve">sonnet, rates.ca</t>
  </si>
  <si>
    <t xml:space="preserve">property-coverage</t>
  </si>
  <si>
    <t xml:space="preserve">ratehub, CAA, RBC, westland</t>
  </si>
  <si>
    <t xml:space="preserve">Peaks after storms. A strong AI-citation format.</t>
  </si>
  <si>
    <t xml:space="preserve">flood insurance canada</t>
  </si>
  <si>
    <t xml:space="preserve">money.ca, mychoice, IBC</t>
  </si>
  <si>
    <t xml:space="preserve">The national flood program is delayed. Planned: a tracker page.</t>
  </si>
  <si>
    <t xml:space="preserve">overland flood insurance</t>
  </si>
  <si>
    <t xml:space="preserve">ratehub, CAA</t>
  </si>
  <si>
    <t xml:space="preserve">sewer backup insurance</t>
  </si>
  <si>
    <t xml:space="preserve">(brokers)</t>
  </si>
  <si>
    <t xml:space="preserve">basement flood insurance toronto</t>
  </si>
  <si>
    <t xml:space="preserve">mcdougall, brokers</t>
  </si>
  <si>
    <t xml:space="preserve">ratehub, rates.ca, mychoice/squareone/thinkinsure</t>
  </si>
  <si>
    <t xml:space="preserve">cheap car insurance brampton</t>
  </si>
  <si>
    <t xml:space="preserve">how much is car insurance in brampton</t>
  </si>
  <si>
    <t xml:space="preserve">https://instasure.ca/quote/life-insurance/</t>
  </si>
  <si>
    <t xml:space="preserve">life insurance quotes</t>
  </si>
  <si>
    <t xml:space="preserve">policyadvisor ("instantly"), policyme, ratehub, sun life</t>
  </si>
  <si>
    <t xml:space="preserve">Money term: instant estimate, then a licensed advisor.</t>
  </si>
  <si>
    <t xml:space="preserve">ratehub, rates.ca, policyadvisor, sun life</t>
  </si>
  <si>
    <t xml:space="preserve">Built: dedicated visitors page. The super visa page covers the mandatory case.</t>
  </si>
  <si>
    <t xml:space="preserve">cheap car insurance calgary</t>
  </si>
  <si>
    <t xml:space="preserve">how much is car insurance in calgary</t>
  </si>
  <si>
    <t xml:space="preserve">life-tools</t>
  </si>
  <si>
    <t xml:space="preserve">sun life, policyadvisor (standalone), policyme, hardbacon</t>
  </si>
  <si>
    <t xml:space="preserve">policyme, ratehub, policyadvisor</t>
  </si>
  <si>
    <t xml:space="preserve">Guide twin: /guides/how-much-life-insurance-do-i-need-canada/.</t>
  </si>
  <si>
    <t xml:space="preserve">globalnews, daily hive, brokers</t>
  </si>
  <si>
    <t xml:space="preserve">Alberta auto premiums rose 22.6% year over year in Q2 2026 (Applied, verify). Few aggregator pages.</t>
  </si>
  <si>
    <t xml:space="preserve">care first auto insurance alberta</t>
  </si>
  <si>
    <t xml:space="preserve">alberta.ca, western financial</t>
  </si>
  <si>
    <t xml:space="preserve">Starts January 1, 2027.</t>
  </si>
  <si>
    <t xml:space="preserve">alberta good driver rate cap</t>
  </si>
  <si>
    <t xml:space="preserve">globalnews, alberta.ca</t>
  </si>
  <si>
    <t xml:space="preserve">cheap car insurance mississauga</t>
  </si>
  <si>
    <t xml:space="preserve">how much is car insurance in mississauga</t>
  </si>
  <si>
    <t xml:space="preserve">property-province</t>
  </si>
  <si>
    <t xml:space="preserve">is home insurance mandatory in ontario</t>
  </si>
  <si>
    <t xml:space="preserve">sonnet faq</t>
  </si>
  <si>
    <t xml:space="preserve">life-mortgage</t>
  </si>
  <si>
    <t xml:space="preserve">policyadvisor (9 pages), ratehub, policyme, banks</t>
  </si>
  <si>
    <t xml:space="preserve">About 1.15M mortgage renewals in 2026 (CMHC via MPA, verify).</t>
  </si>
  <si>
    <t xml:space="preserve">mortgage protection insurance</t>
  </si>
  <si>
    <t xml:space="preserve">policyadvisor, manulife mortgage protection plan</t>
  </si>
  <si>
    <t xml:space="preserve">cheap car insurance edmonton</t>
  </si>
  <si>
    <t xml:space="preserve">how much is car insurance in edmonton</t>
  </si>
  <si>
    <t xml:space="preserve">policyadvisor, policyme, sun life (rates pages)</t>
  </si>
  <si>
    <t xml:space="preserve">life insurance cost by age</t>
  </si>
  <si>
    <t xml:space="preserve">policyadvisor (20/40/50 pages)</t>
  </si>
  <si>
    <t xml:space="preserve">Planned: one page per age band (/life-insurance/cost/age-35/) once the Rate Index has quote data.</t>
  </si>
  <si>
    <t xml:space="preserve">500000 life insurance cost</t>
  </si>
  <si>
    <t xml:space="preserve">1 million life insurance cost</t>
  </si>
  <si>
    <t xml:space="preserve">ratehub (boat, marine)</t>
  </si>
  <si>
    <t xml:space="preserve">Often an endorsement on the home policy; the page explains when a separate policy is needed.</t>
  </si>
  <si>
    <t xml:space="preserve">auto-persona</t>
  </si>
  <si>
    <t xml:space="preserve">ratehub, rates.ca guide, facility association</t>
  </si>
  <si>
    <t xml:space="preserve">Built with the High-risk auto desk (niche gap: competitors run one generic page). Next: sub-guides after an accident, tickets, lapsed or cancelled.</t>
  </si>
  <si>
    <t xml:space="preserve">car insurance after accident</t>
  </si>
  <si>
    <t xml:space="preserve">Answered on the high-risk page; a dedicated guide is still planned.</t>
  </si>
  <si>
    <t xml:space="preserve">rates.ca guide, ratehub blog</t>
  </si>
  <si>
    <t xml:space="preserve">Built: service page with a new-driver example estimate. Next: per-province sections (G1/G2/G, Class 7, L/N).</t>
  </si>
  <si>
    <t xml:space="preserve">g2 car insurance ontario</t>
  </si>
  <si>
    <t xml:space="preserve">rates.ca (money page), ratehub blog</t>
  </si>
  <si>
    <t xml:space="preserve">Answered on the new-drivers page. Planned: an Ontario G1/G2/G section or /car-insurance/ontario/g2-drivers/.</t>
  </si>
  <si>
    <t xml:space="preserve">Built with the Commercial auto &amp; trucking desk.</t>
  </si>
  <si>
    <t xml:space="preserve">trucking insurance</t>
  </si>
  <si>
    <t xml:space="preserve">business-trades</t>
  </si>
  <si>
    <t xml:space="preserve">brokers, specialty MGAs</t>
  </si>
  <si>
    <t xml:space="preserve">Answered on the commercial auto page (Commercial auto &amp; trucking desk). A trucking-only page waits for real for-hire volume.</t>
  </si>
  <si>
    <t xml:space="preserve">errors and omissions insurance</t>
  </si>
  <si>
    <t xml:space="preserve">(not seen)</t>
  </si>
  <si>
    <t xml:space="preserve">Built with the Snowbird travel desk and an example estimate.</t>
  </si>
  <si>
    <t xml:space="preserve">travel insurance for seniors</t>
  </si>
  <si>
    <t xml:space="preserve">Answered on the snowbird page; a separate seniors page is not planned.</t>
  </si>
  <si>
    <t xml:space="preserve">cheap car insurance ottawa</t>
  </si>
  <si>
    <t xml:space="preserve">how much is car insurance in ottawa</t>
  </si>
  <si>
    <t xml:space="preserve">policyadvisor, hellosafe, bestquote</t>
  </si>
  <si>
    <t xml:space="preserve">super visa insurance requirements</t>
  </si>
  <si>
    <t xml:space="preserve">policyadvisor, rbc</t>
  </si>
  <si>
    <t xml:space="preserve">life-instant</t>
  </si>
  <si>
    <t xml:space="preserve">policyadvisor, sun life go, coverme</t>
  </si>
  <si>
    <t xml:space="preserve">Core "instant" brand cluster.</t>
  </si>
  <si>
    <t xml:space="preserve">buy life insurance online</t>
  </si>
  <si>
    <t xml:space="preserve">sun life go, coverme, policyme, policyadvisor</t>
  </si>
  <si>
    <t xml:space="preserve">Brand fit. Say "instant" only where a product truly binds online in that province.</t>
  </si>
  <si>
    <t xml:space="preserve">guaranteed issue life insurance</t>
  </si>
  <si>
    <t xml:space="preserve">policyadvisor, sun life go guaranteed</t>
  </si>
  <si>
    <t xml:space="preserve">property-niche</t>
  </si>
  <si>
    <t xml:space="preserve">Built (service page).</t>
  </si>
  <si>
    <t xml:space="preserve">cheap car insurance hamilton</t>
  </si>
  <si>
    <t xml:space="preserve">how much is car insurance in hamilton</t>
  </si>
  <si>
    <t xml:space="preserve">ratehub</t>
  </si>
  <si>
    <t xml:space="preserve">ICBC sells basic auto; target optional coverage. Low lead value.</t>
  </si>
  <si>
    <t xml:space="preserve">Quebec waitlist until AMF registration; English phrase only (French terms listed separately).</t>
  </si>
  <si>
    <t xml:space="preserve">ratehub, rates.ca (15+ trades)</t>
  </si>
  <si>
    <t xml:space="preserve">contractor liability insurance</t>
  </si>
  <si>
    <t xml:space="preserve">handyman insurance</t>
  </si>
  <si>
    <t xml:space="preserve">cheap car insurance vaughan</t>
  </si>
  <si>
    <t xml:space="preserve">how much is car insurance in vaughan</t>
  </si>
  <si>
    <t xml:space="preserve">business-benefits</t>
  </si>
  <si>
    <t xml:space="preserve">policyadvisor, manulife, canada life</t>
  </si>
  <si>
    <t xml:space="preserve">Highest lead value on the site.</t>
  </si>
  <si>
    <t xml:space="preserve">employee benefits for small business</t>
  </si>
  <si>
    <t xml:space="preserve">sonnet faq, tenantrights.ca</t>
  </si>
  <si>
    <t xml:space="preserve">is tenant insurance mandatory in ontario</t>
  </si>
  <si>
    <t xml:space="preserve">tenantrights.ca, marathon, insurely, sonnet</t>
  </si>
  <si>
    <t xml:space="preserve">life-compare</t>
  </si>
  <si>
    <t xml:space="preserve">property-local</t>
  </si>
  <si>
    <t xml:space="preserve">ratehub, rates.ca, local brokers (#1)</t>
  </si>
  <si>
    <t xml:space="preserve">ratehub (rv, trailer)</t>
  </si>
  <si>
    <t xml:space="preserve">atv insurance</t>
  </si>
  <si>
    <t xml:space="preserve">cheap car insurance halifax</t>
  </si>
  <si>
    <t xml:space="preserve">how much is car insurance in halifax</t>
  </si>
  <si>
    <t xml:space="preserve">cheap car insurance markham</t>
  </si>
  <si>
    <t xml:space="preserve">how much is car insurance in markham</t>
  </si>
  <si>
    <t xml:space="preserve">ICBC, BC brokers</t>
  </si>
  <si>
    <t xml:space="preserve">ICBC basic rates are frozen through 2027; optional coverage still varies.</t>
  </si>
  <si>
    <t xml:space="preserve">icbc low kilometre discount</t>
  </si>
  <si>
    <t xml:space="preserve">ICBC</t>
  </si>
  <si>
    <t xml:space="preserve">onlia, rates.ca</t>
  </si>
  <si>
    <t xml:space="preserve">Renewal-notice searches. Refresh each quarter with the Applied Rating Index.</t>
  </si>
  <si>
    <t xml:space="preserve">life-audience</t>
  </si>
  <si>
    <t xml:space="preserve">Built with a seniors example estimate (no-medical, guaranteed issue and final expense covered on the page).</t>
  </si>
  <si>
    <t xml:space="preserve">sonnet</t>
  </si>
  <si>
    <t xml:space="preserve">earthquake insurance bc</t>
  </si>
  <si>
    <t xml:space="preserve">sonnet (optional in BC)</t>
  </si>
  <si>
    <t xml:space="preserve">ratehub, mychoice, thinkinsure</t>
  </si>
  <si>
    <t xml:space="preserve">Built with the Gig driver desk. The Ontario gig-driver guide supports it.</t>
  </si>
  <si>
    <t xml:space="preserve">doordash insurance canada</t>
  </si>
  <si>
    <t xml:space="preserve">everlance, thinkinsure</t>
  </si>
  <si>
    <t xml:space="preserve">Gig drivers are the group most exposed by the Ontario accident-benefits opt-out. Service page plus the Ontario guide.</t>
  </si>
  <si>
    <t xml:space="preserve">Built (advisor-quoted). Specialty market with low advisor fit.</t>
  </si>
  <si>
    <t xml:space="preserve">policyadvisor, ratehub, policyme, money.ca</t>
  </si>
  <si>
    <t xml:space="preserve">health-province</t>
  </si>
  <si>
    <t xml:space="preserve">Built (service page under whole life).</t>
  </si>
  <si>
    <t xml:space="preserve">ratehub, policyadvisor</t>
  </si>
  <si>
    <t xml:space="preserve">Few Canadian insurers still sell individual LTC; the page says so and covers the alternatives.</t>
  </si>
  <si>
    <t xml:space="preserve">Good cross-sell for landlords, cottage owners and boat owners.</t>
  </si>
  <si>
    <t xml:space="preserve">cheap car insurance london ontario</t>
  </si>
  <si>
    <t xml:space="preserve">how much is car insurance in london ontario</t>
  </si>
  <si>
    <t xml:space="preserve">business-province</t>
  </si>
  <si>
    <t xml:space="preserve">(none seen)</t>
  </si>
  <si>
    <t xml:space="preserve">Quebec waitlist until AMF registration.</t>
  </si>
  <si>
    <t xml:space="preserve">auto-coverage</t>
  </si>
  <si>
    <t xml:space="preserve">insurance glossary</t>
  </si>
  <si>
    <t xml:space="preserve">rates.ca (car glossary)</t>
  </si>
  <si>
    <t xml:space="preserve">IBC data, local brokers</t>
  </si>
  <si>
    <t xml:space="preserve">hail insurance calgary</t>
  </si>
  <si>
    <t xml:space="preserve">Calgary hail on August 5, 2024 cost about $3.29B (CatIQ, verify).</t>
  </si>
  <si>
    <t xml:space="preserve">hail damage red deer</t>
  </si>
  <si>
    <t xml:space="preserve">ratehub, rates.ca guide</t>
  </si>
  <si>
    <t xml:space="preserve">Built with the Newcomer driver desk. Staff it with multilingual advisors (Punjabi, Hindi, Tagalog, Mandarin).</t>
  </si>
  <si>
    <t xml:space="preserve">All-services hub with every product, service and specialist desk.</t>
  </si>
  <si>
    <t xml:space="preserve">cheap car insurance windsor</t>
  </si>
  <si>
    <t xml:space="preserve">how much is car insurance in windsor</t>
  </si>
  <si>
    <t xml:space="preserve">life-province</t>
  </si>
  <si>
    <t xml:space="preserve">Non-profit boards are an easy, under-served segment.</t>
  </si>
  <si>
    <t xml:space="preserve">rates.ca (cottage rental)</t>
  </si>
  <si>
    <t xml:space="preserve">Built with the Cottage &amp; rural property desk.</t>
  </si>
  <si>
    <t xml:space="preserve">life-local</t>
  </si>
  <si>
    <t xml:space="preserve">policyadvisor (stale 2025 titles), ratehub (thin)</t>
  </si>
  <si>
    <t xml:space="preserve">BC brokers</t>
  </si>
  <si>
    <t xml:space="preserve">BC strata deductibles are the national extreme. BC banned strata referral fees in 2020.</t>
  </si>
  <si>
    <t xml:space="preserve">condo insurance deductible coverage</t>
  </si>
  <si>
    <t xml:space="preserve">local brokers</t>
  </si>
  <si>
    <t xml:space="preserve">Niche gap: no comparison site has a page for declined or non-renewed homes. Hard-to-insure property desk.</t>
  </si>
  <si>
    <t xml:space="preserve">high risk home insurance</t>
  </si>
  <si>
    <t xml:space="preserve">local brokers, specialty MGAs</t>
  </si>
  <si>
    <t xml:space="preserve">Same page and desk as above.</t>
  </si>
  <si>
    <t xml:space="preserve">cheap car insurance kitchener</t>
  </si>
  <si>
    <t xml:space="preserve">how much is car insurance in kitchener</t>
  </si>
  <si>
    <t xml:space="preserve">rates.ca, sonnet, local brokers (#1)</t>
  </si>
  <si>
    <t xml:space="preserve">MPI sells basic auto; target optional coverage. Low lead value.</t>
  </si>
  <si>
    <t xml:space="preserve">is tenant insurance mandatory in alberta</t>
  </si>
  <si>
    <t xml:space="preserve">policyadvisor, mychoice, iA</t>
  </si>
  <si>
    <t xml:space="preserve">Underserved and high converting. Planned translations: Punjabi, Hindi, Mandarin, Tagalog.</t>
  </si>
  <si>
    <t xml:space="preserve">life insurance work permit canada</t>
  </si>
  <si>
    <t xml:space="preserve">policyadvisor, yahoo finance</t>
  </si>
  <si>
    <t xml:space="preserve">dental clinics (weak)</t>
  </si>
  <si>
    <t xml:space="preserve">Weak SERP. CDCP opened to adults 18 to 64 in 2026.</t>
  </si>
  <si>
    <t xml:space="preserve">ratehub blog, rates.ca (price anchors)</t>
  </si>
  <si>
    <t xml:space="preserve">Built with the Short-term rental desk (niche gap: Ratehub has one page, no one staffs it).</t>
  </si>
  <si>
    <t xml:space="preserve">life-conditions</t>
  </si>
  <si>
    <t xml:space="preserve">Answered on the medical-conditions page (Medical underwriting desk). Per-condition pages still planned.</t>
  </si>
  <si>
    <t xml:space="preserve">life insurance for diabetics</t>
  </si>
  <si>
    <t xml:space="preserve">Answered on the medical-conditions page (Medical underwriting desk). Planned per-condition hub: /life-insurance/conditions/{condition}/.</t>
  </si>
  <si>
    <t xml:space="preserve">local brokers, thinkinsure, rates.ca (broker pages)</t>
  </si>
  <si>
    <t xml:space="preserve">City hub. Add a Google Business Profile only where an advisor really works from that city.</t>
  </si>
  <si>
    <t xml:space="preserve">business-local</t>
  </si>
  <si>
    <t xml:space="preserve">rates.ca (food &amp; beverage)</t>
  </si>
  <si>
    <t xml:space="preserve">Built with a senior-driver example estimate.</t>
  </si>
  <si>
    <t xml:space="preserve">rates.ca, sonnet</t>
  </si>
  <si>
    <t xml:space="preserve">Built with the Self-employed income protection desk. Tie-in with the Ontario income-replacement opt-out.</t>
  </si>
  <si>
    <t xml:space="preserve">sun life, policyadvisor</t>
  </si>
  <si>
    <t xml:space="preserve">SGI sells basic auto; target optional coverage. Low lead value.</t>
  </si>
  <si>
    <t xml:space="preserve">cheap car insurance st johns</t>
  </si>
  <si>
    <t xml:space="preserve">how much is car insurance in st johns</t>
  </si>
  <si>
    <t xml:space="preserve">Province page targets super visa buyers sponsoring parents locally.</t>
  </si>
  <si>
    <t xml:space="preserve">Page exists but is noindex until an editor adds a 300+ character local intro (Admin → SEO → Page overrides).</t>
  </si>
  <si>
    <t xml:space="preserve">ratehub blog, sonnet blog</t>
  </si>
  <si>
    <t xml:space="preserve">Built (life product, business buyer).</t>
  </si>
  <si>
    <t xml:space="preserve">ratehub (thin)</t>
  </si>
  <si>
    <t xml:space="preserve">Built (trade page).</t>
  </si>
  <si>
    <t xml:space="preserve">policyadvisor (stale 2025 titles)</t>
  </si>
  <si>
    <t xml:space="preserve">ratehub blog</t>
  </si>
  <si>
    <t xml:space="preserve">Back-to-school spike in August and September.</t>
  </si>
  <si>
    <t xml:space="preserve">No competitor tool seen.</t>
  </si>
  <si>
    <t xml:space="preserve">Built (trade page). More trades follow the same template.</t>
  </si>
  <si>
    <t xml:space="preserve">(explainers only)</t>
  </si>
  <si>
    <t xml:space="preserve">Ontario only. The Accident benefits review desk turns the July 2026 opt-out into an advisor conversation; the guide covers the rules.</t>
  </si>
  <si>
    <t xml:space="preserve">Page exists but is noindex until an editor adds a 300+ character local intro (Admin → SEO → Page overrides). ICBC sells basic auto; target optional coverage. Low lead value.</t>
  </si>
  <si>
    <t xml:space="preserve">Quebec waitlist until AMF registration. Competitor city pages here are thin or carry stale dates (October 2026 review): freshness opening.</t>
  </si>
  <si>
    <t xml:space="preserve">Page exists but is noindex until an editor adds a 300+ character local intro (Admin → SEO → Page overrides). Quebec waitlist until AMF registration.</t>
  </si>
  <si>
    <t xml:space="preserve">Quebec waitlist until AMF registration; English phrase only (French terms listed separately). Province page targets super visa buyers sponsoring parents locally.</t>
  </si>
  <si>
    <t xml:space="preserve">Page exists but is noindex until an editor adds a 300+ character local intro (Admin → SEO → Page overrides). MPI sells basic auto; target optional coverage. Low lead value.</t>
  </si>
  <si>
    <t xml:space="preserve">Target page</t>
  </si>
  <si>
    <t xml:space="preserve">Mapped?</t>
  </si>
  <si>
    <t xml:space="preserve">Keyword in target title?</t>
  </si>
  <si>
    <t xml:space="preserve">Notes / planned URL</t>
  </si>
  <si>
    <t xml:space="preserve">Measured volume (Keyword Planner)</t>
  </si>
  <si>
    <t xml:space="preserve">Current Google rank</t>
  </si>
  <si>
    <t xml:space="preserve">Last checked</t>
  </si>
  <si>
    <t xml:space="preserve">best life insurance companies canada</t>
  </si>
  <si>
    <t xml:space="preserve">life-reviews</t>
  </si>
  <si>
    <t xml:space="preserve">policyadvisor, wealthnorth, hellosafe</t>
  </si>
  <si>
    <t xml:space="preserve">Planned: /life-insurance/best-companies/. Publish the methodology first.</t>
  </si>
  <si>
    <t xml:space="preserve">most stolen cars canada</t>
  </si>
  <si>
    <t xml:space="preserve">auto-data</t>
  </si>
  <si>
    <t xml:space="preserve">sonnet, equite association, insurancehotline</t>
  </si>
  <si>
    <t xml:space="preserve">Planned: /guides/most-stolen-cars-canada/ refreshed with each Équité report.</t>
  </si>
  <si>
    <t xml:space="preserve">best car insurance companies canada</t>
  </si>
  <si>
    <t xml:space="preserve">auto-reviews</t>
  </si>
  <si>
    <t xml:space="preserve">ratehub blog, mychoice, moneygeek</t>
  </si>
  <si>
    <t xml:space="preserve">Planned: /car-insurance/best-companies/. Needs a published ranking methodology first (Competition Act, RIBO).</t>
  </si>
  <si>
    <t xml:space="preserve">comprehensive vs collision insurance</t>
  </si>
  <si>
    <t xml:space="preserve">rates.ca coverage pages</t>
  </si>
  <si>
    <t xml:space="preserve">Planned guide. The glossary covers the terms meanwhile.</t>
  </si>
  <si>
    <t xml:space="preserve">gap insurance canada</t>
  </si>
  <si>
    <t xml:space="preserve">FSRA warned in 2026 about unlicensed GAP sales. Explainer only.</t>
  </si>
  <si>
    <t xml:space="preserve">sonnet insurance review</t>
  </si>
  <si>
    <t xml:space="preserve">brand-reviews</t>
  </si>
  <si>
    <t xml:space="preserve">youset, policyme, lowestrates, comparewise</t>
  </si>
  <si>
    <t xml:space="preserve">Planned: /reviews/{insurer}/. Brand-review SERPs looked soft.</t>
  </si>
  <si>
    <t xml:space="preserve">Planned: /life-insurance/children/.</t>
  </si>
  <si>
    <t xml:space="preserve">is life insurance taxable in canada</t>
  </si>
  <si>
    <t xml:space="preserve">life-tax</t>
  </si>
  <si>
    <t xml:space="preserve">Planned guide.</t>
  </si>
  <si>
    <t xml:space="preserve">why is home insurance going up</t>
  </si>
  <si>
    <t xml:space="preserve">(news)</t>
  </si>
  <si>
    <t xml:space="preserve">Property premiums rose 5.8% year over year in Q2 2026 (Applied, verify). Planned guide.</t>
  </si>
  <si>
    <t xml:space="preserve">intact insurance review</t>
  </si>
  <si>
    <t xml:space="preserve">Planned: /reviews/intact/ with a published review method.</t>
  </si>
  <si>
    <t xml:space="preserve">usage based insurance canada</t>
  </si>
  <si>
    <t xml:space="preserve">sonnet shift, ratehub survey</t>
  </si>
  <si>
    <t xml:space="preserve">Planned guide: /guides/usage-based-car-insurance-canada/.</t>
  </si>
  <si>
    <t xml:space="preserve">best critical illness insurance canada</t>
  </si>
  <si>
    <t xml:space="preserve">Planned: /critical-illness-insurance/best-companies/ with methodology.</t>
  </si>
  <si>
    <t xml:space="preserve">manulife life insurance review</t>
  </si>
  <si>
    <t xml:space="preserve">Planned: /reviews/manulife/.</t>
  </si>
  <si>
    <t xml:space="preserve">car insurance rate increase by company ontario</t>
  </si>
  <si>
    <t xml:space="preserve">rates.ca (Ontario rate tracker)</t>
  </si>
  <si>
    <t xml:space="preserve">Rates.ca owns this with a quarterly FSRA-based tracker. Link to FSRA rather than duplicate.</t>
  </si>
  <si>
    <t xml:space="preserve">sun life life insurance review</t>
  </si>
  <si>
    <t xml:space="preserve">Planned: /reviews/sun-life/.</t>
  </si>
  <si>
    <t xml:space="preserve">sun life vs manulife</t>
  </si>
  <si>
    <t xml:space="preserve">policyadvisor (15 programmatic term-life head-to-heads)</t>
  </si>
  <si>
    <t xml:space="preserve">PolicyAdvisor already runs 15 carrier-pair pages. Compete on P&amp;C head-to-heads first (no competitor has them).</t>
  </si>
  <si>
    <t xml:space="preserve">coverme insurance review</t>
  </si>
  <si>
    <t xml:space="preserve">Direct-to-consumer "instant" competitor; compare honestly.</t>
  </si>
  <si>
    <t xml:space="preserve">intact vs aviva</t>
  </si>
  <si>
    <t xml:space="preserve">Planned: /compare/intact-vs-aviva/ (car and home), with a published comparison method.</t>
  </si>
  <si>
    <t xml:space="preserve">nova scotia car insurance rate increase</t>
  </si>
  <si>
    <t xml:space="preserve">Planned: Atlantic rate-decision tracker (NS UARB, NB Insurance Board, NL PUB, PEI IRAC). No competitor covers Atlantic rate filings; verify each board publishes decisions.</t>
  </si>
  <si>
    <t xml:space="preserve">td insurance vs intact</t>
  </si>
  <si>
    <t xml:space="preserve">Planned: /compare/td-insurance-vs-intact/.</t>
  </si>
  <si>
    <t xml:space="preserve">belairdirect vs td insurance</t>
  </si>
  <si>
    <t xml:space="preserve">Planned: /compare/belairdirect-vs-td-insurance/.</t>
  </si>
  <si>
    <t xml:space="preserve">new brunswick car insurance rate increase</t>
  </si>
  <si>
    <t xml:space="preserve">Same Atlantic tracker.</t>
  </si>
  <si>
    <t xml:space="preserve">sonnet vs belairdirect</t>
  </si>
  <si>
    <t xml:space="preserve">youset (blog)</t>
  </si>
  <si>
    <t xml:space="preserve">Planned: /compare/sonnet-vs-belairdirect/.</t>
  </si>
  <si>
    <t xml:space="preserve">assurance auto</t>
  </si>
  <si>
    <t xml:space="preserve">fr-quebec</t>
  </si>
  <si>
    <t xml:space="preserve">sonnet, desjardins, belairdirect, beneva</t>
  </si>
  <si>
    <t xml:space="preserve">Planned: /fr/assurance-auto/. Needs AMF registration (Alternative Distribution Methods regulation), French pages and hreflang.</t>
  </si>
  <si>
    <t xml:space="preserve">assurance habitation</t>
  </si>
  <si>
    <t xml:space="preserve">sonnet, desjardins, intact</t>
  </si>
  <si>
    <t xml:space="preserve">Planned: /fr/assurance-habitation/.</t>
  </si>
  <si>
    <t xml:space="preserve">assurance vie</t>
  </si>
  <si>
    <t xml:space="preserve">desjardins, iA, beneva, sun life</t>
  </si>
  <si>
    <t xml:space="preserve">Planned: /fr/assurance-vie/. No competitor geo page seen for Quebec life insurance; PolicyAdvisor is not licensed there.</t>
  </si>
  <si>
    <t xml:space="preserve">soumission assurance auto</t>
  </si>
  <si>
    <t xml:space="preserve">sonnet ("soumission 100% en ligne")</t>
  </si>
  <si>
    <t xml:space="preserve">Planned: /fr/soumission/ (quote flow in French). Use "soumission" in French titles.</t>
  </si>
  <si>
    <t xml:space="preserve">assurance locataire</t>
  </si>
  <si>
    <t xml:space="preserve">Planned: /fr/assurance-locataire/.</t>
  </si>
  <si>
    <t xml:space="preserve">assurance maladies graves</t>
  </si>
  <si>
    <t xml:space="preserve">desjardins, sun life</t>
  </si>
  <si>
    <t xml:space="preserve">Planned: /fr/assurance-maladies-graves/.</t>
  </si>
  <si>
    <t xml:space="preserve">assurance invalidité</t>
  </si>
  <si>
    <t xml:space="preserve">desjardins, iA</t>
  </si>
  <si>
    <t xml:space="preserve">Planned: /fr/assurance-invalidite/.</t>
  </si>
  <si>
    <t xml:space="preserve">saaq car insurance</t>
  </si>
  <si>
    <t xml:space="preserve">sonnet (3+ posts)</t>
  </si>
  <si>
    <t xml:space="preserve">Quebec is waitlisted until AMF registration and French pages exist.</t>
  </si>
  <si>
    <t xml:space="preserve">mpi optional insurance</t>
  </si>
  <si>
    <t xml:space="preserve">MPI</t>
  </si>
  <si>
    <t xml:space="preserve">Planned explainer in the style of the ICBC guide.</t>
  </si>
  <si>
    <t xml:space="preserve">sgi auto fund optional coverage</t>
  </si>
  <si>
    <t xml:space="preserve">SGI</t>
  </si>
  <si>
    <t xml:space="preserve">assurance habitation nouveau-brunswick</t>
  </si>
  <si>
    <t xml:space="preserve">French pages for New Brunswick francophones.</t>
  </si>
  <si>
    <t xml:space="preserve">assurance auto montréal</t>
  </si>
  <si>
    <t xml:space="preserve">ratehub (EN only)</t>
  </si>
  <si>
    <t xml:space="preserve">Planned: /fr/assurance-auto/quebec/montreal/.</t>
  </si>
  <si>
    <t xml:space="preserve">car insurance scarborough</t>
  </si>
  <si>
    <t xml:space="preserve">rates.ca, sonnet ($330/mo)</t>
  </si>
  <si>
    <t xml:space="preserve">Planned Toronto sub-area page (/car-insurance/ontario/toronto/scarborough/). Ratehub has none. Needs a verified population figure or no population fact.</t>
  </si>
  <si>
    <t xml:space="preserve">assurance habitation montréal</t>
  </si>
  <si>
    <t xml:space="preserve">Planned: /fr/assurance-habitation/quebec/montreal/.</t>
  </si>
  <si>
    <t xml:space="preserve">car insurance north york</t>
  </si>
  <si>
    <t xml:space="preserve">rates.ca (generic title, no city name)</t>
  </si>
  <si>
    <t xml:space="preserve">Planned Toronto sub-area page. Rates.ca's title omits the city: easy to beat.</t>
  </si>
  <si>
    <t xml:space="preserve">assurance auto québec</t>
  </si>
  <si>
    <t xml:space="preserve">Planned: /fr/assurance-auto/quebec/ville-de-quebec/.</t>
  </si>
  <si>
    <t xml:space="preserve">car insurance etobicoke</t>
  </si>
  <si>
    <t xml:space="preserve">Planned Toronto sub-area page.</t>
  </si>
  <si>
    <t xml:space="preserve">assurance auto laval</t>
  </si>
  <si>
    <t xml:space="preserve">Planned: /fr/assurance-auto/quebec/laval/.</t>
  </si>
  <si>
    <t xml:space="preserve">assurance auto gatineau</t>
  </si>
  <si>
    <t xml:space="preserve">Planned: /fr/assurance-auto/quebec/gatineau/.</t>
  </si>
  <si>
    <t xml:space="preserve">assurance habitation laval</t>
  </si>
  <si>
    <t xml:space="preserve">Planned: /fr/assurance-habitation/quebec/laval/.</t>
  </si>
  <si>
    <t xml:space="preserve">assurance vie montréal</t>
  </si>
  <si>
    <t xml:space="preserve">Planned: /fr/assurance-vie/quebec/montreal/.</t>
  </si>
  <si>
    <t xml:space="preserve">Planned URL</t>
  </si>
  <si>
    <t xml:space="preserve">Target date</t>
  </si>
  <si>
    <t xml:space="preserve">/fr/assurance-auto/</t>
  </si>
  <si>
    <t xml:space="preserve">Not started</t>
  </si>
  <si>
    <t xml:space="preserve">/fr/assurance-habitation/</t>
  </si>
  <si>
    <t xml:space="preserve">/fr/assurance-vie/</t>
  </si>
  <si>
    <t xml:space="preserve">/fr/soumission/</t>
  </si>
  <si>
    <t xml:space="preserve">/fr/assurance-locataire/</t>
  </si>
  <si>
    <t xml:space="preserve">/life-insurance/best-companies/</t>
  </si>
  <si>
    <t xml:space="preserve">/guides/most-stolen-cars-canada/</t>
  </si>
  <si>
    <t xml:space="preserve">/car-insurance/best-companies/</t>
  </si>
  <si>
    <t xml:space="preserve">/fr/assurance-auto/quebec/montreal/</t>
  </si>
  <si>
    <t xml:space="preserve">/fr/assurance-maladies-graves/</t>
  </si>
  <si>
    <t xml:space="preserve">/fr/assurance-habitation/quebec/montreal/</t>
  </si>
  <si>
    <t xml:space="preserve">/fr/assurance-invalidite/</t>
  </si>
  <si>
    <t xml:space="preserve">/fr/assurance-auto/quebec/ville-de-quebec/</t>
  </si>
  <si>
    <t xml:space="preserve">/reviews/{insurer}/</t>
  </si>
  <si>
    <t xml:space="preserve">/life-insurance/children/</t>
  </si>
  <si>
    <t xml:space="preserve">/reviews/intact/</t>
  </si>
  <si>
    <t xml:space="preserve">/guides/usage-based-car-insurance-canada/</t>
  </si>
  <si>
    <t xml:space="preserve">/fr/assurance-auto/quebec/laval/</t>
  </si>
  <si>
    <t xml:space="preserve">/critical-illness-insurance/best-companies/</t>
  </si>
  <si>
    <t xml:space="preserve">/reviews/manulife/</t>
  </si>
  <si>
    <t xml:space="preserve">/fr/assurance-auto/quebec/gatineau/</t>
  </si>
  <si>
    <t xml:space="preserve">/reviews/sun-life/</t>
  </si>
  <si>
    <t xml:space="preserve">/fr/assurance-habitation/quebec/laval/</t>
  </si>
  <si>
    <t xml:space="preserve">/fr/assurance-vie/quebec/montreal/</t>
  </si>
  <si>
    <t xml:space="preserve">/compare/intact-vs-aviva/</t>
  </si>
  <si>
    <t xml:space="preserve">/compare/td-insurance-vs-intact/</t>
  </si>
  <si>
    <t xml:space="preserve">/compare/belairdirect-vs-td-insurance/</t>
  </si>
  <si>
    <t xml:space="preserve">/compare/sonnet-vs-belairdirect/</t>
  </si>
  <si>
    <t xml:space="preserve">Topic ID</t>
  </si>
  <si>
    <t xml:space="preserve">Blog title (H1)</t>
  </si>
  <si>
    <t xml:space="preserve">Focus keyword</t>
  </si>
  <si>
    <t xml:space="preserve">Keyword-map volume / mo</t>
  </si>
  <si>
    <t xml:space="preserve">Volume tier (modelled)</t>
  </si>
  <si>
    <t xml:space="preserve">Secondary keywords</t>
  </si>
  <si>
    <t xml:space="preserve">Geo scope</t>
  </si>
  <si>
    <t xml:space="preserve">Funnel stage</t>
  </si>
  <si>
    <t xml:space="preserve">Meta title</t>
  </si>
  <si>
    <t xml:space="preserve">Meta title length</t>
  </si>
  <si>
    <t xml:space="preserve">Meta description length</t>
  </si>
  <si>
    <t xml:space="preserve">Focus keyword in meta title?</t>
  </si>
  <si>
    <t xml:space="preserve">H2 outline</t>
  </si>
  <si>
    <t xml:space="preserve">FAQ questions (FAQPage schema)</t>
  </si>
  <si>
    <t xml:space="preserve">Value asset (why it gets cited)</t>
  </si>
  <si>
    <t xml:space="preserve">Internal links (must link to)</t>
  </si>
  <si>
    <t xml:space="preserve">Call to action</t>
  </si>
  <si>
    <t xml:space="preserve">Schema</t>
  </si>
  <si>
    <t xml:space="preserve">Target words</t>
  </si>
  <si>
    <t xml:space="preserve">Competitor coverage / gap</t>
  </si>
  <si>
    <t xml:space="preserve">Optimization instructions</t>
  </si>
  <si>
    <t xml:space="preserve">Compliance &amp; facts to verify</t>
  </si>
  <si>
    <t xml:space="preserve">Refresh cadence</t>
  </si>
  <si>
    <t xml:space="preserve">Writer</t>
  </si>
  <si>
    <t xml:space="preserve">Target publish date</t>
  </si>
  <si>
    <t xml:space="preserve">Published date</t>
  </si>
  <si>
    <t xml:space="preserve">Published</t>
  </si>
  <si>
    <t xml:space="preserve">auto</t>
  </si>
  <si>
    <t xml:space="preserve">alberta car insurance</t>
  </si>
  <si>
    <t xml:space="preserve">alberta car insurance; alberta car insurance 2026; care-first alberta; alberta good driver rate cap 2026; alberta auto insurance reform 2027; will alberta car insurance go down</t>
  </si>
  <si>
    <t xml:space="preserve">Province: Alberta</t>
  </si>
  <si>
    <t xml:space="preserve">What is the Alberta good driver rate cap for 2026? | When does Care-First start in Alberta? | Will I still be able to sue after a crash in Alberta? | Does the rate cap apply if I switch insurers?</t>
  </si>
  <si>
    <t xml:space="preserve">Article; FAQPage; BreadcrumbList</t>
  </si>
  <si>
    <t xml:space="preserve">Live. Review the date, sources and reviewer each quarter; add internal links to new posts in the same segment.</t>
  </si>
  <si>
    <t xml:space="preserve">See docs/CONTENT_REVIEW.md section 4.</t>
  </si>
  <si>
    <t xml:space="preserve">Quarterly</t>
  </si>
  <si>
    <t xml:space="preserve">2026-10-03</t>
  </si>
  <si>
    <t xml:space="preserve">home</t>
  </si>
  <si>
    <t xml:space="preserve">calgary hail insurance</t>
  </si>
  <si>
    <t xml:space="preserve">calgary hail insurance; does car insurance cover hail damage; hail damage home insurance alberta; roof hail claim calgary; impact resistant shingles insurance discount; comprehensive coverage hail</t>
  </si>
  <si>
    <t xml:space="preserve">Does car insurance cover hail damage in Alberta? | Will a hail claim raise my home insurance premium? | Do impact-resistant shingles lower home insurance in Calgary? | Should I claim minor hail damage?</t>
  </si>
  <si>
    <t xml:space="preserve">condo insurance deductible</t>
  </si>
  <si>
    <t xml:space="preserve">condo deductible assessment; loss assessment coverage; condo master policy vs unit policy; standard unit by-law Ontario; strata deductible BC; condo improvements coverage</t>
  </si>
  <si>
    <t xml:space="preserve">Province: British Columbia, Ontario</t>
  </si>
  <si>
    <t xml:space="preserve">What is a condo deductible assessment? | What is the difference between loss assessment and deductible assessment? | How much deductible-assessment coverage do I need? | Does the master policy cover my upgraded kitchen?</t>
  </si>
  <si>
    <t xml:space="preserve">health</t>
  </si>
  <si>
    <t xml:space="preserve">critical illness or disability insurance; difference between critical illness and disability insurance; do i need critical illness insurance; disability insurance self employed canada; are critical illness benefits taxable; income protection insurance canada</t>
  </si>
  <si>
    <t xml:space="preserve">Critical Illness vs Disability Insurance in Canada</t>
  </si>
  <si>
    <t xml:space="preserve">Is critical illness or disability insurance more important? | Does disability insurance cover cancer? | Can I have both critical illness and disability insurance? | Are critical illness benefits taxable in Canada? | Does EI cover a long illness?</t>
  </si>
  <si>
    <t xml:space="preserve">home insurance water damage; sewer backup coverage; overland flood insurance Canada; above-ground water coverage; service line coverage; national flood insurance program</t>
  </si>
  <si>
    <t xml:space="preserve">Is a burst pipe covered by home insurance in Canada? | Is basement flooding covered by home insurance? | Does tenant or condo insurance cover water damage? | What happened to Canada's national flood insurance program? | Will a water damage claim raise my premium?</t>
  </si>
  <si>
    <t xml:space="preserve">gig driver insurance; uber insurance ontario; doordash insurance ontario; rideshare insurance ontario; opcf 6a; delivery driver car insurance ontario</t>
  </si>
  <si>
    <t xml:space="preserve">Province: Ontario</t>
  </si>
  <si>
    <t xml:space="preserve">Gig Driver Insurance in Ontario: Uber and DoorDash</t>
  </si>
  <si>
    <t xml:space="preserve">Do I need special insurance to drive for Uber in Ontario? | Does OPCF 6A cover food delivery? | Should gig drivers opt out of income replacement benefits? | What happens if I don't tell my insurer I drive for an app?</t>
  </si>
  <si>
    <t xml:space="preserve">life</t>
  </si>
  <si>
    <t xml:space="preserve">life insurance cost canada; life insurance rates by age; term life insurance cost; 500000 life insurance cost; smoker life insurance rates; cheap life insurance canada</t>
  </si>
  <si>
    <t xml:space="preserve">How much is $500,000 of life insurance a month in Canada? | Why is life insurance cheaper for women? | Does vaping count as smoking for life insurance? | Is no-medical life insurance more expensive? | Does my life insurance premium go up every year?</t>
  </si>
  <si>
    <t xml:space="preserve">how much life insurance should i get; life insurance calculator canada; dime method life insurance; life insurance coverage amount; is group life insurance enough; cpp survivor benefits life insurance</t>
  </si>
  <si>
    <t xml:space="preserve">Is 10 times my salary enough life insurance? | Should I count my group life insurance from work? | Does a stay-at-home parent need life insurance? | Are life insurance payouts taxable in Canada? | How often should I review my life insurance?</t>
  </si>
  <si>
    <t xml:space="preserve">icbc optional insurance; icbc basic vs optional; private optional car insurance bc; icbc low kilometre discount; bc car insurance optional coverage; icbc rate freeze 2027</t>
  </si>
  <si>
    <t xml:space="preserve">Province: British Columbia</t>
  </si>
  <si>
    <t xml:space="preserve">Is ICBC optional insurance mandatory? | Can I buy optional car insurance from a private insurer in BC? | Are ICBC rates frozen in 2026? | Who qualifies for the ICBC low-kilometre discount?</t>
  </si>
  <si>
    <t xml:space="preserve">life insurance for newcomers</t>
  </si>
  <si>
    <t xml:space="preserve">life insurance for newcomers to canada; life insurance work permit canada; life insurance permanent resident canada; life insurance international students canada; life insurance new immigrants canada; super visa parents insurance</t>
  </si>
  <si>
    <t xml:space="preserve">Can I get life insurance on a work permit in Canada? | How long do I need to live in Canada before buying life insurance? | Can my beneficiary live outside Canada? | Can my parents on a Super Visa get life insurance in Canada? | What happens to my policy if I leave Canada?</t>
  </si>
  <si>
    <t xml:space="preserve">mortgage life insurance vs term life insurance</t>
  </si>
  <si>
    <t xml:space="preserve">mortgage insurance vs life insurance; bank mortgage life insurance; mortgage protection insurance canada; post-claim underwriting; mortgage renewal 2026 life insurance; is mortgage life insurance mandatory</t>
  </si>
  <si>
    <t xml:space="preserve">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</si>
  <si>
    <t xml:space="preserve">ontario auto insurance changes</t>
  </si>
  <si>
    <t xml:space="preserve">ontario auto insurance changes; ontario auto insurance reform 2026; optional accident benefits ontario; income replacement benefit ontario; ontario accident benefits july 2026; should i opt out of income replacement</t>
  </si>
  <si>
    <t xml:space="preserve">Are income replacement benefits still mandatory in Ontario? | Did my coverage change automatically on July 1, 2026? | How much do I save by dropping optional accident benefits? | Can I add optional accident benefits back later?</t>
  </si>
  <si>
    <t xml:space="preserve">private dental insurance</t>
  </si>
  <si>
    <t xml:space="preserve">Canadian Dental Care Plan; CDCP eligibility; CDCP vs private insurance; individual health and dental plan; guaranteed issue dental insurance; dental insurance self-employed</t>
  </si>
  <si>
    <t xml:space="preserve">Will buying private dental insurance disqualify me from the CDCP? | Is the CDCP free? | Can I have the CDCP and a health plan without dental? | What is a guaranteed issue health and dental plan? | I just lost my workplace benefits. What should I do?</t>
  </si>
  <si>
    <t xml:space="preserve">business insurance cost Canada; commercial general liability cost; errors and omissions insurance cost; contractor insurance cost; business interruption insurance; cyber insurance small business</t>
  </si>
  <si>
    <t xml:space="preserve">How much is liability insurance for a small business in Canada? | Is business insurance mandatory in Canada? | Does my home insurance cover my home-based business? | What is the difference between CGL and E&amp;O insurance?</t>
  </si>
  <si>
    <t xml:space="preserve">super visa insurance cost; super visa insurance by age; super visa medical insurance; super visa monthly payment; super visa pre-existing conditions; parent and grandparent super visa</t>
  </si>
  <si>
    <t xml:space="preserve">Super Visa Insurance Requirements and Cost by Age</t>
  </si>
  <si>
    <t xml:space="preserve">What is the minimum Super Visa insurance coverage? | Can I pay for Super Visa insurance monthly? | Do I get a refund if the Super Visa is refused? | Does Super Visa insurance cover pre-existing conditions? | Can my parents buy Super Visa insurance from a company in their home country?</t>
  </si>
  <si>
    <t xml:space="preserve">tenant insurance Ontario</t>
  </si>
  <si>
    <t xml:space="preserve">can a landlord require tenant insurance; Ontario standard lease insurance; renters insurance Ontario; tenant liability insurance; student tenant insurance; tenant insurance cost Ontario</t>
  </si>
  <si>
    <t xml:space="preserve">Is tenant insurance mandatory in Ontario? | Can my landlord evict me for not having tenant insurance? | Does my landlord's insurance cover my belongings? | Do roommates need separate tenant insurance? | How much liability coverage should a tenant have?</t>
  </si>
  <si>
    <t xml:space="preserve">term or whole life insurance; whole life vs term life canada; buy term and invest the difference; term life conversion; life insurance laddering; permanent life insurance canada</t>
  </si>
  <si>
    <t xml:space="preserve">Term vs Whole Life Insurance in Canada (2026)</t>
  </si>
  <si>
    <t xml:space="preserve">Is whole life insurance worth it in Canada? | Can I switch from term to whole life later? | What happens when term life insurance expires? | Does term life insurance have a cash value? | Is universal life the same as whole life?</t>
  </si>
  <si>
    <t xml:space="preserve">why is my car insurance going up; car insurance going up 2026; why did my car insurance increase; car insurance rates canada 2026; how to lower car insurance; car insurance renewal increase</t>
  </si>
  <si>
    <t xml:space="preserve">Why Is My Car Insurance Going Up in 2026?</t>
  </si>
  <si>
    <t xml:space="preserve">Why did my car insurance go up if I had no claims or tickets? | Is car insurance getting cheaper anywhere in Canada? | Does a hail or theft claim raise my premium? | How often should I compare car insurance quotes?</t>
  </si>
  <si>
    <t xml:space="preserve">Planned</t>
  </si>
  <si>
    <t xml:space="preserve">Cost &amp; pricing</t>
  </si>
  <si>
    <t xml:space="preserve">How Much Does Critical Illness Insurance Cost in Canada? Prices by Age</t>
  </si>
  <si>
    <t xml:space="preserve">https://instasure.ca/guides/critical-illness-insurance-cost-canada/</t>
  </si>
  <si>
    <t xml:space="preserve">Medium</t>
  </si>
  <si>
    <t xml:space="preserve">critical illness insurance cost by age; how much is critical illness insurance; critical illness insurance rates canada; $100,000 critical illness insurance cost; critical illness insurance price for smokers</t>
  </si>
  <si>
    <t xml:space="preserve">MOFU</t>
  </si>
  <si>
    <t xml:space="preserve">Critical Illness Insurance Cost in Canada by Age</t>
  </si>
  <si>
    <t xml:space="preserve">See modelled critical illness insurance cost by age, sex, smoking status and coverage amount, what moves the price and how to lower it. Get an estimate.</t>
  </si>
  <si>
    <t xml:space="preserve">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</si>
  <si>
    <t xml:space="preserve">How much is $100,000 of critical illness insurance in Canada? | Does critical illness insurance get more expensive as I age? | Is critical illness cheaper as a rider on life insurance? | Do smokers pay more for critical illness insurance?</t>
  </si>
  <si>
    <t xml:space="preserve">Dated example-premium table (ages 25 to 60 × female/male × non-smoker/smoker × $50K/$100K/$250K) from the Instasure estimate model, labelled 'as of {month year}', plus a term-length cost comparison and the instant-estimate widget embed.</t>
  </si>
  <si>
    <t xml:space="preserve">/critical-illness-insurance/; /guides/critical-illness-vs-disability-insurance/; /guides/critical-illness-return-of-premium-explained/; /guides/how-much-critical-illness-insurance-do-i-need/</t>
  </si>
  <si>
    <t xml:space="preserve">Instant critical illness estimate (/critical-illness-insurance/)</t>
  </si>
  <si>
    <t xml:space="preserve">PolicyAdvisor (cost guide still titled '(2025)', plus a standalone CI calculator), Ratehub (age table) and PolicyMe cover CI cost; none shows smoker vs non-smoker by term length in one dated table with a stated profile.</t>
  </si>
  <si>
    <t xml:space="preserve">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</si>
  <si>
    <t xml:space="preserve">Every premium is a modelled estimate for a stated profile and date and must be checked against real carrier quotes before publishing; no 'cheapest' or 'from $X' wording and no named-carrier prices without a quote date.</t>
  </si>
  <si>
    <t xml:space="preserve">Coverage explained</t>
  </si>
  <si>
    <t xml:space="preserve">What Does Critical Illness Insurance Cover? The Conditions List Explained</t>
  </si>
  <si>
    <t xml:space="preserve">https://instasure.ca/guides/what-does-critical-illness-insurance-cover/</t>
  </si>
  <si>
    <t xml:space="preserve">what does critical illness insurance cover</t>
  </si>
  <si>
    <t xml:space="preserve">critical illness insurance covered conditions; critical illness conditions list canada; partial payment critical illness; early stage cancer critical illness; CLHIA critical illness benchmark definitions</t>
  </si>
  <si>
    <t xml:space="preserve">TOFU</t>
  </si>
  <si>
    <t xml:space="preserve">What Does Critical Illness Insurance Cover in Canada?</t>
  </si>
  <si>
    <t xml:space="preserve">A plain-language list of the conditions critical illness insurance covers in Canada, which pay in full or in part, and exclusions to check before you buy.</t>
  </si>
  <si>
    <t xml:space="preserve">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</si>
  <si>
    <t xml:space="preserve">How many conditions does critical illness insurance cover? | Is early-stage cancer covered by critical illness insurance? | Does critical illness insurance cover mental illness? | What is not covered by critical illness insurance?</t>
  </si>
  <si>
    <t xml:space="preserve">Condition-by-condition table (about 25 commonly covered conditions) showing typical full vs partial payout and a plain-English summary of each standard definition, sourced to the CLHIA benchmark definitions and dated.</t>
  </si>
  <si>
    <t xml:space="preserve">/critical-illness-insurance/; /guides/critical-illness-insurance-cancer-coverage/; /guides/why-critical-illness-claims-are-denied/; /glossary/</t>
  </si>
  <si>
    <t xml:space="preserve">Sun Life lists its own plan's conditions (26 full and 8 partial per search snippets) and PolicyAdvisor covers CI through carrier reviews; no neutral cross-insurer conditions table with definitions was seen.</t>
  </si>
  <si>
    <t xml:space="preserve">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</si>
  <si>
    <t xml:space="preserve">Verify the condition list and counts against the current CLHIA benchmark definitions and at least three insurers' contracts; do not imply every policy covers every listed condition.</t>
  </si>
  <si>
    <t xml:space="preserve">Annual</t>
  </si>
  <si>
    <t xml:space="preserve">Underwriting</t>
  </si>
  <si>
    <t xml:space="preserve">Critical Illness Insurance With a Pre-Existing Condition or Family History</t>
  </si>
  <si>
    <t xml:space="preserve">https://instasure.ca/guides/critical-illness-insurance-pre-existing-conditions/</t>
  </si>
  <si>
    <t xml:space="preserve">critical illness insurance pre existing conditions</t>
  </si>
  <si>
    <t xml:space="preserve">Low</t>
  </si>
  <si>
    <t xml:space="preserve">critical illness insurance family history; critical illness insurance with diabetes; critical illness insurance high blood pressure; critical illness exclusion rider; critical illness after cancer</t>
  </si>
  <si>
    <t xml:space="preserve">Critical Illness Insurance With Pre-Existing Conditions</t>
  </si>
  <si>
    <t xml:space="preserve">Can you get critical illness insurance with a pre-existing condition or family history? See likely outcomes for 10 conditions and your no-medical options.</t>
  </si>
  <si>
    <t xml:space="preserve">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</si>
  <si>
    <t xml:space="preserve">Will a family history of cancer stop me getting critical illness insurance? | Can I get critical illness insurance with type 2 diabetes? | What is an exclusion rider? | Does a no-medical critical illness policy cover pre-existing conditions?</t>
  </si>
  <si>
    <t xml:space="preserve">Condition-by-condition underwriting outlook table (likely standard, rated, exclusion, decline or simplified-issue only) for 10 common conditions, reviewed by the Medical underwriting desk advisor.</t>
  </si>
  <si>
    <t xml:space="preserve">/critical-illness-insurance/; /life-insurance/medical-conditions/; /guides/no-medical-critical-illness-insurance/; /guides/why-critical-illness-claims-are-denied/</t>
  </si>
  <si>
    <t xml:space="preserve">Request a specialist call: Medical underwriting desk (/life-insurance/medical-conditions/)</t>
  </si>
  <si>
    <t xml:space="preserve">PolicyAdvisor covers medical conditions for life insurance (diabetes, heart attack, overweight, smokers) but not for critical illness; the research lists condition-specific CI underwriting as a gap.</t>
  </si>
  <si>
    <t xml:space="preserve">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</si>
  <si>
    <t xml:space="preserve">Frame underwriting outcomes as typical, not guaranteed, and have the desk advisor confirm them; verify that anonymous pre-underwriting enquiries leave no MIB record before saying so.</t>
  </si>
  <si>
    <t xml:space="preserve">Comparisons</t>
  </si>
  <si>
    <t xml:space="preserve">No-Medical and Instant Critical Illness Insurance: Online Options Compared</t>
  </si>
  <si>
    <t xml:space="preserve">https://instasure.ca/guides/no-medical-critical-illness-insurance/</t>
  </si>
  <si>
    <t xml:space="preserve">no medical critical illness insurance</t>
  </si>
  <si>
    <t xml:space="preserve">instant critical illness insurance; buy critical illness insurance online canada; simplified issue critical illness; Sun Life Express Critical Illness; Manulife CoverMe critical illness</t>
  </si>
  <si>
    <t xml:space="preserve">BOFU</t>
  </si>
  <si>
    <t xml:space="preserve">No-Medical Critical Illness Insurance: Online Options</t>
  </si>
  <si>
    <t xml:space="preserve">Compare no-medical and instant critical illness insurance sold online: issue ages, coverage caps, health questions and time to coverage. See trade-offs.</t>
  </si>
  <si>
    <t xml:space="preserve">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</si>
  <si>
    <t xml:space="preserve">Can I get critical illness insurance instantly online? | How much critical illness coverage can I buy without a medical exam? | Does no-medical critical illness cover pre-existing conditions? | Is online critical illness insurance more expensive?</t>
  </si>
  <si>
    <t xml:space="preserve">Neutral comparison table of direct-to-consumer CI products by issue age, maximum benefit, number of health questions, conditions covered and time to coverage, with a published comparison method and a 'checked on' date.</t>
  </si>
  <si>
    <t xml:space="preserve">/critical-illness-insurance/; /no-medical-life-insurance/; /guides/critical-illness-insurance-pre-existing-conditions/; /editorial-guidelines/</t>
  </si>
  <si>
    <t xml:space="preserve">Sun Life (Express CI) and Manulife (CoverMe CI) sell only their own instant products, and PolicyAdvisor reviews CoverMe CI; no neutral cross-product comparison was seen (research gap 5.3).</t>
  </si>
  <si>
    <t xml:space="preserve">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</si>
  <si>
    <t xml:space="preserve">Named-product details (Express CI $25K/$50K limits, CoverMe CI term and cap) come from search snippets and must be verified on insurer pages; publish the comparison method and avoid 'best' wording.</t>
  </si>
  <si>
    <t xml:space="preserve">Critical Illness Insurance and Cancer: Early-Stage Payouts, Moratoriums and Recurrence</t>
  </si>
  <si>
    <t xml:space="preserve">https://instasure.ca/guides/critical-illness-insurance-cancer-coverage/</t>
  </si>
  <si>
    <t xml:space="preserve">critical illness insurance cancer</t>
  </si>
  <si>
    <t xml:space="preserve">cancer insurance canada; does critical illness cover cancer; early stage cancer partial payout; cancer moratorium critical illness; cancer recurrence critical illness claim</t>
  </si>
  <si>
    <t xml:space="preserve">Critical Illness Insurance for Cancer: What It Pays</t>
  </si>
  <si>
    <t xml:space="preserve">How critical illness insurance treats cancer: life-threatening vs early-stage definitions, partial payouts, the moratorium and recurrence. Check first.</t>
  </si>
  <si>
    <t xml:space="preserve">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</si>
  <si>
    <t xml:space="preserve">Does critical illness insurance cover all cancers? | What is the cancer moratorium period? | Can I buy critical illness insurance after cancer? | Is cancer-only insurance cheaper than critical illness insurance?</t>
  </si>
  <si>
    <t xml:space="preserve">Table of cancer definitions (life-threatening, early-stage partial, excluded) with plain-English examples, and a timeline showing how the moratorium and survival period interact after purchase.</t>
  </si>
  <si>
    <t xml:space="preserve">/critical-illness-insurance/; /guides/cancer-drug-coverage-by-province/; /guides/what-does-critical-illness-insurance-cover/; /life-insurance/medical-conditions/</t>
  </si>
  <si>
    <t xml:space="preserve">The research lists 'CI for cancer' as a content-depth gap; PolicyAdvisor and Sun Life cover CI generally, but no dedicated cancer-definition explainer surfaced.</t>
  </si>
  <si>
    <t xml:space="preserve">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</si>
  <si>
    <t xml:space="preserve">Verify moratorium length and partial-payout conditions against CLHIA benchmark definitions and insurer contracts; any cancer statistic must come from the Canadian Cancer Society and be dated.</t>
  </si>
  <si>
    <t xml:space="preserve">Critical Illness Return of Premium: How It Works and What It Costs</t>
  </si>
  <si>
    <t xml:space="preserve">https://instasure.ca/guides/critical-illness-return-of-premium-explained/</t>
  </si>
  <si>
    <t xml:space="preserve">return of premium critical illness insurance</t>
  </si>
  <si>
    <t xml:space="preserve">critical illness return of premium on death; return of premium on expiry; return of premium on cancellation; is return of premium worth it; is a critical illness premium refund taxable</t>
  </si>
  <si>
    <t xml:space="preserve">Return of Premium Critical Illness Insurance Explained</t>
  </si>
  <si>
    <t xml:space="preserve">How return of premium works on critical illness insurance: on death, expiry or cancellation, vesting rules, the extra cost and when it pays off.</t>
  </si>
  <si>
    <t xml:space="preserve">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</si>
  <si>
    <t xml:space="preserve">Do you get your money back on critical illness insurance? | Is return of premium on critical illness worth it? | Is a critical illness premium refund taxable? | What happens to return of premium if I make a partial claim?</t>
  </si>
  <si>
    <t xml:space="preserve">Worked break-even example comparing a base policy with the same policy plus return of premium on expiry, showing cumulative premiums, the refund and the opportunity cost of investing the difference instead.</t>
  </si>
  <si>
    <t xml:space="preserve">/critical-illness-insurance/; /guides/critical-illness-insurance-cost-canada/; /guides/is-critical-illness-insurance-taxable/</t>
  </si>
  <si>
    <t xml:space="preserve">The money page lists return of premium as an option and PolicyAdvisor's carrier reviews mention ROP riders; no standalone break-even explainer was seen (the research lists 'return of premium on CI' as a content-depth gap).</t>
  </si>
  <si>
    <t xml:space="preserve">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</si>
  <si>
    <t xml:space="preserve">Verify vesting rules, eligibility after partial claims and refund percentages against current insurer contracts; check the tax treatment of ROP refunds against CRA guidance and label it general information.</t>
  </si>
  <si>
    <t xml:space="preserve">Decision guides</t>
  </si>
  <si>
    <t xml:space="preserve">Is Critical Illness Insurance Worth It in Canada? A Decision Guide</t>
  </si>
  <si>
    <t xml:space="preserve">https://instasure.ca/guides/is-critical-illness-insurance-worth-it/</t>
  </si>
  <si>
    <t xml:space="preserve">is critical illness insurance worth it</t>
  </si>
  <si>
    <t xml:space="preserve">should i get critical illness insurance; critical illness insurance pros and cons; do i need critical illness insurance; critical illness insurance with group benefits; critical illness insurance canada reddit</t>
  </si>
  <si>
    <t xml:space="preserve">Is Critical Illness Insurance Worth It? Canada Guide</t>
  </si>
  <si>
    <t xml:space="preserve">Decide if critical illness insurance is worth it for you: who benefits most, what provincial plans leave you to pay, plus a five-question decision tree.</t>
  </si>
  <si>
    <t xml:space="preserve">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</si>
  <si>
    <t xml:space="preserve">Is critical illness insurance a waste of money? | Do I need critical illness insurance if I have group benefits? | What are the downsides of critical illness insurance? | Is critical illness insurance worth it for a 30-year-old?</t>
  </si>
  <si>
    <t xml:space="preserve">A five-question decision tree plus a worked example comparing a lump-sum benefit with six months of lost income and uncovered costs for a stated two-income household.</t>
  </si>
  <si>
    <t xml:space="preserve">/critical-illness-insurance/; /guides/critical-illness-vs-disability-insurance/; /guides/cancer-drug-coverage-by-province/; /guides/critical-illness-insurance-cost-canada/</t>
  </si>
  <si>
    <t xml:space="preserve">The Instasure money-page FAQ and Sun Life answer this briefly, and PolicyAdvisor touches it inside its CI vs DI content; no competitor offers a decision tree or a worked household example.</t>
  </si>
  <si>
    <t xml:space="preserve">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</si>
  <si>
    <t xml:space="preserve">Do not overstate survival or claim statistics; any diagnosis-rate figure must cite the Canadian Cancer Society or Heart &amp; Stroke and be dated. Avoid fear-based wording and 'guaranteed' language.</t>
  </si>
  <si>
    <t xml:space="preserve">Local (province)</t>
  </si>
  <si>
    <t xml:space="preserve">Cancer Drug Coverage by Province: The Costs Health Plans Don't Pay</t>
  </si>
  <si>
    <t xml:space="preserve">https://instasure.ca/guides/cancer-drug-coverage-by-province/</t>
  </si>
  <si>
    <t xml:space="preserve">cancer drug coverage by province</t>
  </si>
  <si>
    <t xml:space="preserve">take home cancer drugs coverage; does ohip cover cancer drugs; out of pocket cost of cancer canada; oral chemotherapy coverage canada; cancer care costs by province</t>
  </si>
  <si>
    <t xml:space="preserve">Cancer Drug Coverage by Province: Costs You Pay</t>
  </si>
  <si>
    <t xml:space="preserve">Cancer drug coverage by province: who pays for take-home cancer drugs, who leaves you the bill, and the travel and lost-income costs plans don't cover.</t>
  </si>
  <si>
    <t xml:space="preserve">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</si>
  <si>
    <t xml:space="preserve">Does OHIP cover oral chemotherapy drugs? | Which provinces cover take-home cancer drugs? | How much does cancer treatment cost out of pocket in Canada? | Does private health insurance cover cancer drugs?</t>
  </si>
  <si>
    <t xml:space="preserve">Province-by-province table (10 provinces and 3 territories) of who pays for take-home cancer drugs, the program responsible (provincial cancer agency or drug plan) and the deductible rule, each cell linked to the provincial source and dated.</t>
  </si>
  <si>
    <t xml:space="preserve">/critical-illness-insurance/; /health-dental-insurance/; /guides/prescription-drug-coverage-by-province/; /guides/critical-illness-insurance-cancer-coverage/</t>
  </si>
  <si>
    <t xml:space="preserve">No competitor coverage seen; insurer and aggregator CI pages mention uncovered costs only in general terms.</t>
  </si>
  <si>
    <t xml:space="preserve">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</si>
  <si>
    <t xml:space="preserve">Each province's rule must be verified against the provincial health ministry or cancer agency and dated; no out-of-pocket dollar averages unless from a cited study (for example the Canadian Cancer Society).</t>
  </si>
  <si>
    <t xml:space="preserve">Personas</t>
  </si>
  <si>
    <t xml:space="preserve">Critical Illness Insurance for Business Owners and Incorporated Professionals</t>
  </si>
  <si>
    <t xml:space="preserve">https://instasure.ca/guides/critical-illness-insurance-for-business-owners/</t>
  </si>
  <si>
    <t xml:space="preserve">critical illness insurance for business owners</t>
  </si>
  <si>
    <t xml:space="preserve">corporate owned critical illness insurance; key person critical illness insurance; critical illness buy sell agreement; shareholder critical illness insurance; critical illness insurance for self employed</t>
  </si>
  <si>
    <t xml:space="preserve">Critical Illness Insurance for Business Owners</t>
  </si>
  <si>
    <t xml:space="preserve">How business owners use critical illness insurance: personal vs corporate ownership, key person cover, buy-sell funding and return of premium. Plan it.</t>
  </si>
  <si>
    <t xml:space="preserve">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</si>
  <si>
    <t xml:space="preserve">Can my corporation own a critical illness policy on me? | What is key person critical illness insurance? | Can critical illness insurance fund a buy-sell agreement? | Should a sole proprietor buy critical illness insurance personally?</t>
  </si>
  <si>
    <t xml:space="preserve">Ownership decision table (personal, corporate, split) with the general tax result and use case, plus a worked example for a two-partner firm funding a buy-out after one partner's diagnosis.</t>
  </si>
  <si>
    <t xml:space="preserve">/critical-illness-insurance/; /business-insurance/key-person/; /disability-insurance/self-employed/; /guides/business-overhead-expense-insurance/</t>
  </si>
  <si>
    <t xml:space="preserve">Request a specialist call: Self-employed income protection desk (/disability-insurance/self-employed/)</t>
  </si>
  <si>
    <t xml:space="preserve">PolicyAdvisor covers life insurance for business owners and key person life insurance; no CI-specific business-owner guide surfaced.</t>
  </si>
  <si>
    <t xml:space="preserve">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</si>
  <si>
    <t xml:space="preserve">Tax and shareholder-benefit statements need accountant review and CRA references; don't present corporate return of premium as a tax strategy without professional sign-off.</t>
  </si>
  <si>
    <t xml:space="preserve">Planning &amp; needs</t>
  </si>
  <si>
    <t xml:space="preserve">How Much Critical Illness Insurance Do I Need?</t>
  </si>
  <si>
    <t xml:space="preserve">https://instasure.ca/guides/how-much-critical-illness-insurance-do-i-need/</t>
  </si>
  <si>
    <t xml:space="preserve">how much critical illness insurance do i need</t>
  </si>
  <si>
    <t xml:space="preserve">critical illness insurance calculator; critical illness coverage amount; critical illness insurance term length; term 10 vs term 100 critical illness; how much critical illness cover canada</t>
  </si>
  <si>
    <t xml:space="preserve">Work out how much critical illness insurance you need with a three-step sizing method, term-length guidance and a worked family example. Get an estimate.</t>
  </si>
  <si>
    <t xml:space="preserve">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</si>
  <si>
    <t xml:space="preserve">Is $50,000 enough critical illness insurance? | Should critical illness coverage equal my annual salary? | How long should my critical illness term be? | Does group critical illness coverage count toward what I need?</t>
  </si>
  <si>
    <t xml:space="preserve">A fill-in sizing worksheet (income gap + uncovered costs + debts − group cover) with a worked family example, and an embedded instant estimate pre-filled with the resulting amount.</t>
  </si>
  <si>
    <t xml:space="preserve">/critical-illness-insurance/; /calculators/life-insurance-needs/; /guides/critical-illness-insurance-cost-canada/; /guides/cancer-drug-coverage-by-province/</t>
  </si>
  <si>
    <t xml:space="preserve">Sun Life and PolicyAdvisor run CI calculators; neither explains the term-length choice alongside the sizing method in one guide.</t>
  </si>
  <si>
    <t xml:space="preserve">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</si>
  <si>
    <t xml:space="preserve">Present sizing as a planning method, not a personal recommendation; any cost-of-illness figure must be sourced and dated, and estimates labelled as such.</t>
  </si>
  <si>
    <t xml:space="preserve">Tax &amp; regulation</t>
  </si>
  <si>
    <t xml:space="preserve">Is Critical Illness Insurance Taxable in Canada?</t>
  </si>
  <si>
    <t xml:space="preserve">https://instasure.ca/guides/is-critical-illness-insurance-taxable/</t>
  </si>
  <si>
    <t xml:space="preserve">is critical illness insurance taxable</t>
  </si>
  <si>
    <t xml:space="preserve">critical illness benefit tax free canada; are critical illness premiums tax deductible; corporate owned critical illness tax; employer paid critical illness taxable benefit; return of premium tax treatment</t>
  </si>
  <si>
    <t xml:space="preserve">Is critical illness insurance taxable? See how personal, employer and corporate ownership change the tax on premiums, payouts and refunds. CRA sources.</t>
  </si>
  <si>
    <t xml:space="preserve">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</si>
  <si>
    <t xml:space="preserve">Do I pay tax on a critical illness payout? | Can my corporation pay for my critical illness insurance? | Are critical illness premiums tax deductible for the self-employed? | Is a return of premium refund taxable?</t>
  </si>
  <si>
    <t xml:space="preserve">A who-pays and who-owns matrix (individual, employer, corporation) showing the general tax treatment of premiums and benefits, with CRA references and a 'confirm with an accountant' flag on unsettled points.</t>
  </si>
  <si>
    <t xml:space="preserve">/critical-illness-insurance/; /guides/critical-illness-insurance-for-business-owners/; /guides/critical-illness-return-of-premium-explained/; /business-insurance/key-person/</t>
  </si>
  <si>
    <t xml:space="preserve">The money-page FAQ answers it in one line and PolicyAdvisor covers life insurance tax; no CI tax explainer surfaced among competitors.</t>
  </si>
  <si>
    <t xml:space="preserve">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</si>
  <si>
    <t xml:space="preserve">Verify every tax statement against CRA publications and the Income Tax Act; label as general information, not tax advice, and flag points where CRA has not ruled clearly (for example ROP refunds).</t>
  </si>
  <si>
    <t xml:space="preserve">Claims</t>
  </si>
  <si>
    <t xml:space="preserve">How to Make a Critical Illness Insurance Claim: Steps, Documents and Timelines</t>
  </si>
  <si>
    <t xml:space="preserve">https://instasure.ca/guides/how-to-make-a-critical-illness-claim/</t>
  </si>
  <si>
    <t xml:space="preserve">critical illness insurance claim</t>
  </si>
  <si>
    <t xml:space="preserve">how to claim critical illness insurance; critical illness survival period; critical illness claim documents; how long does a critical illness claim take; attending physician statement critical illness</t>
  </si>
  <si>
    <t xml:space="preserve">Critical Illness Insurance Claim: Steps and Documents</t>
  </si>
  <si>
    <t xml:space="preserve">Filing a critical illness insurance claim? Follow the steps, documents, survival period and timelines insurers use, with a printable claim checklist.</t>
  </si>
  <si>
    <t xml:space="preserve">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</si>
  <si>
    <t xml:space="preserve">How long do I have to file a critical illness claim? | What is the survival period on a critical illness policy? | Who fills out the attending physician statement? | Can I claim critical illness and disability at the same time?</t>
  </si>
  <si>
    <t xml:space="preserve">A printable claim checklist (documents, who signs what, deadlines) and a timeline graphic from diagnosis to payment showing the survival period and typical review points.</t>
  </si>
  <si>
    <t xml:space="preserve">/critical-illness-insurance/; /guides/why-critical-illness-claims-are-denied/; /guides/what-does-critical-illness-insurance-cover/</t>
  </si>
  <si>
    <t xml:space="preserve">Talk to a licensed advisor about your critical illness coverage (/critical-illness-insurance/)</t>
  </si>
  <si>
    <t xml:space="preserve">Article; HowTo; FAQPage; BreadcrumbList</t>
  </si>
  <si>
    <t xml:space="preserve">No competitor coverage seen; none of the researched sites publishes CI claim steps (Sun Life's claims statistics are for life insurance).</t>
  </si>
  <si>
    <t xml:space="preserve">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</si>
  <si>
    <t xml:space="preserve">Verify survival periods, notice deadlines and proof requirements against insurer contracts; say timelines vary by insurer and claim, and never promise a payment speed.</t>
  </si>
  <si>
    <t xml:space="preserve">Why Critical Illness Claims Get Denied (and How to Appeal)</t>
  </si>
  <si>
    <t xml:space="preserve">https://instasure.ca/guides/why-critical-illness-claims-are-denied/</t>
  </si>
  <si>
    <t xml:space="preserve">critical illness claim denied</t>
  </si>
  <si>
    <t xml:space="preserve">critical illness insurance claim rejected; critical illness non-disclosure; critical illness pre-existing condition exclusion; appeal critical illness claim; OmbudService for Life and Health Insurance complaint</t>
  </si>
  <si>
    <t xml:space="preserve">Critical Illness Claim Denied? Reasons and Next Steps</t>
  </si>
  <si>
    <t xml:space="preserve">Why critical illness claims get denied, from definitions to non-disclosure, and how to appeal through the insurer, OLHI and your regulator. Next steps.</t>
  </si>
  <si>
    <t xml:space="preserve">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</si>
  <si>
    <t xml:space="preserve">Can an insurer cancel my critical illness policy after I claim? | What is the two-year contestability period? | Who can I complain to if my critical illness claim is denied? | Should I hire a lawyer for a denied critical illness claim?</t>
  </si>
  <si>
    <t xml:space="preserve">A denial-reason table mapping each common reason to the document that can resolve it, plus a complaint-escalation flowchart (insurer ombudsman, OmbudService for Life &amp; Health Insurance, provincial regulator).</t>
  </si>
  <si>
    <t xml:space="preserve">/critical-illness-insurance/; /guides/how-to-make-a-critical-illness-claim/; /life-insurance/medical-conditions/; /guides/critical-illness-insurance-pre-existing-conditions/</t>
  </si>
  <si>
    <t xml:space="preserve">No competitor coverage seen in the research.</t>
  </si>
  <si>
    <t xml:space="preserve">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</si>
  <si>
    <t xml:space="preserve">Verify OLHI's role and the two-year contestability rule in provincial insurance acts; regulator names must be right for each province (FSRA, BCFSA, AMF and others). General information only; recommend a lawyer for disputes.</t>
  </si>
  <si>
    <t xml:space="preserve">Critical Illness Insurance vs Life Insurance: Which Do You Need First?</t>
  </si>
  <si>
    <t xml:space="preserve">https://instasure.ca/guides/critical-illness-vs-life-insurance/</t>
  </si>
  <si>
    <t xml:space="preserve">critical illness vs life insurance</t>
  </si>
  <si>
    <t xml:space="preserve">critical illness insurance vs term life; difference between life and critical illness insurance; living benefits insurance canada; life and critical illness combined policy; do i need both life and critical illness</t>
  </si>
  <si>
    <t xml:space="preserve">Critical Illness vs Life Insurance: Which Comes First?</t>
  </si>
  <si>
    <t xml:space="preserve">Critical illness vs life insurance: what each pays and when, who should buy which first, how to combine them, and a cost comparison for the same person.</t>
  </si>
  <si>
    <t xml:space="preserve">Critical illness vs life insurance (quick answer) | What each pays and when | Who needs life insurance first | Who needs critical illness first | Cost compared for the same person | Combining them: riders, combination policies and separate policies | Where disability insurance fits</t>
  </si>
  <si>
    <t xml:space="preserve">Is critical illness insurance the same as life insurance? | Should I buy life or critical illness insurance first? | Can one policy include both life and critical illness? | Does life insurance pay out if I get a critical illness?</t>
  </si>
  <si>
    <t xml:space="preserve">Side-by-side table (trigger, payout, typical use, modelled cost for the same profile) plus a priority checklist by life stage (single, young family, business owner, pre-retiree).</t>
  </si>
  <si>
    <t xml:space="preserve">/critical-illness-insurance/; /life-insurance/; /guides/critical-illness-vs-disability-insurance/; /guides/critical-illness-rider-vs-standalone-policy/</t>
  </si>
  <si>
    <t xml:space="preserve">Sun Life and PolicyAdvisor compare CI with disability insurance, not with life insurance; no dedicated CI vs life guide surfaced.</t>
  </si>
  <si>
    <t xml:space="preserve">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</si>
  <si>
    <t xml:space="preserve">Example premiums for both products must be modelled estimates for the same stated profile and date; avoid implying one product replaces the other.</t>
  </si>
  <si>
    <t xml:space="preserve">Critical Illness Rider vs Standalone Critical Illness Policy: Which to Choose</t>
  </si>
  <si>
    <t xml:space="preserve">https://instasure.ca/guides/critical-illness-rider-vs-standalone-policy/</t>
  </si>
  <si>
    <t xml:space="preserve">critical illness rider vs critical illness insurance</t>
  </si>
  <si>
    <t xml:space="preserve">critical illness rider on life insurance; critical illness rider cost; standalone critical illness policy; accelerated critical illness benefit; combined life and critical illness policy</t>
  </si>
  <si>
    <t xml:space="preserve">Critical Illness Rider vs Standalone Policy: Compared</t>
  </si>
  <si>
    <t xml:space="preserve">Compare a critical illness rider with a standalone policy: cost, limits, what happens to your life cover after a claim, and who each option suits.</t>
  </si>
  <si>
    <t xml:space="preserve">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</si>
  <si>
    <t xml:space="preserve">Is a critical illness rider cheaper than a separate policy? | Does a critical illness rider reduce my life insurance payout? | Can I keep a critical illness rider if I cancel my life policy? | How much critical illness coverage can I get as a rider?</t>
  </si>
  <si>
    <t xml:space="preserve">Side-by-side table of rider vs standalone policy on cost, maximum benefit, conditions, term, return-of-premium availability and what happens to life cover after a claim, with one worked premium example for a stated profile.</t>
  </si>
  <si>
    <t xml:space="preserve">/critical-illness-insurance/; /term-life-insurance/; /guides/critical-illness-insurance-cost-canada/; /guides/term-vs-whole-life-insurance-canada/</t>
  </si>
  <si>
    <t xml:space="preserve">PolicyAdvisor covers this ('Critical Illness Riders vs Critical Illness Insurance - Which to Choose?') but does not separate accelerated from additional riders or show a worked premium example.</t>
  </si>
  <si>
    <t xml:space="preserve">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</si>
  <si>
    <t xml:space="preserve">Rider structures differ by insurer; verify accelerated vs additional rider terms against contracts and label premiums as modelled estimates with a date.</t>
  </si>
  <si>
    <t xml:space="preserve">Critical Illness Insurance for Children: What It Covers and When It Makes Sense</t>
  </si>
  <si>
    <t xml:space="preserve">https://instasure.ca/guides/critical-illness-insurance-for-children/</t>
  </si>
  <si>
    <t xml:space="preserve">children's critical illness insurance</t>
  </si>
  <si>
    <t xml:space="preserve">child critical illness insurance canada; critical illness insurance for kids; childhood conditions critical illness; critical illness coverage for newborns; convert child critical illness to adult</t>
  </si>
  <si>
    <t xml:space="preserve">Children's Critical Illness Insurance in Canada</t>
  </si>
  <si>
    <t xml:space="preserve">What children's critical illness insurance covers, the childhood conditions added to adult lists, typical costs and how it converts at adulthood.</t>
  </si>
  <si>
    <t xml:space="preserve">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</si>
  <si>
    <t xml:space="preserve">Is critical illness insurance for children worth it? | At what age can a child get critical illness insurance? | What happens to my child's critical illness policy when they turn 18? | Can I add my child to my own critical illness policy?</t>
  </si>
  <si>
    <t xml:space="preserve">A table of child-specific covered conditions with typical issue ages and expiry options, plus a 'what the lump sum pays for' checklist for parents (time off work, travel to a children's hospital, home modifications).</t>
  </si>
  <si>
    <t xml:space="preserve">/critical-illness-insurance/; /life-insurance/children/; /guides/what-does-critical-illness-insurance-cover/</t>
  </si>
  <si>
    <t xml:space="preserve">PolicyAdvisor ('Do You Need Children's Critical Illness Insurance? (2025)', a stale year) and Sun Life ('Critical Illness Insurance For Children') cover it; neither compares issue ages and conversion rights across insurers in a dated table.</t>
  </si>
  <si>
    <t xml:space="preserve">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</si>
  <si>
    <t xml:space="preserve">Verify child-specific conditions, issue ages and conversion rules against insurer contracts; avoid emotive claims about childhood illness rates unless sourced (for example the Canadian Cancer Society) and dated.</t>
  </si>
  <si>
    <t xml:space="preserve">Critical Illness Insurance for Seniors and Canadians Over 50</t>
  </si>
  <si>
    <t xml:space="preserve">https://instasure.ca/guides/critical-illness-insurance-for-seniors/</t>
  </si>
  <si>
    <t xml:space="preserve">critical illness insurance for seniors</t>
  </si>
  <si>
    <t xml:space="preserve">critical illness insurance over 60; critical illness insurance over 50 canada; maximum age for critical illness insurance; critical illness insurance age limit; critical illness vs long term care insurance</t>
  </si>
  <si>
    <t xml:space="preserve">Critical Illness Insurance for Seniors and Over-50s</t>
  </si>
  <si>
    <t xml:space="preserve">Critical illness insurance for seniors and over-50s: issue-age limits, when coverage ends, example costs from 50 to 65 and simplified-issue options.</t>
  </si>
  <si>
    <t xml:space="preserve">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</si>
  <si>
    <t xml:space="preserve">What is the maximum age to buy critical illness insurance? | Is critical illness insurance worth it at 60? | Does critical illness insurance end at 75? | Can I keep my group critical illness coverage after I retire?</t>
  </si>
  <si>
    <t xml:space="preserve">Issue-age and expiry table for common product types (term, to 75, to 100, simplified issue) plus modelled example premiums at 50, 55, 60 and 65, labelled as estimates with profile and date.</t>
  </si>
  <si>
    <t xml:space="preserve">/critical-illness-insurance/; /long-term-care-insurance/; /life-insurance/seniors/; /guides/critical-illness-insurance-cost-canada/</t>
  </si>
  <si>
    <t xml:space="preserve">PolicyAdvisor covers life insurance for seniors and life age limits, not critical illness; no seniors-specific CI guide surfaced.</t>
  </si>
  <si>
    <t xml:space="preserve">Focus keyword in the H1, slug, meta title, first 100 words and first H2, with a 40 to 60 word answer on typical issue-age ceilings. Use the issue-age table and the age-band premium table; anchor 'long-term care insurance' to /long-term-care-insurance/. Licensed reviewer; review annually.</t>
  </si>
  <si>
    <t xml:space="preserve">Verify issue and expiry ages per insurer; label modelled premiums as estimates with profile and date.</t>
  </si>
  <si>
    <t xml:space="preserve">How Much Does Disability Insurance Cost in Canada?</t>
  </si>
  <si>
    <t xml:space="preserve">https://instasure.ca/guides/disability-insurance-cost-canada/</t>
  </si>
  <si>
    <t xml:space="preserve">disability insurance cost</t>
  </si>
  <si>
    <t xml:space="preserve">how much is disability insurance; disability insurance cost per month canada; long term disability insurance cost; disability insurance premium by occupation; income protection insurance cost</t>
  </si>
  <si>
    <t xml:space="preserve">Disability Insurance Cost in Canada: What You'll Pay</t>
  </si>
  <si>
    <t xml:space="preserve">See modelled disability insurance cost by age, income, occupation class and waiting period, the levers that cut the premium, and group vs individual cost.</t>
  </si>
  <si>
    <t xml:space="preserve">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</si>
  <si>
    <t xml:space="preserve">How much is disability insurance per month in Canada? | Why is disability insurance more expensive than life insurance? | Does a longer waiting period lower my premium? | Is disability insurance cheaper through work?</t>
  </si>
  <si>
    <t xml:space="preserve">Dated example-premium table by age (30/40/50), occupation class (office, professional, skilled trade) and waiting period (30/90/120 days) for a stated $5,000 monthly benefit, from the Instasure estimate model.</t>
  </si>
  <si>
    <t xml:space="preserve">/disability-insurance/; /disability-insurance/self-employed/; /guides/disability-insurance-waiting-and-benefit-periods/; /guides/own-occupation-vs-any-occupation-disability-insurance/</t>
  </si>
  <si>
    <t xml:space="preserve">Instant disability insurance estimate (/disability-insurance/)</t>
  </si>
  <si>
    <t xml:space="preserve">PolicyAdvisor ('How Much Does Disability Insurance Cost?') covers this without a dated table by occupation class and waiting period; Ratehub's DI page is thin.</t>
  </si>
  <si>
    <t xml:space="preserve">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</si>
  <si>
    <t xml:space="preserve">Premiums are modelled estimates for a stated profile and date and must be checked against carrier quotes; occupation classes vary by insurer, so present them as typical groupings.</t>
  </si>
  <si>
    <t xml:space="preserve">Disability Insurance for Gig Workers and Freelancers in Canada</t>
  </si>
  <si>
    <t xml:space="preserve">https://instasure.ca/guides/disability-insurance-for-gig-workers/</t>
  </si>
  <si>
    <t xml:space="preserve">disability insurance for gig workers</t>
  </si>
  <si>
    <t xml:space="preserve">Niche</t>
  </si>
  <si>
    <t xml:space="preserve">income protection for freelancers canada; disability insurance for uber drivers; disability insurance for contractors; accident and sickness insurance gig workers; doordash driver injury income</t>
  </si>
  <si>
    <t xml:space="preserve">Disability Insurance for Gig Workers and Freelancers</t>
  </si>
  <si>
    <t xml:space="preserve">Disability insurance for gig workers and freelancers: proving variable income, accident-only plans, getting hurt while driving and a protection stack.</t>
  </si>
  <si>
    <t xml:space="preserve">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</si>
  <si>
    <t xml:space="preserve">Can Uber or DoorDash drivers get disability insurance? | How do insurers verify gig income? | What is accident and sickness insurance? | Does my car insurance cover lost income if I'm hurt delivering?</t>
  </si>
  <si>
    <t xml:space="preserve">A 'protection stack' checklist for gig workers (EI special benefits opt-in, accident-only cover, individual DI, auto accident benefits) and a table of the income documents insurers typically accept.</t>
  </si>
  <si>
    <t xml:space="preserve">/disability-insurance/self-employed/; /car-insurance/rideshare-and-delivery/; /guides/gig-driver-insurance-uber-doordash-ontario/; /guides/ontario-income-replacement-opt-out-disability-insurance/</t>
  </si>
  <si>
    <t xml:space="preserve">No competitor coverage seen; the research lists gig workers as an uncovered DI occupation and the strategy notes nobody links gig coverage to disability cover.</t>
  </si>
  <si>
    <t xml:space="preserve">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</si>
  <si>
    <t xml:space="preserve">Underwriting for variable income varies by insurer, so never promise approval; verify EI special benefits rules for the self-employed on canada.ca.</t>
  </si>
  <si>
    <t xml:space="preserve">Regulation (province)</t>
  </si>
  <si>
    <t xml:space="preserve">Opted Out of Income Replacement in Ontario? How Disability Insurance Fills the Gap</t>
  </si>
  <si>
    <t xml:space="preserve">https://instasure.ca/guides/ontario-income-replacement-opt-out-disability-insurance/</t>
  </si>
  <si>
    <t xml:space="preserve">income replacement benefit vs disability insurance</t>
  </si>
  <si>
    <t xml:space="preserve">ontario income replacement benefit opt out; optional accident benefits ontario; do i need disability insurance if i opt out; income replacement benefit ontario 2026; self employed accident benefits ontario</t>
  </si>
  <si>
    <t xml:space="preserve">Income Replacement Benefit vs Disability Insurance (ON)</t>
  </si>
  <si>
    <t xml:space="preserve">Dropped Ontario's optional income replacement benefit? Compare what you saved with what individual disability insurance costs, worked out for 3 drivers.</t>
  </si>
  <si>
    <t xml:space="preserve">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</si>
  <si>
    <t xml:space="preserve">Should I opt out of income replacement benefits in Ontario? | Does disability insurance cover car accidents? | Can I add income replacement back after opting out? | Do self-employed drivers need income replacement coverage?</t>
  </si>
  <si>
    <t xml:space="preserve">Worked side-by-side for three Ontario drivers (salaried with group LTD, self-employed, gig driver) comparing the auto premium saving with the modelled cost of individual disability cover, plus a renewal checklist.</t>
  </si>
  <si>
    <t xml:space="preserve">/guides/ontario-auto-insurance-changes-july-2026/; /car-insurance/accident-benefits-review/; /disability-insurance/ontario/; /disability-insurance/self-employed/</t>
  </si>
  <si>
    <t xml:space="preserve">thebig.ca and ThinkInsure explain the income replacement opt-out but stop at auto insurance; no competitor connects it to individual disability insurance (strategy gap).</t>
  </si>
  <si>
    <t xml:space="preserve">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</si>
  <si>
    <t xml:space="preserve">Verify which benefits became optional on July 1, 2026, and the roughly 5% saving estimate against FSRA and the regulation text; disability premiums are modelled estimates. Do not advise anyone to opt out.</t>
  </si>
  <si>
    <t xml:space="preserve">On rule change</t>
  </si>
  <si>
    <t xml:space="preserve">How Disability Insurers Read Self-Employed Income: Tax Returns, Dividends and Salary</t>
  </si>
  <si>
    <t xml:space="preserve">https://instasure.ca/guides/disability-insurance-self-employed-income-proof/</t>
  </si>
  <si>
    <t xml:space="preserve">disability insurance self employed income</t>
  </si>
  <si>
    <t xml:space="preserve">proving income for disability insurance; disability insurance incorporated business owner; salary vs dividends disability insurance; T2125 disability insurance; disability insurance new business owner</t>
  </si>
  <si>
    <t xml:space="preserve">Disability Insurance and Self-Employed Income Proof</t>
  </si>
  <si>
    <t xml:space="preserve">How disability insurers read self-employed income from T2125s, salary and dividends, what shrinks your benefit and the documents to gather first.</t>
  </si>
  <si>
    <t xml:space="preserve">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</si>
  <si>
    <t xml:space="preserve">How much disability insurance can I get if I'm self-employed? | Do dividends count as income for disability insurance? | Can I get disability insurance in my first year of business? | Do insurers use gross or net income?</t>
  </si>
  <si>
    <t xml:space="preserve">Two worked examples (sole proprietor filing a T2125 and an incorporated consultant paying salary plus dividends) showing how insurable income and the maximum benefit are typically calculated, plus a document checklist.</t>
  </si>
  <si>
    <t xml:space="preserve">/disability-insurance/self-employed/; /guides/disability-insurance-cost-canada/; /guides/business-overhead-expense-insurance/</t>
  </si>
  <si>
    <t xml:space="preserve">No competitor coverage seen; PolicyAdvisor's self-employed magazine piece covers coverage types, not income underwriting.</t>
  </si>
  <si>
    <t xml:space="preserve">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</si>
  <si>
    <t xml:space="preserve">Issue and participation limits and income definitions vary by insurer; describe them as typical and have the desk advisor review. Tax form names must match CRA forms.</t>
  </si>
  <si>
    <t xml:space="preserve">Business owners</t>
  </si>
  <si>
    <t xml:space="preserve">Business Overhead Expense Insurance: How It Works and What It Covers</t>
  </si>
  <si>
    <t xml:space="preserve">https://instasure.ca/guides/business-overhead-expense-insurance/</t>
  </si>
  <si>
    <t xml:space="preserve">business overhead expense insurance</t>
  </si>
  <si>
    <t xml:space="preserve">boe insurance canada; overhead expense disability insurance; business overhead insurance cost; is business overhead insurance tax deductible; boe vs personal disability insurance</t>
  </si>
  <si>
    <t xml:space="preserve">Business Overhead Expense Insurance: How It Works</t>
  </si>
  <si>
    <t xml:space="preserve">How business overhead expense insurance keeps rent, staff and leases paid while you recover, what it excludes, its tax treatment and who needs it.</t>
  </si>
  <si>
    <t xml:space="preserve">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</si>
  <si>
    <t xml:space="preserve">Is business overhead expense insurance tax deductible? | How long does business overhead insurance pay? | Does BOE cover my own salary? | Can I buy BOE without personal disability insurance?</t>
  </si>
  <si>
    <t xml:space="preserve">Eligible-expense checklist and a worked example for a dental or physiotherapy clinic showing monthly overhead, the BOE benefit and how it pairs with personal DI.</t>
  </si>
  <si>
    <t xml:space="preserve">/disability-insurance/self-employed/; /business-insurance/; /guides/critical-illness-insurance-for-business-owners/; /guides/disability-insurance-for-physicians-and-dentists/</t>
  </si>
  <si>
    <t xml:space="preserve">The Instasure service page mentions BOE; no competitor BOE guide surfaced in the research.</t>
  </si>
  <si>
    <t xml:space="preserve">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</si>
  <si>
    <t xml:space="preserve">Verify tax treatment with CRA guidance (premiums generally deductible, benefits taxable) and insurer limits; label as general information.</t>
  </si>
  <si>
    <t xml:space="preserve">Group vs Individual Disability Insurance: Is Your Workplace LTD Enough?</t>
  </si>
  <si>
    <t xml:space="preserve">https://instasure.ca/guides/group-vs-individual-disability-insurance/</t>
  </si>
  <si>
    <t xml:space="preserve">group vs individual disability insurance</t>
  </si>
  <si>
    <t xml:space="preserve">is my group ltd enough; individual disability insurance on top of group; group ltd portability; top up disability insurance; group disability insurance canada</t>
  </si>
  <si>
    <t xml:space="preserve">Group vs Individual Disability Insurance Compared</t>
  </si>
  <si>
    <t xml:space="preserve">Is your workplace LTD enough? Compare group vs individual disability insurance on caps, tax, definitions and portability, then check your booklet.</t>
  </si>
  <si>
    <t xml:space="preserve">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</si>
  <si>
    <t xml:space="preserve">Is group disability insurance enough? | Can I take my group LTD with me if I leave my job? | Can I have both group and individual disability insurance? | Are group LTD benefits taxable?</t>
  </si>
  <si>
    <t xml:space="preserve">A 10-minute benefits-booklet checklist (benefit percentage, maximum, definition, taxability, offsets, portability) and a worked top-up example for a $120,000 earner.</t>
  </si>
  <si>
    <t xml:space="preserve">/disability-insurance/; /guides/long-term-disability-insurance-explained/; /guides/is-disability-insurance-taxable-canada/; /group-benefits/</t>
  </si>
  <si>
    <t xml:space="preserve">No competitor coverage seen (PolicyAdvisor covers DI vs disability riders, not group vs individual).</t>
  </si>
  <si>
    <t xml:space="preserve">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</si>
  <si>
    <t xml:space="preserve">Group plan features vary; present gaps as common, not universal. Verify top-up issue and participation limits with insurers.</t>
  </si>
  <si>
    <t xml:space="preserve">Mortgage Disability Insurance vs Individual Disability Insurance</t>
  </si>
  <si>
    <t xml:space="preserve">https://instasure.ca/guides/mortgage-disability-insurance-vs-individual-disability/</t>
  </si>
  <si>
    <t xml:space="preserve">mortgage disability insurance</t>
  </si>
  <si>
    <t xml:space="preserve">mortgage payment protection disability; lender disability insurance canada; creditor disability insurance; disability insurance for mortgage payments; is mortgage disability insurance worth it</t>
  </si>
  <si>
    <t xml:space="preserve">Mortgage Disability Insurance vs Personal Coverage</t>
  </si>
  <si>
    <t xml:space="preserve">Mortgage disability insurance vs your own disability policy: payment caps, post-claim underwriting and portability, with a worked $500,000 renewal example.</t>
  </si>
  <si>
    <t xml:space="preserve">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</si>
  <si>
    <t xml:space="preserve">Is mortgage disability insurance worth it? | How long does mortgage disability insurance pay? | Can I cancel my lender's disability insurance? | Does disability insurance cover my mortgage payment?</t>
  </si>
  <si>
    <t xml:space="preserve">Side-by-side table (who owns it, benefit, maximum term, underwriting timing, portability) and a worked example for a $500,000 mortgage at renewal.</t>
  </si>
  <si>
    <t xml:space="preserve">/mortgage-life-insurance/; /guides/mortgage-life-insurance-vs-term-life-insurance/; /disability-insurance/; /calculators/mortgage-protection/</t>
  </si>
  <si>
    <t xml:space="preserve">Request a specialist call: Mortgage renewal protection desk (/mortgage-life-insurance/)</t>
  </si>
  <si>
    <t xml:space="preserve">PolicyAdvisor and Ratehub compare mortgage life with term life; no lender disability vs individual DI comparison surfaced.</t>
  </si>
  <si>
    <t xml:space="preserve">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</si>
  <si>
    <t xml:space="preserve">Lender product caps and exclusions vary; verify against at least two lender certificates and don't criticise named lender products without a published method.</t>
  </si>
  <si>
    <t xml:space="preserve">Disability Insurance Waiting Periods and Benefit Periods: How to Choose</t>
  </si>
  <si>
    <t xml:space="preserve">https://instasure.ca/guides/disability-insurance-waiting-and-benefit-periods/</t>
  </si>
  <si>
    <t xml:space="preserve">disability insurance waiting period</t>
  </si>
  <si>
    <t xml:space="preserve">elimination period disability insurance; 90 day waiting period disability; disability benefit period to age 65; 2 year vs 5 year benefit period; how long do i need disability coverage</t>
  </si>
  <si>
    <t xml:space="preserve">Disability Insurance Waiting Period: How to Choose</t>
  </si>
  <si>
    <t xml:space="preserve">Choose a disability insurance waiting period and benefit period with a price-vs-savings matrix, EI sickness timing and three ways to structure one policy.</t>
  </si>
  <si>
    <t xml:space="preserve">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</si>
  <si>
    <t xml:space="preserve">What is a good waiting period for disability insurance? | Does the waiting period restart if I go back to work? | Should my benefit period last to age 65? | Can EI sickness benefits cover my waiting period?</t>
  </si>
  <si>
    <t xml:space="preserve">A matrix showing relative premium for each waiting × benefit period combination (indexed, from the estimate model) and a savings-runway worksheet for picking the waiting period.</t>
  </si>
  <si>
    <t xml:space="preserve">/disability-insurance/; /guides/disability-insurance-cost-canada/; /guides/ei-sickness-cpp-disability-vs-private-disability-insurance/</t>
  </si>
  <si>
    <t xml:space="preserve">PolicyAdvisor has 'How Long Do I Need Disability Insurance?' on benefit length; no combined waiting × benefit period matrix surfaced.</t>
  </si>
  <si>
    <t xml:space="preserve">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</si>
  <si>
    <t xml:space="preserve">Verify the EI sickness maximum duration on canada.ca; relative premiums are model outputs and must be labelled as estimates.</t>
  </si>
  <si>
    <t xml:space="preserve">Long-Term Disability Insurance in Canada: How LTD Works</t>
  </si>
  <si>
    <t xml:space="preserve">https://instasure.ca/guides/long-term-disability-insurance-explained/</t>
  </si>
  <si>
    <t xml:space="preserve">High</t>
  </si>
  <si>
    <t xml:space="preserve">what is long term disability; ltd insurance canada; how much does long term disability pay; ltd offsets cpp disability; how long does long term disability last</t>
  </si>
  <si>
    <t xml:space="preserve">Long-Term Disability Insurance: How LTD Works in Canada</t>
  </si>
  <si>
    <t xml:space="preserve">How long-term disability insurance works in Canada: group vs individual LTD, what it pays, CPP offsets, the two-year change and tax, with a worked example.</t>
  </si>
  <si>
    <t xml:space="preserve">How long-term disability works (quick answer) | Group LTD vs individual LTD | How much LTD pays and the offsets that reduce it | The two-year definition change | How long benefits last | Taxable or tax-free LTD benefits | What to do if you have no LTD</t>
  </si>
  <si>
    <t xml:space="preserve">How much does long-term disability pay in Canada? | How long can you stay on long-term disability? | Does CPP disability reduce my LTD benefits? | Is long-term disability taxable?</t>
  </si>
  <si>
    <t xml:space="preserve">Worked offset example showing how a group LTD benefit is reduced by CPP disability and other income, plus a timeline diagram from day one of a claim to the two-year definition change.</t>
  </si>
  <si>
    <t xml:space="preserve">/disability-insurance/; /guides/group-vs-individual-disability-insurance/; /guides/long-term-disability-claim-denied/; /guides/is-disability-insurance-taxable-canada/</t>
  </si>
  <si>
    <t xml:space="preserve">PolicyAdvisor ('What Is Long-Term Disability Insurance?') owns the definition; keywords.csv notes much of this volume is group and claims intent, which its page does not serve with an offsets example.</t>
  </si>
  <si>
    <t xml:space="preserve">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</si>
  <si>
    <t xml:space="preserve">Verify CPP disability offset rules and typical benefit percentages against sample group contracts and canada.ca; frame benefit ranges as typical, not guaranteed.</t>
  </si>
  <si>
    <t xml:space="preserve">Own-Occupation vs Any-Occupation Disability Insurance, Explained</t>
  </si>
  <si>
    <t xml:space="preserve">https://instasure.ca/guides/own-occupation-vs-any-occupation-disability-insurance/</t>
  </si>
  <si>
    <t xml:space="preserve">own occupation disability insurance</t>
  </si>
  <si>
    <t xml:space="preserve">any occupation disability definition; own occupation vs any occupation; regular occupation disability insurance; two year own occupation group ltd; definition of disability insurance canada</t>
  </si>
  <si>
    <t xml:space="preserve">Own Occupation Disability Insurance vs Any Occupation</t>
  </si>
  <si>
    <t xml:space="preserve">Own occupation vs any occupation disability insurance: how each definition decides your claim, the two-year switch in group LTD and who needs own-occ.</t>
  </si>
  <si>
    <t xml:space="preserve">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</si>
  <si>
    <t xml:space="preserve">What does own occupation mean in disability insurance? | Does group long-term disability use own occupation? | Is own-occupation disability insurance worth the extra cost? | Can I work in another job while on own-occupation benefits?</t>
  </si>
  <si>
    <t xml:space="preserve">Three worked scenarios (surgeon with a hand injury, electrician with a back injury, office manager with depression) showing how each definition would likely decide the claim.</t>
  </si>
  <si>
    <t xml:space="preserve">/disability-insurance/; /guides/group-vs-individual-disability-insurance/; /guides/disability-insurance-for-physicians-and-dentists/; /glossary/</t>
  </si>
  <si>
    <t xml:space="preserve">PolicyAdvisor's disability learning centre explains DI generally; no dedicated own-occupation vs any-occupation explainer with scenarios surfaced.</t>
  </si>
  <si>
    <t xml:space="preserve">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</si>
  <si>
    <t xml:space="preserve">Definitions differ by contract; verify the wording against sample insurer contracts and avoid implying any scenario's outcome is guaranteed.</t>
  </si>
  <si>
    <t xml:space="preserve">Disability Insurance for Physicians, Dentists and Other Professionals</t>
  </si>
  <si>
    <t xml:space="preserve">https://instasure.ca/guides/disability-insurance-for-physicians-and-dentists/</t>
  </si>
  <si>
    <t xml:space="preserve">disability insurance for physicians</t>
  </si>
  <si>
    <t xml:space="preserve">disability insurance for dentists canada; own occupation disability for doctors; disability insurance for medical residents; association disability plan vs individual; disability insurance for lawyers</t>
  </si>
  <si>
    <t xml:space="preserve">Disability Insurance for Physicians and Dentists</t>
  </si>
  <si>
    <t xml:space="preserve">Disability insurance for physicians, dentists and other professionals: own-occupation cover, association vs individual plans and locking in coverage early.</t>
  </si>
  <si>
    <t xml:space="preserve">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</si>
  <si>
    <t xml:space="preserve">Do doctors need own-occupation disability insurance? | Are professional association disability plans good enough? | Can medical residents buy disability insurance? | How much disability coverage can a dentist get?</t>
  </si>
  <si>
    <t xml:space="preserve">Comparison table of association plans vs individual contracts (definition, portability, guaranteed premiums, future increase options) and a career-stage checklist from residency to practice ownership.</t>
  </si>
  <si>
    <t xml:space="preserve">/disability-insurance/; /guides/own-occupation-vs-any-occupation-disability-insurance/; /guides/business-overhead-expense-insurance/; /professional-liability-insurance/</t>
  </si>
  <si>
    <t xml:space="preserve">PolicyAdvisor has life insurance for doctors and physicians but no disability equivalent; the research lists DI by occupation (nurses, dentists) as a gap.</t>
  </si>
  <si>
    <t xml:space="preserve">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</si>
  <si>
    <t xml:space="preserve">Do not name or rate association plans without a published method; verify issue limits and own-occupation availability with insurers.</t>
  </si>
  <si>
    <t xml:space="preserve">Workers' Compensation vs Disability Insurance for Tradespeople, Province by Province</t>
  </si>
  <si>
    <t xml:space="preserve">https://instasure.ca/guides/workers-compensation-vs-disability-insurance/</t>
  </si>
  <si>
    <t xml:space="preserve">workers compensation vs disability insurance</t>
  </si>
  <si>
    <t xml:space="preserve">wsib vs disability insurance; disability insurance for tradespeople; worksafebc coverage for self employed; wsib independent operator optional insurance; disability insurance for contractors canada</t>
  </si>
  <si>
    <t xml:space="preserve">Workers' Compensation vs Disability Insurance by Province</t>
  </si>
  <si>
    <t xml:space="preserve">Workers' compensation vs disability insurance for tradespeople: who each covers, the off-the-job gap and whether self-employed trades are covered.</t>
  </si>
  <si>
    <t xml:space="preserve">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</si>
  <si>
    <t xml:space="preserve">Does WSIB cover self-employed contractors in Ontario? | Does workers' compensation cover injuries outside work? | Can tradespeople get disability insurance? | Do I need disability insurance if I have WorkSafeBC coverage?</t>
  </si>
  <si>
    <t xml:space="preserve">Province-by-province table of the workers' compensation board (WSIB, WorkSafeBC, WCB Alberta, CNESST and others) and whether sole proprietors and independent operators are covered automatically, optionally or not at all, each linked to the board and dated.</t>
  </si>
  <si>
    <t xml:space="preserve">/disability-insurance/self-employed/; /contractor-insurance/; /guides/disability-insurance-for-gig-workers/; /disability-insurance/ontario/</t>
  </si>
  <si>
    <t xml:space="preserve">No competitor coverage seen; the research lists disability by occupation (trades) as a gap, and Rates.ca's trade pages cover only P&amp;C insurance.</t>
  </si>
  <si>
    <t xml:space="preserve">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</si>
  <si>
    <t xml:space="preserve">Verify each province's mandatory or optional coverage rule for independent operators with the board and date it; use the correct board name for each province.</t>
  </si>
  <si>
    <t xml:space="preserve">Public programs</t>
  </si>
  <si>
    <t xml:space="preserve">EI Sickness Benefits, CPP Disability or Private Disability Insurance?</t>
  </si>
  <si>
    <t xml:space="preserve">https://instasure.ca/guides/ei-sickness-cpp-disability-vs-private-disability-insurance/</t>
  </si>
  <si>
    <t xml:space="preserve">ei sickness benefits vs disability insurance</t>
  </si>
  <si>
    <t xml:space="preserve">cpp disability vs private disability insurance; ei sickness benefits self employed; cpp disability eligibility; how much is cpp disability; do i need disability insurance if i have ei</t>
  </si>
  <si>
    <t xml:space="preserve">EI Sickness Benefits vs Disability Insurance Compared</t>
  </si>
  <si>
    <t xml:space="preserve">Compare EI sickness benefits, CPP disability, workers' comp and private disability insurance, and see the monthly income gap for a typical earner.</t>
  </si>
  <si>
    <t xml:space="preserve">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</si>
  <si>
    <t xml:space="preserve">How long can I get EI sickness benefits? | Can self-employed people get EI sickness benefits? | What does CPP disability pay per month? | Do I need disability insurance if I have EI?</t>
  </si>
  <si>
    <t xml:space="preserve">Comparison table of EI sickness, CPP disability, workers' compensation and private DI (eligibility, wait, duration, amount basis) with a worked monthly income-gap example for a $70,000 earner, each figure linked to canada.ca and dated.</t>
  </si>
  <si>
    <t xml:space="preserve">/disability-insurance/; /disability-insurance/self-employed/; /guides/short-term-vs-long-term-disability/; /guides/workers-compensation-vs-disability-insurance/</t>
  </si>
  <si>
    <t xml:space="preserve">The money-page FAQ covers this in one line; no competitor guide comparing public programs with private DI surfaced.</t>
  </si>
  <si>
    <t xml:space="preserve">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</si>
  <si>
    <t xml:space="preserve">EI and CPP maximums change every January; verify amounts, durations and the self-employed EI opt-in rules on canada.ca and date them. Don't characterise CPP disability approval rates without cited data.</t>
  </si>
  <si>
    <t xml:space="preserve">Is Disability Insurance Taxable in Canada? LTD, STD and Individual Policies</t>
  </si>
  <si>
    <t xml:space="preserve">https://instasure.ca/guides/is-disability-insurance-taxable-canada/</t>
  </si>
  <si>
    <t xml:space="preserve">is disability insurance taxable in canada</t>
  </si>
  <si>
    <t xml:space="preserve">is long term disability taxable; are disability insurance premiums tax deductible; employer paid ltd taxable benefit; is short term disability taxable; disability tax credit vs disability insurance</t>
  </si>
  <si>
    <t xml:space="preserve">Is Disability Insurance Taxable in Canada? Explained</t>
  </si>
  <si>
    <t xml:space="preserve">Is disability insurance taxable in Canada? It depends on who paid the premium. See the rules for group LTD, STD, individual and corporate-paid policies.</t>
  </si>
  <si>
    <t xml:space="preserve">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</si>
  <si>
    <t xml:space="preserve">Is long-term disability taxable in Canada? | Can I deduct disability insurance premiums? | Is short-term disability taxable? | Does the disability tax credit apply to LTD recipients?</t>
  </si>
  <si>
    <t xml:space="preserve">A premium-payer matrix (employer, employee, shared, corporation, self) showing the general tax treatment of benefits and premiums, linked to CRA references.</t>
  </si>
  <si>
    <t xml:space="preserve">/disability-insurance/; /guides/group-vs-individual-disability-insurance/; /guides/long-term-disability-insurance-explained/; /guides/group-benefits-taxable-benefits-canada/</t>
  </si>
  <si>
    <t xml:space="preserve">The Instasure money page says benefits are tax-free when premiums are paid personally; no competitor tax explainer surfaced.</t>
  </si>
  <si>
    <t xml:space="preserve">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</si>
  <si>
    <t xml:space="preserve">Verify against CRA guidance on wage-loss replacement plans (Income Tax Act paragraph 6(1)(f)) and label as general information; check Revenu Québec for any Quebec difference.</t>
  </si>
  <si>
    <t xml:space="preserve">How to Apply for Long-Term Disability Benefits: A Step-by-Step Guide</t>
  </si>
  <si>
    <t xml:space="preserve">https://instasure.ca/guides/how-to-apply-for-long-term-disability/</t>
  </si>
  <si>
    <t xml:space="preserve">how to apply for long term disability</t>
  </si>
  <si>
    <t xml:space="preserve">ltd claim forms; attending physician statement disability; ltd application tips; when to apply for long term disability; employer statement ltd claim</t>
  </si>
  <si>
    <t xml:space="preserve">How to Apply for Long-Term Disability Benefits</t>
  </si>
  <si>
    <t xml:space="preserve">How to apply for long-term disability step by step: deadlines, the three statements, medical evidence, follow-up and CPP rules, plus a claim checklist.</t>
  </si>
  <si>
    <t xml:space="preserve">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</si>
  <si>
    <t xml:space="preserve">When should I apply for long-term disability? | What forms do I need for an LTD claim? | How long does an LTD decision take? | Do I have to apply for CPP disability while on LTD?</t>
  </si>
  <si>
    <t xml:space="preserve">A claim-file checklist and a dated timeline template (diagnosis, last day worked, waiting period end, submission, decision) that readers can copy.</t>
  </si>
  <si>
    <t xml:space="preserve">/disability-insurance/; /guides/long-term-disability-claim-denied/; /guides/ei-sickness-cpp-disability-vs-private-disability-insurance/</t>
  </si>
  <si>
    <t xml:space="preserve">Talk to a licensed advisor about disability coverage (/disability-insurance/)</t>
  </si>
  <si>
    <t xml:space="preserve">No competitor coverage seen.</t>
  </si>
  <si>
    <t xml:space="preserve">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</si>
  <si>
    <t xml:space="preserve">Deadlines vary by plan; verify CPP disability application rules on canada.ca and avoid promising decision times.</t>
  </si>
  <si>
    <t xml:space="preserve">Long-Term Disability Claim Denied? Appeals, Complaints and Deadlines by Province</t>
  </si>
  <si>
    <t xml:space="preserve">https://instasure.ca/guides/long-term-disability-claim-denied/</t>
  </si>
  <si>
    <t xml:space="preserve">long term disability claim denied</t>
  </si>
  <si>
    <t xml:space="preserve">ltd denial appeal canada; disability claim denied what to do; ltd appeal letter; limitation period disability claim ontario; OLHI disability complaint</t>
  </si>
  <si>
    <t xml:space="preserve">Long-Term Disability Claim Denied? What to Do Next</t>
  </si>
  <si>
    <t xml:space="preserve">Long-term disability claim denied? Get your file, appeal with new evidence, escalate to OLHI or your regulator, and watch provincial limitation deadlines.</t>
  </si>
  <si>
    <t xml:space="preserve">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</si>
  <si>
    <t xml:space="preserve">How long do I have to appeal an LTD denial? | Can I sue my disability insurer in Canada? | What is the limitation period for a disability claim in Ontario? | Does an internal appeal stop the limitation clock?</t>
  </si>
  <si>
    <t xml:space="preserve">Province-by-province table of the general limitation period for suing on an insurance contract and the regulator to complain to (FSRA, BCFSA, AMF and others), each linked to the statute or regulator and dated.</t>
  </si>
  <si>
    <t xml:space="preserve">/disability-insurance/; /guides/how-to-apply-for-long-term-disability/; /guides/long-term-disability-for-mental-health/</t>
  </si>
  <si>
    <t xml:space="preserve">Talk to a licensed advisor about replacing or topping up coverage (/disability-insurance/)</t>
  </si>
  <si>
    <t xml:space="preserve">No competitor coverage seen among the insurance sites researched; this query space is mostly held by law firms.</t>
  </si>
  <si>
    <t xml:space="preserve">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</si>
  <si>
    <t xml:space="preserve">Limitation periods and the effect of internal appeals must be verified per province and flagged as general information, not legal advice; regulator names must match each province.</t>
  </si>
  <si>
    <t xml:space="preserve">Long-Term Disability for Depression, Anxiety and Burnout: How Claims Work</t>
  </si>
  <si>
    <t xml:space="preserve">https://instasure.ca/guides/long-term-disability-for-mental-health/</t>
  </si>
  <si>
    <t xml:space="preserve">long term disability for depression</t>
  </si>
  <si>
    <t xml:space="preserve">long term disability for anxiety canada; disability leave for burnout; mental health disability claim; short term disability for stress; mental health exclusion disability insurance</t>
  </si>
  <si>
    <t xml:space="preserve">Long-Term Disability for Depression and Anxiety</t>
  </si>
  <si>
    <t xml:space="preserve">How long-term disability claims for depression, anxiety and burnout work: the evidence insurers want, treatment rules, return-to-work plans and denials.</t>
  </si>
  <si>
    <t xml:space="preserve">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</si>
  <si>
    <t xml:space="preserve">Can I get long-term disability for depression? | Is burnout covered by disability insurance? | Do I need a psychiatrist for a mental health LTD claim? | Can I buy disability insurance after a mental health diagnosis?</t>
  </si>
  <si>
    <t xml:space="preserve">Evidence checklist for mental health claims (diagnosis, functional limitations, treatment record) and a return-to-work timeline template.</t>
  </si>
  <si>
    <t xml:space="preserve">/disability-insurance/; /guides/long-term-disability-claim-denied/; /guides/how-to-apply-for-long-term-disability/; /guides/does-health-insurance-cover-therapy-canada/</t>
  </si>
  <si>
    <t xml:space="preserve">No competitor coverage seen among the insurance sites researched.</t>
  </si>
  <si>
    <t xml:space="preserve">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</si>
  <si>
    <t xml:space="preserve">Sensitive health topic: avoid implying outcomes, cite the Mental Health Commission of Canada or CAMH for any prevalence figure, keep advice general and refer legal questions to a lawyer.</t>
  </si>
  <si>
    <t xml:space="preserve">Short-Term vs Long-Term Disability Insurance: What's the Difference?</t>
  </si>
  <si>
    <t xml:space="preserve">https://instasure.ca/guides/short-term-vs-long-term-disability/</t>
  </si>
  <si>
    <t xml:space="preserve">short term vs long term disability</t>
  </si>
  <si>
    <t xml:space="preserve">short term disability insurance canada; std vs ltd; how long does short term disability last; weekly indemnity insurance; short term disability for self employed</t>
  </si>
  <si>
    <t xml:space="preserve">Short-Term vs Long-Term Disability: Key Differences</t>
  </si>
  <si>
    <t xml:space="preserve">Short-term vs long-term disability compared: when each starts, how long it lasts, what it pays and where EI sickness benefits fit, with a timeline graphic.</t>
  </si>
  <si>
    <t xml:space="preserve">Short-term vs long-term disability (quick answer) | How short-term disability (weekly indemnity) works | How long-term disability takes over | Where EI sickness benefits fit between them | Group plans vs individual options | Short-term options for the self-employed | Comparison table</t>
  </si>
  <si>
    <t xml:space="preserve">How long does short-term disability last in Canada? | Can I go from short-term to long-term disability? | Do self-employed people qualify for short-term disability? | Is short-term disability the same as EI sickness benefits?</t>
  </si>
  <si>
    <t xml:space="preserve">Comparison table (start date, duration, benefit percentage, who pays, tax, typical definition) and a timeline graphic showing STD, EI sickness and LTD in sequence.</t>
  </si>
  <si>
    <t xml:space="preserve">/disability-insurance/; /guides/long-term-disability-insurance-explained/; /guides/ei-sickness-cpp-disability-vs-private-disability-insurance/; /group-benefits/</t>
  </si>
  <si>
    <t xml:space="preserve">No competitor coverage seen in the research (PolicyAdvisor covers LTD and DI riders, not STD vs LTD).</t>
  </si>
  <si>
    <t xml:space="preserve">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</si>
  <si>
    <t xml:space="preserve">Verify EI sickness duration and the link to the EI premium reduction program on canada.ca; STD durations vary by plan, so label them typical.</t>
  </si>
  <si>
    <t xml:space="preserve">Disability Insurance Riders Explained: COLA, Future Income, Residual and More</t>
  </si>
  <si>
    <t xml:space="preserve">https://instasure.ca/guides/disability-insurance-riders-explained/</t>
  </si>
  <si>
    <t xml:space="preserve">disability insurance riders</t>
  </si>
  <si>
    <t xml:space="preserve">cost of living adjustment rider disability; future income option rider; residual disability benefit; partial disability rider; return of premium disability insurance</t>
  </si>
  <si>
    <t xml:space="preserve">Disability Insurance Riders Explained: Which to Add</t>
  </si>
  <si>
    <t xml:space="preserve">Disability insurance riders explained: residual, cost-of-living, future income and own-occupation riders, what each costs and which to skip on a budget.</t>
  </si>
  <si>
    <t xml:space="preserve">Which disability riders matter (quick answer) | Residual and partial disability benefits | Cost of living adjustment (COLA) | Future income or guaranteed insurability option | Own-occupation rider | Return of premium and non-cancellable features | Riders to skip on a tight budget</t>
  </si>
  <si>
    <t xml:space="preserve">What is a residual disability benefit? | Is a cost of living rider worth it? | What is a future income option? | Which disability riders are most important?</t>
  </si>
  <si>
    <t xml:space="preserve">Rider table showing what each rider does, a worked example of when it pays, and its relative cost impact from the estimate model.</t>
  </si>
  <si>
    <t xml:space="preserve">/disability-insurance/; /guides/own-occupation-vs-any-occupation-disability-insurance/; /guides/disability-insurance-cost-canada/; /glossary/</t>
  </si>
  <si>
    <t xml:space="preserve">PolicyAdvisor covers 'Disability Insurance vs Disability Riders' (riders on life policies), not the riders on a disability contract.</t>
  </si>
  <si>
    <t xml:space="preserve">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</si>
  <si>
    <t xml:space="preserve">Rider names and features differ by insurer; verify against at least three insurer contracts and label relative cost impacts as model outputs.</t>
  </si>
  <si>
    <t xml:space="preserve">CDCP</t>
  </si>
  <si>
    <t xml:space="preserve">Canadian Dental Care Plan Eligibility in 2026: Who Qualifies and How to Apply</t>
  </si>
  <si>
    <t xml:space="preserve">https://instasure.ca/guides/canadian-dental-care-plan-eligibility/</t>
  </si>
  <si>
    <t xml:space="preserve">canadian dental care plan eligibility</t>
  </si>
  <si>
    <t xml:space="preserve">cdcp eligibility; how to apply for canadian dental care plan; cdcp access to dental insurance; cdcp income limit; cdcp adults 18 to 64</t>
  </si>
  <si>
    <t xml:space="preserve">Canadian Dental Care Plan Eligibility: Who Qualifies</t>
  </si>
  <si>
    <t xml:space="preserve">Check Canadian Dental Care Plan eligibility: the income test, what 'access to dental insurance' means, tax-filing rules and how to apply, with edge cases.</t>
  </si>
  <si>
    <t xml:space="preserve">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</si>
  <si>
    <t xml:space="preserve">What is the income limit for the Canadian Dental Care Plan? | Am I eligible for the CDCP if my employer offers dental? | Do I have to file taxes to get the CDCP? | How long does a CDCP application take?</t>
  </si>
  <si>
    <t xml:space="preserve">Eligibility flowchart covering residency, tax filing, income and the 'access to dental insurance' rule, with edge cases (declined employer plan, spouse's plan, health spending account) and a dated source line.</t>
  </si>
  <si>
    <t xml:space="preserve">/health-dental-insurance/; /guides/private-dental-insurance-vs-cdcp/; /guides/cdcp-coverage-and-co-pays/; /guides/cdcp-vs-employer-dental-benefits/</t>
  </si>
  <si>
    <t xml:space="preserve">Not eligible? Instant private dental estimate (/health-dental-insurance/)</t>
  </si>
  <si>
    <t xml:space="preserve">Dental clinics and Sun Life's advisor portal ('How personal health insurance impacts Canadian Dental Care Plan eligibility') cover pieces of this; keywords.csv rates the CDCP SERP as weak.</t>
  </si>
  <si>
    <t xml:space="preserve">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</si>
  <si>
    <t xml:space="preserve">Verify the $90,000 adjusted family net income limit, the 2026 age expansion and application dates on canada.ca (research figures come from secondary sources); date the page and update it on every rule change.</t>
  </si>
  <si>
    <t xml:space="preserve">How Much Does Private Health Insurance Cost in Canada?</t>
  </si>
  <si>
    <t xml:space="preserve">https://instasure.ca/guides/private-health-insurance-cost-canada/</t>
  </si>
  <si>
    <t xml:space="preserve">how much is private health insurance in canada</t>
  </si>
  <si>
    <t xml:space="preserve">private health insurance cost canada; average cost of health insurance canada; health and dental insurance cost per month; family health insurance cost canada; individual health insurance price</t>
  </si>
  <si>
    <t xml:space="preserve">How Much Is Private Health Insurance in Canada?</t>
  </si>
  <si>
    <t xml:space="preserve">See modelled private health insurance costs in Canada by age, plan tier, family size and province, plus a break-even check against your yearly spending.</t>
  </si>
  <si>
    <t xml:space="preserve">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</si>
  <si>
    <t xml:space="preserve">How much is health insurance per month in Canada? | Is private health insurance cheaper in some provinces? | How much does family health and dental insurance cost? | Are health insurance premiums tax deductible?</t>
  </si>
  <si>
    <t xml:space="preserve">Dated example-premium table (single, couple, family × basic, mid and comprehensive tiers × three provinces) from the estimate model, plus a break-even table comparing premiums with expected drug, dental and paramedical spending.</t>
  </si>
  <si>
    <t xml:space="preserve">/health-dental-insurance/; /health-dental-insurance/ontario/; /guides/is-dental-insurance-worth-it/; /guides/medical-expense-tax-credit-canada/</t>
  </si>
  <si>
    <t xml:space="preserve">Instant health &amp; dental estimate (/health-dental-insurance/)</t>
  </si>
  <si>
    <t xml:space="preserve">PolicyAdvisor covers average cost and 'cheapest' health insurance, with price ranges on its Ontario and Alberta pages only; nobody shows a dated table by tier and family size across provinces.</t>
  </si>
  <si>
    <t xml:space="preserve">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</si>
  <si>
    <t xml:space="preserve">Premiums are modelled estimates for stated profiles and dates; no 'cheapest' claims, and verify any carrier-specific price against current rate sheets.</t>
  </si>
  <si>
    <t xml:space="preserve">Life events</t>
  </si>
  <si>
    <t xml:space="preserve">Health Insurance After Losing Your Job: Conversion Plans and Your Options</t>
  </si>
  <si>
    <t xml:space="preserve">https://instasure.ca/guides/health-insurance-after-losing-job/</t>
  </si>
  <si>
    <t xml:space="preserve">health insurance after losing job canada</t>
  </si>
  <si>
    <t xml:space="preserve">group benefits conversion plan; what happens to benefits when laid off; continue health insurance after leaving job; benefits during notice period ontario; individual health plan no medical</t>
  </si>
  <si>
    <t xml:space="preserve">Health Insurance After Losing Your Job in Canada</t>
  </si>
  <si>
    <t xml:space="preserve">Need health insurance after losing your job? See how long group coverage lasts, how no-medical conversion plans work and what to do in the first 30 days.</t>
  </si>
  <si>
    <t xml:space="preserve">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</si>
  <si>
    <t xml:space="preserve">How long do I have to convert my group health benefits? | Do my benefits continue during the notice period? | Is a conversion plan more expensive than a new plan? | Can I get health insurance with a pre-existing condition after leaving work?</t>
  </si>
  <si>
    <t xml:space="preserve">A 30-day action checklist with deadlines and a comparison table of conversion plan vs underwritten plan vs guaranteed-issue plan.</t>
  </si>
  <si>
    <t xml:space="preserve">/health-dental-insurance/; /guides/guaranteed-issue-vs-underwritten-health-insurance/; /guides/private-health-insurance-cost-canada/; /guides/group-vs-individual-disability-insurance/</t>
  </si>
  <si>
    <t xml:space="preserve">No competitor coverage seen; the Instasure money page mentions conversion plans in one line.</t>
  </si>
  <si>
    <t xml:space="preserve">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</si>
  <si>
    <t xml:space="preserve">Conversion windows (often 60 days) and provincial employment-standards rules on benefit continuation differ; verify and phrase as typical. No employment-law advice.</t>
  </si>
  <si>
    <t xml:space="preserve">What Does OHIP Not Cover? Gaps Ontarians Pay for Out of Pocket</t>
  </si>
  <si>
    <t xml:space="preserve">https://instasure.ca/guides/what-does-ohip-not-cover/</t>
  </si>
  <si>
    <t xml:space="preserve">what does ohip not cover</t>
  </si>
  <si>
    <t xml:space="preserve">ohip coverage list; does ohip cover dental; does ohip cover physiotherapy; does ohip cover prescriptions; services not covered by ohip</t>
  </si>
  <si>
    <t xml:space="preserve">What Does OHIP Not Cover? Ontario's Coverage Gaps</t>
  </si>
  <si>
    <t xml:space="preserve">What OHIP does not cover, service by service: prescriptions, dental, eye exams, physio, therapy and ambulance fees, plus programs and plans that fill gaps.</t>
  </si>
  <si>
    <t xml:space="preserve">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</si>
  <si>
    <t xml:space="preserve">Does OHIP cover dental? | Does OHIP cover physiotherapy? | Does OHIP cover eye exams for adults? | Does OHIP cover ambulance rides?</t>
  </si>
  <si>
    <t xml:space="preserve">Service-by-service table (covered, partly covered, not covered, public program that may help) for 25 common services, each linked to the Ontario Ministry of Health source and dated.</t>
  </si>
  <si>
    <t xml:space="preserve">/health-dental-insurance/ontario/; /guides/ohip-plus-explained/; /guides/trillium-drug-program-ontario/; /guides/private-health-insurance-cost-canada/</t>
  </si>
  <si>
    <t xml:space="preserve">Instant health &amp; dental estimate for Ontario (/health-dental-insurance/ontario/)</t>
  </si>
  <si>
    <t xml:space="preserve">PolicyAdvisor's Ontario health page ties its content to OHIP but is a 'Best Health Insurance in Ontario' money page; no gap-by-gap OHIP table surfaced.</t>
  </si>
  <si>
    <t xml:space="preserve">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</si>
  <si>
    <t xml:space="preserve">Verify each OHIP rule (eye exams by age, publicly funded physiotherapy, ambulance co-payment) on ontario.ca and date the table; no 'free' claims beyond what the ministry states.</t>
  </si>
  <si>
    <t xml:space="preserve">What the Canadian Dental Care Plan Covers: Services, Co-Pays and Extra Charges</t>
  </si>
  <si>
    <t xml:space="preserve">https://instasure.ca/guides/cdcp-coverage-and-co-pays/</t>
  </si>
  <si>
    <t xml:space="preserve">what does cdcp cover</t>
  </si>
  <si>
    <t xml:space="preserve">cdcp co-pay by income; cdcp covered services list; cdcp extra charges from dentist; cdcp preauthorization; does cdcp cover dentures</t>
  </si>
  <si>
    <t xml:space="preserve">What Does CDCP Cover? Services, Co-Pays and Fees</t>
  </si>
  <si>
    <t xml:space="preserve">What the CDCP covers: preventive, restorative and denture services, co-pays by income band, preauthorization rules and why your dentist may charge extra.</t>
  </si>
  <si>
    <t xml:space="preserve">What the CDCP covers (quick answer) | Covered services: preventive, restorative, dentures and more | Co-payment bands by income | Services that need preauthorization | Why your dentist may charge extra | What the CDCP does not cover | How to check your coverage before an appointment</t>
  </si>
  <si>
    <t xml:space="preserve">Is the CDCP free? | Why did my dentist charge me extra under the CDCP? | Does the CDCP cover crowns? | Do I need preauthorization for CDCP treatment?</t>
  </si>
  <si>
    <t xml:space="preserve">Services table (covered, preauthorization needed, not covered) and a co-payment example at each income band for a filling and a denture, plus a 'questions to ask your dentist' script.</t>
  </si>
  <si>
    <t xml:space="preserve">/health-dental-insurance/; /guides/canadian-dental-care-plan-eligibility/; /guides/private-dental-insurance-vs-cdcp/; /guides/cdcp-and-provincial-dental-programs/</t>
  </si>
  <si>
    <t xml:space="preserve">Dental clinics cover CDCP services from a provider angle; no insurance site with co-pay examples surfaced.</t>
  </si>
  <si>
    <t xml:space="preserve">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</si>
  <si>
    <t xml:space="preserve">Verify co-pay bands (0% / 40% / 60%), covered-service lists and preauthorization rules on canada.ca and the CDCP fee grids; date the page.</t>
  </si>
  <si>
    <t xml:space="preserve">Is Individual Dental Insurance Worth It? Waiting Periods, Maximums and Break-Even Math</t>
  </si>
  <si>
    <t xml:space="preserve">https://instasure.ca/guides/is-dental-insurance-worth-it/</t>
  </si>
  <si>
    <t xml:space="preserve">is dental insurance worth it</t>
  </si>
  <si>
    <t xml:space="preserve">dental insurance waiting period; dental insurance annual maximum; individual dental insurance cost canada; dental insurance no waiting period canada; dental insurance co-insurance explained</t>
  </si>
  <si>
    <t xml:space="preserve">Is Dental Insurance Worth It? Canada Break-Even Math</t>
  </si>
  <si>
    <t xml:space="preserve">Is dental insurance worth it? Compare premiums with what a plan pays after waiting periods, co-insurance and annual maximums, using break-even examples.</t>
  </si>
  <si>
    <t xml:space="preserve">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</si>
  <si>
    <t xml:space="preserve">Is dental insurance worth it if I only get cleanings? | How long is the waiting period for dental insurance? | What is an annual maximum? | Is there dental insurance with no waiting period in Canada?</t>
  </si>
  <si>
    <t xml:space="preserve">Break-even table: annual premium vs reimbursed cleanings, fillings and a crown under typical co-insurance and annual maximums, using the provincial dental association fee guide as the cost basis.</t>
  </si>
  <si>
    <t xml:space="preserve">/health-dental-insurance/; /guides/private-dental-insurance-vs-cdcp/; /guides/does-dental-insurance-cover-braces/; /guides/private-health-insurance-cost-canada/</t>
  </si>
  <si>
    <t xml:space="preserve">Sun Life has a dental insurance page and the existing Instasure CDCP guide covers eligibility trade-offs; no competitor shows break-even math with waiting periods.</t>
  </si>
  <si>
    <t xml:space="preserve">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</si>
  <si>
    <t xml:space="preserve">Fee guide amounts differ by province and year; cite the fee guide used and date it; premiums are modelled estimates.</t>
  </si>
  <si>
    <t xml:space="preserve">Does Health Insurance Cover Therapy in Canada? Psychologists, Counsellors and Limits</t>
  </si>
  <si>
    <t xml:space="preserve">https://instasure.ca/guides/does-health-insurance-cover-therapy-canada/</t>
  </si>
  <si>
    <t xml:space="preserve">does insurance cover therapy canada</t>
  </si>
  <si>
    <t xml:space="preserve">is therapy covered by ohip; psychologist coverage health insurance; registered psychotherapist insurance coverage; mental health coverage private plan; eap counselling sessions</t>
  </si>
  <si>
    <t xml:space="preserve">Does Insurance Cover Therapy in Canada? Limits Explained</t>
  </si>
  <si>
    <t xml:space="preserve">Does insurance cover therapy in Canada? See what provincial plans pay for, which practitioners private plans accept, typical yearly limits and EAP options.</t>
  </si>
  <si>
    <t xml:space="preserve">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</si>
  <si>
    <t xml:space="preserve">Is therapy covered by OHIP? | Does private insurance cover a registered psychotherapist? | How many therapy sessions does insurance cover? | Can I buy health insurance just for mental health?</t>
  </si>
  <si>
    <t xml:space="preserve">Table of practitioner types (psychiatrist, psychologist, psychotherapist, counselling therapist, social worker) showing public coverage and typical private-plan eligibility by province, with registration notes.</t>
  </si>
  <si>
    <t xml:space="preserve">/health-dental-insurance/; /guides/paramedical-coverage-explained/; /guides/employee-assistance-program-small-business/; /guides/long-term-disability-for-mental-health/</t>
  </si>
  <si>
    <t xml:space="preserve">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</si>
  <si>
    <t xml:space="preserve">Which practitioners are regulated differs by province; verify against provincial colleges and plan contracts. Sensitive topic: include crisis-line information and avoid clinical advice.</t>
  </si>
  <si>
    <t xml:space="preserve">Guaranteed-Issue vs Underwritten Health Insurance: Pre-Existing Conditions Explained</t>
  </si>
  <si>
    <t xml:space="preserve">https://instasure.ca/guides/guaranteed-issue-vs-underwritten-health-insurance/</t>
  </si>
  <si>
    <t xml:space="preserve">guaranteed issue health insurance</t>
  </si>
  <si>
    <t xml:space="preserve">health insurance pre existing conditions canada; no medical health insurance canada; underwritten health plan; health insurance with diabetes canada; pre-existing condition exclusion health plan</t>
  </si>
  <si>
    <t xml:space="preserve">Guaranteed Issue Health Insurance vs Underwritten</t>
  </si>
  <si>
    <t xml:space="preserve">Guaranteed-issue vs underwritten health insurance: how each treats pre-existing conditions and current prescriptions, the cost, and which route to take.</t>
  </si>
  <si>
    <t xml:space="preserve">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</si>
  <si>
    <t xml:space="preserve">Can I get health insurance with a pre-existing condition in Canada? | What does guaranteed issue mean? | Do guaranteed-issue plans cover existing prescriptions? | Is underwritten health insurance cheaper?</t>
  </si>
  <si>
    <t xml:space="preserve">Comparison table of plan routes (guaranteed issue, underwritten, conversion) by health questions, drug limits, maximums and cost, with a worked example for a person on a monthly maintenance drug.</t>
  </si>
  <si>
    <t xml:space="preserve">/health-dental-insurance/; /guides/health-insurance-after-losing-job/; /guides/private-health-insurance-cost-canada/; /life-insurance/medical-conditions/</t>
  </si>
  <si>
    <t xml:space="preserve">PolicyAdvisor covers pre-existing conditions for life insurance and Sun Life shows its basic and enhanced plans; no neutral guaranteed-issue vs underwritten comparison surfaced.</t>
  </si>
  <si>
    <t xml:space="preserve">Focus keyword in the H1, slug, meta title, first 100 words and first H2; define guaranteed issue in 40 to 60 words with the pre-existing caveat. Use the three-route table and the maintenance-drug example; anchor 'conversion plans' to the job-loss guide. Licensed reviewer; review annually.</t>
  </si>
  <si>
    <t xml:space="preserve">Pre-existing limitations differ by plan; verify against at least three insurers' contracts and avoid implying full coverage of existing conditions.</t>
  </si>
  <si>
    <t xml:space="preserve">Data &amp; research</t>
  </si>
  <si>
    <t xml:space="preserve">Long-Term Care Costs by Province: What the Government Pays and What You Pay</t>
  </si>
  <si>
    <t xml:space="preserve">https://instasure.ca/guides/long-term-care-costs-by-province/</t>
  </si>
  <si>
    <t xml:space="preserve">long term care costs by province</t>
  </si>
  <si>
    <t xml:space="preserve">cost of long term care in ontario; long term care co-payment; private vs public long term care canada; home care costs canada; long term care insurance alternatives</t>
  </si>
  <si>
    <t xml:space="preserve">Long-Term Care Costs by Province: What You Pay</t>
  </si>
  <si>
    <t xml:space="preserve">Compare long-term care costs by province: resident co-payments for basic and private rooms, low-income reductions, home care and how families pay for care.</t>
  </si>
  <si>
    <t xml:space="preserve">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</si>
  <si>
    <t xml:space="preserve">How much does long-term care cost in Ontario? | Does the government pay for long-term care in Canada? | What is the difference between a retirement home and long-term care? | Can I still buy long-term care insurance in Canada?</t>
  </si>
  <si>
    <t xml:space="preserve">13-row table of public long-term care resident charges (basic and private room) by province and territory, linked to each ministry and dated, plus a monthly budget example comparing a retirement home with long-term care.</t>
  </si>
  <si>
    <t xml:space="preserve">/long-term-care-insurance/; /health-dental-insurance/; /guides/health-insurance-for-seniors-over-65/; /critical-illness-insurance/</t>
  </si>
  <si>
    <t xml:space="preserve">Talk to a licensed advisor about long-term care options (/long-term-care-insurance/)</t>
  </si>
  <si>
    <t xml:space="preserve">Ratehub and PolicyAdvisor cover long-term care insurance (per keywords.csv); no province-by-province co-payment table surfaced.</t>
  </si>
  <si>
    <t xml:space="preserve">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</si>
  <si>
    <t xml:space="preserve">Co-payment rates change (often each July); verify on each ministry site and date them. Verify the claim that few insurers still sell individual LTC before stating it.</t>
  </si>
  <si>
    <t xml:space="preserve">Prescription Drug Coverage by Province: Public Plans, Deductibles and Gaps</t>
  </si>
  <si>
    <t xml:space="preserve">https://instasure.ca/guides/prescription-drug-coverage-by-province/</t>
  </si>
  <si>
    <t xml:space="preserve">prescription drug coverage by province</t>
  </si>
  <si>
    <t xml:space="preserve">provincial drug plans canada; prescription drug coverage canada; who pays for prescriptions in canada; provincial pharmacare comparison; drug plan for people without insurance</t>
  </si>
  <si>
    <t xml:space="preserve">Prescription Drug Coverage by Province in Canada</t>
  </si>
  <si>
    <t xml:space="preserve">Compare prescription drug coverage in every province and territory: public plans, who is covered, deductibles, seniors' rules and catastrophic programs.</t>
  </si>
  <si>
    <t xml:space="preserve">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</si>
  <si>
    <t xml:space="preserve">Are prescriptions free in Canada? | Which provinces cover prescriptions for seniors? | What happens if I can't afford my prescriptions? | Do I need private drug insurance if I have a provincial plan?</t>
  </si>
  <si>
    <t xml:space="preserve">13-row province and territory table (plan name, who is covered, deductible basis, seniors' rules, catastrophic program), each cell linked to the provincial source and dated.</t>
  </si>
  <si>
    <t xml:space="preserve">/health-dental-insurance/; /guides/national-pharmacare-canada-explained/; /guides/trillium-drug-program-ontario/; /guides/bc-fair-pharmacare-explained/; /guides/quebec-ramq-prescription-drug-insurance/</t>
  </si>
  <si>
    <t xml:space="preserve">No competitor coverage seen; PolicyAdvisor's province health pages cover only ON, BC, AB and MB and do not compare drug plans.</t>
  </si>
  <si>
    <t xml:space="preserve">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</si>
  <si>
    <t xml:space="preserve">Verify every province's plan rules annually on government sites and avoid ranking provinces as 'best' or 'worst'.</t>
  </si>
  <si>
    <t xml:space="preserve">OHIP+ Explained: Free Prescriptions for Under-25s and How Private Plans Affect It</t>
  </si>
  <si>
    <t xml:space="preserve">https://instasure.ca/guides/ohip-plus-explained/</t>
  </si>
  <si>
    <t xml:space="preserve">ohip+</t>
  </si>
  <si>
    <t xml:space="preserve">ohip plus eligibility; ohip+ and private insurance; ohip+ drug coverage under 25; does ohip+ cover all drugs; what happens to ohip+ at 25</t>
  </si>
  <si>
    <t xml:space="preserve">OHIP+ Explained: Free Prescriptions for Under-25s</t>
  </si>
  <si>
    <t xml:space="preserve">OHIP+ explained: who gets free prescriptions under 25, why a private plan pays first, which drugs are listed and what changes when you turn 25.</t>
  </si>
  <si>
    <t xml:space="preserve">What OHIP+ covers (quick answer) | Who qualifies for OHIP+ | Why private coverage takes priority | Which drugs are on the formulary | What happens when you turn 25 | Options after OHIP+: Trillium, private plans and parents' benefits</t>
  </si>
  <si>
    <t xml:space="preserve">Is OHIP+ free for everyone under 25? | Can I use OHIP+ if I have private insurance? | What happens to OHIP+ at 25? | Does OHIP+ cover birth control?</t>
  </si>
  <si>
    <t xml:space="preserve">Eligibility flowchart (age, OHIP status, private plan coverage) and a turning-25 checklist.</t>
  </si>
  <si>
    <t xml:space="preserve">/health-dental-insurance/ontario/; /guides/what-does-ohip-not-cover/; /guides/health-insurance-after-aging-out-of-parents-plan/; /guides/trillium-drug-program-ontario/</t>
  </si>
  <si>
    <t xml:space="preserve">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</si>
  <si>
    <t xml:space="preserve">Verify OHIP+ eligibility (including the rule, in effect since 2019, that people with private coverage use it first) and formulary scope on ontario.ca; date the page.</t>
  </si>
  <si>
    <t xml:space="preserve">What Alberta Health Care Doesn't Cover, and Alberta Blue Cross Non-Group Plans</t>
  </si>
  <si>
    <t xml:space="preserve">https://instasure.ca/guides/what-alberta-health-care-doesnt-cover/</t>
  </si>
  <si>
    <t xml:space="preserve">what does alberta health care not cover</t>
  </si>
  <si>
    <t xml:space="preserve">ahcip coverage list; alberta blue cross non group coverage; alberta seniors drug coverage; private health insurance alberta; does alberta health cover physiotherapy</t>
  </si>
  <si>
    <t xml:space="preserve">What Alberta Health Care Doesn't Cover (AHCIP Gaps)</t>
  </si>
  <si>
    <t xml:space="preserve">What Alberta Health Care does not cover, from drugs and dental to physio, how government-sponsored non-group plans work, and when private fits better.</t>
  </si>
  <si>
    <t xml:space="preserve">What AHCIP doesn't cover (quick answer) | Prescription drugs and Alberta's government-sponsored plans | Dental and vision | Physiotherapy, chiropractic and mental health | Ambulance and other out-of-pocket costs | Non-group coverage vs private health plans | How to choose coverage in Alberta</t>
  </si>
  <si>
    <t xml:space="preserve">Does Alberta Health Care cover prescriptions? | What is Alberta Blue Cross non-group coverage? | Does AHCIP cover dental? | Do Alberta seniors get free prescriptions?</t>
  </si>
  <si>
    <t xml:space="preserve">Gap table for Alberta services (covered, partial, not covered, program that may help) and a side-by-side of government-sponsored non-group coverage vs a typical private plan.</t>
  </si>
  <si>
    <t xml:space="preserve">/health-dental-insurance/alberta/; /guides/prescription-drug-coverage-by-province/; /guides/private-health-insurance-cost-canada/</t>
  </si>
  <si>
    <t xml:space="preserve">Instant health &amp; dental estimate for Alberta (/health-dental-insurance/alberta/)</t>
  </si>
  <si>
    <t xml:space="preserve">PolicyAdvisor's Alberta health page ties to AHCIP and quotes price ranges (about $70 to $240 a month per snippets), but no gap table or non-group comparison surfaced.</t>
  </si>
  <si>
    <t xml:space="preserve">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</si>
  <si>
    <t xml:space="preserve">Verify AHCIP coverage, non-group premiums and seniors' programs on alberta.ca and the Alberta Blue Cross site, and check for recent program changes before publishing.</t>
  </si>
  <si>
    <t xml:space="preserve">Health Insurance for Early Retirees: Bridging the Gap Before 65</t>
  </si>
  <si>
    <t xml:space="preserve">https://instasure.ca/guides/health-insurance-for-early-retirees/</t>
  </si>
  <si>
    <t xml:space="preserve">health insurance for early retirees canada</t>
  </si>
  <si>
    <t xml:space="preserve">retiree health benefits canada; health insurance after retirement before 65; retiree health and dental plan; benefits when you retire early; post retirement health insurance</t>
  </si>
  <si>
    <t xml:space="preserve">Health Insurance for Early Retirees in Canada (Under 65)</t>
  </si>
  <si>
    <t xml:space="preserve">Health insurance for early retirees under 65: retiree benefits, converting your group plan, individual plans for ages 55 to 64 and senior drug plans.</t>
  </si>
  <si>
    <t xml:space="preserve">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</si>
  <si>
    <t xml:space="preserve">What happens to my health benefits when I retire early? | Can I get health insurance at 60 without a medical? | When do provincial drug plans start covering seniors? | Should early retirees keep travel insurance?</t>
  </si>
  <si>
    <t xml:space="preserve">Year-by-year budget template from retirement to 65 with modelled plan premiums and out-of-pocket estimates, plus a province table of the age when public drug coverage for seniors begins.</t>
  </si>
  <si>
    <t xml:space="preserve">/health-dental-insurance/; /travel-insurance/snowbirds/; /guides/health-insurance-for-seniors-over-65/; /guides/prescription-drug-coverage-by-province/</t>
  </si>
  <si>
    <t xml:space="preserve">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</si>
  <si>
    <t xml:space="preserve">Label modelled premiums as estimates; verify the senior drug-plan starting age for each province.</t>
  </si>
  <si>
    <t xml:space="preserve">Health Insurance for Newcomers to Canada: Covering the Provincial Waiting Period</t>
  </si>
  <si>
    <t xml:space="preserve">https://instasure.ca/guides/health-insurance-for-newcomers-to-canada/</t>
  </si>
  <si>
    <t xml:space="preserve">health insurance for newcomers to canada</t>
  </si>
  <si>
    <t xml:space="preserve">provincial health insurance waiting period; msp waiting period bc; ramq waiting period; new immigrant health insurance canada; private health insurance for permanent residents</t>
  </si>
  <si>
    <t xml:space="preserve">Health Insurance for Newcomers to Canada: Wait Periods</t>
  </si>
  <si>
    <t xml:space="preserve">Health insurance for newcomers to Canada: waiting periods in every province, who qualifies by status, and private plans that cover the gap. Plan ahead.</t>
  </si>
  <si>
    <t xml:space="preserve">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</si>
  <si>
    <t xml:space="preserve">Is there a waiting period for health care in Canada? | Does Ontario have a waiting period for OHIP? | When should newcomers buy private health insurance? | Do work permit holders get provincial health coverage?</t>
  </si>
  <si>
    <t xml:space="preserve">13-row table of provincial and territorial waiting periods and eligibility by status (PR, work permit, student), each linked to the provincial health plan and dated, plus a first-90-days checklist.</t>
  </si>
  <si>
    <t xml:space="preserve">/health-dental-insurance/; /life-insurance/newcomers/; /guides/life-insurance-for-newcomers-to-canada/; /travel-insurance/visitors-to-canada/</t>
  </si>
  <si>
    <t xml:space="preserve">PolicyAdvisor covers newcomers for life insurance and extended health for foreign workers; no province-by-province waiting-period table surfaced.</t>
  </si>
  <si>
    <t xml:space="preserve">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</si>
  <si>
    <t xml:space="preserve">Waiting periods and eligibility change; verify each with the provincial plan (for example BC MSP, RAMQ, OHIP) and date the table. Use IRCC status names correctly.</t>
  </si>
  <si>
    <t xml:space="preserve">Regulation &amp; rule changes</t>
  </si>
  <si>
    <t xml:space="preserve">National Pharmacare in Canada: What's Covered So Far and What It Means for Your Plan</t>
  </si>
  <si>
    <t xml:space="preserve">https://instasure.ca/guides/national-pharmacare-canada-explained/</t>
  </si>
  <si>
    <t xml:space="preserve">national pharmacare canada</t>
  </si>
  <si>
    <t xml:space="preserve">pharmacare act canada; free contraception canada; free diabetes medication canada; which provinces signed pharmacare; does pharmacare replace private insurance</t>
  </si>
  <si>
    <t xml:space="preserve">National Pharmacare in Canada: What's Covered Now</t>
  </si>
  <si>
    <t xml:space="preserve">Where national pharmacare stands: what the Pharmacare Act covers, which provinces have signed, and whether you still need private drug insurance.</t>
  </si>
  <si>
    <t xml:space="preserve">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</si>
  <si>
    <t xml:space="preserve">Is pharmacare free in Canada now? | Which provinces have national pharmacare? | Do I still need private drug insurance? | Are diabetes supplies covered under pharmacare?</t>
  </si>
  <si>
    <t xml:space="preserve">Dated tracker table of federal-provincial pharmacare agreements (province, signing date, what is covered, start date), each row linked to the Health Canada or provincial announcement.</t>
  </si>
  <si>
    <t xml:space="preserve">/health-dental-insurance/; /guides/prescription-drug-coverage-by-province/; /guides/bc-fair-pharmacare-explained/; /group-benefits/</t>
  </si>
  <si>
    <t xml:space="preserve">No competitor coverage seen among the insurance sites researched (news outlets own this topic).</t>
  </si>
  <si>
    <t xml:space="preserve">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</si>
  <si>
    <t xml:space="preserve">Every agreement, coverage list and start date must be verified on canada.ca or the provincial government site and dated; do not call pharmacare universal or free beyond what has launched.</t>
  </si>
  <si>
    <t xml:space="preserve">Is Health Insurance Tax Deductible for the Self-Employed? PHSP Rules Explained</t>
  </si>
  <si>
    <t xml:space="preserve">https://instasure.ca/guides/self-employed-health-insurance-tax-deductible/</t>
  </si>
  <si>
    <t xml:space="preserve">is health insurance tax deductible for self employed</t>
  </si>
  <si>
    <t xml:space="preserve">private health services plan self employed; phsp deduction canada; health and dental insurance for self employed; self employed health benefits canada; medical expense tax credit vs phsp</t>
  </si>
  <si>
    <t xml:space="preserve">Is Health Insurance Tax Deductible if Self-Employed?</t>
  </si>
  <si>
    <t xml:space="preserve">Is health insurance tax deductible for the self-employed? How the PHSP deduction works, its income tests and limits, and when the medical credit is better.</t>
  </si>
  <si>
    <t xml:space="preserve">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</si>
  <si>
    <t xml:space="preserve">Can I write off health insurance if I'm self-employed in Canada? | What is a private health services plan? | Is dental insurance tax deductible for the self-employed? | Should I claim premiums as a business expense or a medical expense?</t>
  </si>
  <si>
    <t xml:space="preserve">Worked example comparing the PHSP business deduction with the medical expense tax credit for a sole-proprietor family, plus an eligibility checklist citing the Income Tax Act section.</t>
  </si>
  <si>
    <t xml:space="preserve">/health-dental-insurance/; /guides/medical-expense-tax-credit-canada/; /guides/health-spending-account-small-business/; /disability-insurance/self-employed/</t>
  </si>
  <si>
    <t xml:space="preserve">PolicyAdvisor covers health insurance for the self-employed in general terms; no PHSP deduction explainer with a worked example surfaced.</t>
  </si>
  <si>
    <t xml:space="preserve">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</si>
  <si>
    <t xml:space="preserve">Verify Income Tax Act s.20.01 limits and conditions on CRA's site and date them; label as general tax information and recommend an accountant.</t>
  </si>
  <si>
    <t xml:space="preserve">CDCP and Provincial Dental Programs: How They Work Together, Province by Province</t>
  </si>
  <si>
    <t xml:space="preserve">https://instasure.ca/guides/cdcp-and-provincial-dental-programs/</t>
  </si>
  <si>
    <t xml:space="preserve">cdcp and provincial dental programs</t>
  </si>
  <si>
    <t xml:space="preserve">ontario seniors dental care program vs cdcp; healthy smiles ontario and cdcp; alberta dental assistance for seniors; bc healthy kids dental; provincial dental coverage canada</t>
  </si>
  <si>
    <t xml:space="preserve">CDCP and Provincial Dental Programs by Province</t>
  </si>
  <si>
    <t xml:space="preserve">How the CDCP works with provincial dental programs for seniors, children and social assistance in each province, which pays first, and when private helps.</t>
  </si>
  <si>
    <t xml:space="preserve">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</si>
  <si>
    <t xml:space="preserve">Can I have the CDCP and the Ontario Seniors Dental Care Program? | Which pays first, the CDCP or a provincial program? | Does Healthy Smiles Ontario still exist with the CDCP? | Do provinces cover adult dental care?</t>
  </si>
  <si>
    <t xml:space="preserve">13-row table of provincial and territorial public dental programs (seniors, children, social assistance) and how each coordinates with the CDCP, linked to sources and dated.</t>
  </si>
  <si>
    <t xml:space="preserve">/health-dental-insurance/; /guides/canadian-dental-care-plan-eligibility/; /guides/cdcp-coverage-and-co-pays/; /health-dental-insurance/ontario/</t>
  </si>
  <si>
    <t xml:space="preserve">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</si>
  <si>
    <t xml:space="preserve">Program names, eligibility and coordination rules must be verified with each province and canada.ca; some provincial programs may change because of the CDCP, so refresh on any rule change.</t>
  </si>
  <si>
    <t xml:space="preserve">Does Dental Insurance Cover Braces? Orthodontic Coverage for Kids and Adults</t>
  </si>
  <si>
    <t xml:space="preserve">https://instasure.ca/guides/does-dental-insurance-cover-braces/</t>
  </si>
  <si>
    <t xml:space="preserve">does dental insurance cover braces</t>
  </si>
  <si>
    <t xml:space="preserve">orthodontic insurance canada; how much do braces cost in canada; does cdcp cover braces; does insurance cover invisalign; orthodontic lifetime maximum</t>
  </si>
  <si>
    <t xml:space="preserve">Does Dental Insurance Cover Braces? Kids and Adults</t>
  </si>
  <si>
    <t xml:space="preserve">Does dental insurance cover braces? Orthodontic coverage in group, individual and public plans, lifetime maximums, age limits and clear aligners.</t>
  </si>
  <si>
    <t xml:space="preserve">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</si>
  <si>
    <t xml:space="preserve">Do individual dental plans cover orthodontics? | Is there an age limit for orthodontic coverage? | Does the CDCP cover braces? | Can I claim braces on my taxes?</t>
  </si>
  <si>
    <t xml:space="preserve">Table of orthodontic coverage by plan type (group, individual, CDCP, provincial programs) with typical lifetime maximums and age limits, plus a worked out-of-pocket example.</t>
  </si>
  <si>
    <t xml:space="preserve">/health-dental-insurance/; /guides/is-dental-insurance-worth-it/; /guides/cdcp-coverage-and-co-pays/; /guides/medical-expense-tax-credit-canada/</t>
  </si>
  <si>
    <t xml:space="preserve">Sun Life publishes 'Does My Child Need Braces?' and '4 Things Adults Should Know Before Getting Braces' without a plan-type coverage comparison.</t>
  </si>
  <si>
    <t xml:space="preserve">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</si>
  <si>
    <t xml:space="preserve">Verify CDCP orthodontic coverage rules on canada.ca; typical maximums vary by plan, so label them as examples.</t>
  </si>
  <si>
    <t xml:space="preserve">Does Health Insurance Cover Physio, Massage and Chiropractic? Paramedical Coverage Explained</t>
  </si>
  <si>
    <t xml:space="preserve">https://instasure.ca/guides/paramedical-coverage-explained/</t>
  </si>
  <si>
    <t xml:space="preserve">paramedical coverage</t>
  </si>
  <si>
    <t xml:space="preserve">does insurance cover massage therapy; does ohip cover physiotherapy; chiropractic coverage canada; paramedical practitioners health plan; physiotherapy per visit maximum</t>
  </si>
  <si>
    <t xml:space="preserve">Paramedical Coverage: Physio, Massage and Chiro</t>
  </si>
  <si>
    <t xml:space="preserve">Paramedical coverage explained: which practitioners health plans pay for, per-visit and yearly limits, referral rules and public physio by province.</t>
  </si>
  <si>
    <t xml:space="preserve">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</si>
  <si>
    <t xml:space="preserve">Does health insurance cover massage therapy? | Do I need a referral for physiotherapy coverage? | Does OHIP cover physiotherapy? | Why was my massage claim rejected?</t>
  </si>
  <si>
    <t xml:space="preserve">Table of commonly covered practitioners with typical per-visit and annual limits by plan tier, plus a province table of publicly funded physiotherapy access.</t>
  </si>
  <si>
    <t xml:space="preserve">/health-dental-insurance/; /guides/what-does-ohip-not-cover/; /guides/does-health-insurance-cover-therapy-canada/; /guides/private-health-insurance-cost-canada/</t>
  </si>
  <si>
    <t xml:space="preserve">Focus keyword in the H1, slug, meta title, first 100 words and first H2; define paramedical coverage in 40 to 60 words with examples. Use the practitioner limits table and public-physio table; anchor 'therapy coverage' to the mental health guide. Licensed reviewer; review annually.</t>
  </si>
  <si>
    <t xml:space="preserve">Verify public physiotherapy programs per province; practitioner registration requirements depend on each province's regulatory college; label limits as typical.</t>
  </si>
  <si>
    <t xml:space="preserve">Vision Insurance in Canada: Eye Exam and Glasses Coverage by Province</t>
  </si>
  <si>
    <t xml:space="preserve">https://instasure.ca/guides/vision-insurance-canada/</t>
  </si>
  <si>
    <t xml:space="preserve">vision insurance canada</t>
  </si>
  <si>
    <t xml:space="preserve">does ohip cover eye exams; eye exam coverage by province; does health insurance cover glasses; vision coverage individual health plan; does insurance cover laser eye surgery</t>
  </si>
  <si>
    <t xml:space="preserve">Vision Insurance in Canada: Eye Exams and Glasses</t>
  </si>
  <si>
    <t xml:space="preserve">Vision insurance in Canada: which provinces cover eye exams by age, what private plans pay for glasses and contacts, and if a vision add-on is worth it.</t>
  </si>
  <si>
    <t xml:space="preserve">Is vision care covered in Canada? (quick answer) | Eye exam coverage by province and age | Medically necessary eye care vs routine exams | What private plans pay for glasses and contacts | Laser eye surgery coverage | Is a vision add-on worth it? | How to stretch your vision benefit</t>
  </si>
  <si>
    <t xml:space="preserve">Does OHIP cover eye exams for adults? | How often does insurance cover new glasses? | Does health insurance cover laser eye surgery? | Are eye exams free for children in Canada?</t>
  </si>
  <si>
    <t xml:space="preserve">Province-by-province table of eye-exam coverage by age group, and a table of typical private-plan vision limits (per 24 months) by plan tier.</t>
  </si>
  <si>
    <t xml:space="preserve">/health-dental-insurance/; /guides/what-does-ohip-not-cover/; /guides/private-health-insurance-cost-canada/</t>
  </si>
  <si>
    <t xml:space="preserve">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</si>
  <si>
    <t xml:space="preserve">Verify each province's eye-exam rules with the provincial plan and date them; private-plan limits are typical examples, not quotes.</t>
  </si>
  <si>
    <t xml:space="preserve">BC Fair PharmaCare Explained: Deductibles, Family Maximums and Private Plans</t>
  </si>
  <si>
    <t xml:space="preserve">https://instasure.ca/guides/bc-fair-pharmacare-explained/</t>
  </si>
  <si>
    <t xml:space="preserve">bc pharmacare deductible</t>
  </si>
  <si>
    <t xml:space="preserve">fair pharmacare bc; bc pharmacare registration; bc pharmacare family maximum; free contraception bc; bc pharmacare with employer plan</t>
  </si>
  <si>
    <t xml:space="preserve">BC PharmaCare Deductible: Fair PharmaCare Explained</t>
  </si>
  <si>
    <t xml:space="preserve">How BC Fair PharmaCare sets your deductible and family maximum by income, what the formulary covers, and how it works alongside a private or employer plan.</t>
  </si>
  <si>
    <t xml:space="preserve">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</si>
  <si>
    <t xml:space="preserve">How is the BC PharmaCare deductible calculated? | Do I need to register for Fair PharmaCare? | Is contraception free in BC? | Does BC PharmaCare work with my employer plan?</t>
  </si>
  <si>
    <t xml:space="preserve">Worked examples at three net family incomes showing the deductible, co-pay share and family maximum, linked to the BC government's Fair PharmaCare tables and dated.</t>
  </si>
  <si>
    <t xml:space="preserve">/health-dental-insurance/british-columbia/; /guides/prescription-drug-coverage-by-province/; /guides/national-pharmacare-canada-explained/</t>
  </si>
  <si>
    <t xml:space="preserve">Instant health &amp; dental estimate for BC (/health-dental-insurance/british-columbia/)</t>
  </si>
  <si>
    <t xml:space="preserve">PolicyAdvisor's BC health page is a money page; no PharmaCare deductible explainer surfaced among competitors.</t>
  </si>
  <si>
    <t xml:space="preserve">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</si>
  <si>
    <t xml:space="preserve">Verify income bands, percentages and contraception and diabetes coverage on gov.bc.ca and date the page; the tables change with policy updates.</t>
  </si>
  <si>
    <t xml:space="preserve">New Brunswick Drug Plan Explained: Premiums, Co-Pays and Who Should Enrol</t>
  </si>
  <si>
    <t xml:space="preserve">https://instasure.ca/guides/new-brunswick-drug-plan-explained/</t>
  </si>
  <si>
    <t xml:space="preserve">new brunswick drug plan</t>
  </si>
  <si>
    <t xml:space="preserve">nb drug plan premiums; new brunswick prescription coverage; nb drug plan co-pay; health insurance new brunswick; new brunswick drug plan vs private insurance</t>
  </si>
  <si>
    <t xml:space="preserve">Province: New Brunswick</t>
  </si>
  <si>
    <t xml:space="preserve">New Brunswick Drug Plan: Premiums, Co-Pays, Enrolment</t>
  </si>
  <si>
    <t xml:space="preserve">How the New Brunswick Drug Plan works: who can enrol, premiums and co-pays by income, seniors' programs and how it compares with a private health plan.</t>
  </si>
  <si>
    <t xml:space="preserve">What the New Brunswick Drug Plan is (quick answer) | Who can enrol | Premiums and co-payments by income | Seniors and other public drug programs in New Brunswick | NB Drug Plan vs a private health plan | How to enrol | Other coverage gaps in New Brunswick</t>
  </si>
  <si>
    <t xml:space="preserve">Who is eligible for the New Brunswick Drug Plan? | How much does the NB Drug Plan cost? | Can I have the NB Drug Plan and private insurance? | Does the New Brunswick Drug Plan cover dental?</t>
  </si>
  <si>
    <t xml:space="preserve">Premium and co-pay table by income band linked to the Government of New Brunswick, plus a side-by-side with a typical private plan.</t>
  </si>
  <si>
    <t xml:space="preserve">/health-dental-insurance/new-brunswick/; /guides/prescription-drug-coverage-by-province/; /guides/private-health-insurance-cost-canada/</t>
  </si>
  <si>
    <t xml:space="preserve">Instant health &amp; dental estimate for New Brunswick (/health-dental-insurance/new-brunswick/)</t>
  </si>
  <si>
    <t xml:space="preserve">No competitor coverage seen; PolicyAdvisor has no Atlantic pages.</t>
  </si>
  <si>
    <t xml:space="preserve">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</si>
  <si>
    <t xml:space="preserve">Verify premiums, co-pays and eligibility on gnb.ca and date them.</t>
  </si>
  <si>
    <t xml:space="preserve">Ontario Drug Benefit and the Trillium Drug Program: Who Qualifies and What You Pay</t>
  </si>
  <si>
    <t xml:space="preserve">https://instasure.ca/guides/trillium-drug-program-ontario/</t>
  </si>
  <si>
    <t xml:space="preserve">trillium drug program</t>
  </si>
  <si>
    <t xml:space="preserve">trillium deductible calculation; ontario drug benefit eligibility; ontario drug benefit seniors co-payment; trillium drug program with private insurance; how to apply for trillium</t>
  </si>
  <si>
    <t xml:space="preserve">Trillium Drug Program and Ontario Drug Benefit Guide</t>
  </si>
  <si>
    <t xml:space="preserve">How the Trillium Drug Program and Ontario Drug Benefit work: who qualifies, how the income-based deductible is set, seniors' co-pays and private plans.</t>
  </si>
  <si>
    <t xml:space="preserve">Trillium and ODB in brief (quick answer) | Who the Ontario Drug Benefit covers | Seniors' deductible and co-payments | How the Trillium deductible is calculated | Trillium with private insurance: paying the gap | Worked example: a family with high drug costs | How to apply and renew</t>
  </si>
  <si>
    <t xml:space="preserve">How is the Trillium deductible calculated? | Can I use Trillium if I have private insurance? | Do seniors pay for prescriptions in Ontario? | How long does a Trillium application take?</t>
  </si>
  <si>
    <t xml:space="preserve">Worked Trillium deductible example at three household incomes and a seniors' co-payment table, each figure linked to the Ontario Ministry of Health and dated.</t>
  </si>
  <si>
    <t xml:space="preserve">/health-dental-insurance/ontario/; /guides/ohip-plus-explained/; /guides/prescription-drug-coverage-by-province/; /guides/what-does-ohip-not-cover/</t>
  </si>
  <si>
    <t xml:space="preserve">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</si>
  <si>
    <t xml:space="preserve">Verify the deductible formula, quarterly instalments and seniors' thresholds on ontario.ca; mark worked examples as illustrations.</t>
  </si>
  <si>
    <t xml:space="preserve">Health Insurance for Seniors Over 65: Drug Plans, Dental and Private Top-Ups</t>
  </si>
  <si>
    <t xml:space="preserve">https://instasure.ca/guides/health-insurance-for-seniors-over-65/</t>
  </si>
  <si>
    <t xml:space="preserve">health insurance for seniors canada</t>
  </si>
  <si>
    <t xml:space="preserve">senior health insurance canada; health and dental insurance for seniors; seniors drug coverage by province; private health insurance over 65; seniors dental coverage canada</t>
  </si>
  <si>
    <t xml:space="preserve">Health Insurance for Seniors in Canada (65 and Over)</t>
  </si>
  <si>
    <t xml:space="preserve">Health insurance for seniors in Canada: what provincial drug plans change at 65, dental through the CDCP, hearing and vision gaps and private top-up plans.</t>
  </si>
  <si>
    <t xml:space="preserve">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</si>
  <si>
    <t xml:space="preserve">Do seniors need private health insurance in Canada? | What drug coverage do seniors get at 65? | Is dental covered for seniors in Canada? | Can I buy health insurance after 65?</t>
  </si>
  <si>
    <t xml:space="preserve">Coverage checklist at 65 and a province table of seniors' drug, dental and hearing-aid programs, each linked and dated.</t>
  </si>
  <si>
    <t xml:space="preserve">/health-dental-insurance/; /travel-insurance/snowbirds/; /guides/cdcp-and-provincial-dental-programs/; /guides/long-term-care-costs-by-province/</t>
  </si>
  <si>
    <t xml:space="preserve">No competitor coverage seen for seniors' health plans (PolicyAdvisor's seniors content is life insurance).</t>
  </si>
  <si>
    <t xml:space="preserve">Focus keyword in the H1, slug, meta title, first 100 words and first H2; the 40 to 60 word answer should list the main gaps that remain at 65. Use the checklist and seniors' programs table; anchor 'snowbird travel insurance' to the snowbird desk page. Licensed reviewer; review annually.</t>
  </si>
  <si>
    <t xml:space="preserve">Verify each province's seniors' programs on government sites and date them; check private plan age limits per insurer.</t>
  </si>
  <si>
    <t xml:space="preserve">Medical Expense Tax Credit: What Health Costs You Can Claim in Canada</t>
  </si>
  <si>
    <t xml:space="preserve">https://instasure.ca/guides/medical-expense-tax-credit-canada/</t>
  </si>
  <si>
    <t xml:space="preserve">medical expense tax credit</t>
  </si>
  <si>
    <t xml:space="preserve">can i claim health insurance premiums on taxes; eligible medical expenses canada; medical expense tax credit threshold; claim dental on taxes canada; medical expenses for spouse and children</t>
  </si>
  <si>
    <t xml:space="preserve">Medical Expense Tax Credit: What You Can Claim</t>
  </si>
  <si>
    <t xml:space="preserve">How the medical expense tax credit works: eligible costs including health premiums, the 3% threshold, picking your 12-month period and claiming for family.</t>
  </si>
  <si>
    <t xml:space="preserve">What the medical expense tax credit is (quick answer) | Eligible expenses: premiums, dental, drugs, vision, therapy | The threshold and how to calculate your credit | Choosing your 12-month period | Claiming for a spouse and dependants | Provincial medical expense credits | Records to keep</t>
  </si>
  <si>
    <t xml:space="preserve">Can I claim private health insurance premiums on my taxes? | What is the minimum for the medical expense tax credit? | Can I claim dental work on my taxes? | Which spouse should claim medical expenses?</t>
  </si>
  <si>
    <t xml:space="preserve">Worked calculation for a family (net income, threshold, eligible expenses, federal and provincial credit) and a checklist of eligible vs ineligible health costs linked to CRA.</t>
  </si>
  <si>
    <t xml:space="preserve">/health-dental-insurance/; /guides/self-employed-health-insurance-tax-deductible/; /guides/private-health-insurance-cost-canada/</t>
  </si>
  <si>
    <t xml:space="preserve">No competitor coverage seen among the insurance sites researched (CRA and tax sites own this topic).</t>
  </si>
  <si>
    <t xml:space="preserve">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</si>
  <si>
    <t xml:space="preserve">Verify the threshold (lesser of 3% of net income or the indexed dollar amount) and the eligible-expense list against CRA for the current tax year; label as general tax information.</t>
  </si>
  <si>
    <t xml:space="preserve">Coordination of Benefits: How to Claim on Two Health Plans</t>
  </si>
  <si>
    <t xml:space="preserve">https://instasure.ca/guides/coordination-of-benefits-two-health-plans/</t>
  </si>
  <si>
    <t xml:space="preserve">coordination of benefits</t>
  </si>
  <si>
    <t xml:space="preserve">two health insurance plans canada; claim on spouse's health plan; birthday rule dependants; coordinate dental benefits; second payer health claim</t>
  </si>
  <si>
    <t xml:space="preserve">Coordination of Benefits: Claiming on Two Health Plans</t>
  </si>
  <si>
    <t xml:space="preserve">How coordination of benefits works in Canada: which plan pays first, the birthday rule for children and how to claim the balance from a second health plan.</t>
  </si>
  <si>
    <t xml:space="preserve">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</si>
  <si>
    <t xml:space="preserve">Can I claim on my spouse's health plan? | What is the birthday rule for insurance? | Can I be covered by two dental plans in Canada? | Does having two plans affect CDCP eligibility?</t>
  </si>
  <si>
    <t xml:space="preserve">Who-pays-first flowchart and a worked dental-bill example showing what each plan pays and what remains.</t>
  </si>
  <si>
    <t xml:space="preserve">/health-dental-insurance/; /group-benefits/; /guides/canadian-dental-care-plan-eligibility/</t>
  </si>
  <si>
    <t xml:space="preserve">Sun Life has 'Co-ordinate Your Healthcare Plans And Save' for its own plans; no neutral step-by-step guide surfaced.</t>
  </si>
  <si>
    <t xml:space="preserve">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</si>
  <si>
    <t xml:space="preserve">Verify coordination rules against the CLHIA guideline on coordination of benefits and insurer practice; check the CDCP interaction on canada.ca.</t>
  </si>
  <si>
    <t xml:space="preserve">Comparisons (insurer)</t>
  </si>
  <si>
    <t xml:space="preserve">Blue Cross vs Sun Life vs Manulife Personal Health Plans: How They Compare</t>
  </si>
  <si>
    <t xml:space="preserve">https://instasure.ca/guides/blue-cross-vs-sun-life-vs-manulife-health-insurance/</t>
  </si>
  <si>
    <t xml:space="preserve">blue cross vs sun life health insurance</t>
  </si>
  <si>
    <t xml:space="preserve">manulife flexcare vs blue cross; sun life personal health insurance review; blue cross individual health plan; personal health insurance comparison canada; manulife personal health insurance review</t>
  </si>
  <si>
    <t xml:space="preserve">Blue Cross vs Sun Life vs Manulife Health Insurance</t>
  </si>
  <si>
    <t xml:space="preserve">Compare Blue Cross, Sun Life and Manulife personal health plans on tiers, drug and dental limits and example premiums, using a published comparison method.</t>
  </si>
  <si>
    <t xml:space="preserve">How the three compare (quick answer) | Our comparison method | Plan tiers and what each includes | Drug coverage and pre-existing condition rules | Dental and paramedical limits | Example premiums for the same profile | Which type of buyer each plan suits</t>
  </si>
  <si>
    <t xml:space="preserve">Is Blue Cross or Sun Life health insurance cheaper? | Which personal health plan covers the most prescription drugs? | Can I switch from one personal health plan to another? | Are these plans available in every province?</t>
  </si>
  <si>
    <t xml:space="preserve">Feature-by-feature comparison table built from each insurer's published plan brochures, with a published comparison method, the brochure dates and example premiums for one stated profile.</t>
  </si>
  <si>
    <t xml:space="preserve">/health-dental-insurance/; /editorial-guidelines/; /how-we-make-money/; /guides/guaranteed-issue-vs-underwritten-health-insurance/</t>
  </si>
  <si>
    <t xml:space="preserve">Instant health &amp; dental estimate, then a licensed advisor compares plans (/health-dental-insurance/)</t>
  </si>
  <si>
    <t xml:space="preserve">PolicyAdvisor publishes single reviews of Blue Cross, Sun Life, Manulife and Canada Life health plans and a 'Best Health Insurance Companies' list, but no head-to-head; the research lists personal-health head-to-heads as open.</t>
  </si>
  <si>
    <t xml:space="preserve">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</si>
  <si>
    <t xml:space="preserve">Needs a published review method and disclosure of any carrier relationship before publishing; verify plan details and prices against current brochures with dates; Blue Cross plans differ by regional organisation, so name the regional plan compared.</t>
  </si>
  <si>
    <t xml:space="preserve">Semi-annual</t>
  </si>
  <si>
    <t xml:space="preserve">Aging Out of Your Parents' Benefits Plan: Health Insurance for Young Adults</t>
  </si>
  <si>
    <t xml:space="preserve">https://instasure.ca/guides/health-insurance-after-aging-out-of-parents-plan/</t>
  </si>
  <si>
    <t xml:space="preserve">aging out of parents health insurance canada</t>
  </si>
  <si>
    <t xml:space="preserve">dependent age limit health benefits; student health plan canada; health insurance at 25 canada; full time student dependent coverage; health insurance for young adults canada</t>
  </si>
  <si>
    <t xml:space="preserve">Aging Out of Parents' Health Insurance in Canada</t>
  </si>
  <si>
    <t xml:space="preserve">Aging out of your parents' health plan? Typical dependant age limits, student plans, OHIP+ in Ontario, first-job benefits and individual plans compared.</t>
  </si>
  <si>
    <t xml:space="preserve">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</si>
  <si>
    <t xml:space="preserve">At what age do you come off your parents' benefits? | Can I stay on my parents' plan if I'm a student? | Do I need health insurance at 25 in Canada? | Can I opt out of my student health plan?</t>
  </si>
  <si>
    <t xml:space="preserve">Month-of-aging-out checklist and a table of typical dependant age limits (student and non-student) with a pointer to check the parent's booklet.</t>
  </si>
  <si>
    <t xml:space="preserve">/health-dental-insurance/; /guides/ohip-plus-explained/; /guides/private-health-insurance-cost-canada/</t>
  </si>
  <si>
    <t xml:space="preserve">Focus keyword in the H1, slug, meta title, first 100 words and first H2; the 40 to 60 word answer should give the typical age ranges and the student exception. Use the checklist and age-limit table; anchor 'OHIP+' to the OHIP+ explainer. Licensed reviewer; review annually.</t>
  </si>
  <si>
    <t xml:space="preserve">Dependant age limits vary by plan; present them as typical and tell readers to check their booklet; verify the OHIP+ rule on ontario.ca.</t>
  </si>
  <si>
    <t xml:space="preserve">Quebec Prescription Drug Insurance: RAMQ vs Private Plans (English Guide)</t>
  </si>
  <si>
    <t xml:space="preserve">https://instasure.ca/guides/quebec-ramq-prescription-drug-insurance/</t>
  </si>
  <si>
    <t xml:space="preserve">ramq prescription drug insurance</t>
  </si>
  <si>
    <t xml:space="preserve">quebec public prescription drug insurance; ramq drug insurance premium; mandatory drug insurance quebec; ramq vs group insurance; quebec drug insurance deductible</t>
  </si>
  <si>
    <t xml:space="preserve">Province: Quebec</t>
  </si>
  <si>
    <t xml:space="preserve">RAMQ Prescription Drug Insurance vs Private Plans</t>
  </si>
  <si>
    <t xml:space="preserve">An English guide to Quebec's mandatory drug insurance: when you must join a group plan, how the RAMQ premium and deductible work, and rules for newcomers.</t>
  </si>
  <si>
    <t xml:space="preserve">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</si>
  <si>
    <t xml:space="preserve">Is drug insurance mandatory in Quebec? | Can I choose RAMQ instead of my employer's plan? | How is the RAMQ drug premium paid? | Do children get free drug coverage in Quebec?</t>
  </si>
  <si>
    <t xml:space="preserve">Decision flowchart (group plan available? spouse's plan? age 65 or over?) showing whether a Quebec resident must use a private group plan or the RAMQ public plan, with current premium and deductible figures linked to RAMQ and dated.</t>
  </si>
  <si>
    <t xml:space="preserve">/health-dental-insurance/quebec/; /guides/prescription-drug-coverage-by-province/; /group-benefits/quebec/</t>
  </si>
  <si>
    <t xml:space="preserve">Join the Quebec waitlist (/health-dental-insurance/quebec/)</t>
  </si>
  <si>
    <t xml:space="preserve">No English competitor coverage seen; PolicyAdvisor has no Quebec pages.</t>
  </si>
  <si>
    <t xml:space="preserve">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</si>
  <si>
    <t xml:space="preserve">Verify all RAMQ figures (premium maximum, deductible, co-insurance) at ramq.gouv.qc.ca and date them. Quebec leads go to the waitlist until AMF registration, so no quote CTA that promises service in Quebec.</t>
  </si>
  <si>
    <t xml:space="preserve">CDCP vs Employer Dental Benefits: Should Small Businesses Still Offer Dental?</t>
  </si>
  <si>
    <t xml:space="preserve">https://instasure.ca/guides/cdcp-vs-employer-dental-benefits/</t>
  </si>
  <si>
    <t xml:space="preserve">cdcp vs employer benefits</t>
  </si>
  <si>
    <t xml:space="preserve">canadian dental care plan and employer benefits; can employees opt out of dental for cdcp; cdcp access to dental insurance through employer; should my business drop dental coverage; health spending account and cdcp eligibility</t>
  </si>
  <si>
    <t xml:space="preserve">CDCP vs Employer Benefits: Should You Keep Dental?</t>
  </si>
  <si>
    <t xml:space="preserve">CDCP vs employer benefits: how offering dental affects your staff's CDCP eligibility, the risks of dropping coverage and other plan designs to consider.</t>
  </si>
  <si>
    <t xml:space="preserve">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</si>
  <si>
    <t xml:space="preserve">Can my employees use the CDCP if I offer dental benefits? | If an employee waives our dental plan, can they get the CDCP? | Will dropping dental save my business money? | Is dental through a health spending account considered access to dental insurance?</t>
  </si>
  <si>
    <t xml:space="preserve">Employer decision checklist plus a table of plan designs (insured dental, HSA-only, no dental) showing the likely effect on employee CDCP eligibility, each tied to the canada.ca definition.</t>
  </si>
  <si>
    <t xml:space="preserve">/group-benefits/; /guides/canadian-dental-care-plan-eligibility/; /guides/private-dental-insurance-vs-cdcp/; /guides/health-spending-account-small-business/</t>
  </si>
  <si>
    <t xml:space="preserve">Request a plan review with a licensed benefits advisor (/group-benefits/)</t>
  </si>
  <si>
    <t xml:space="preserve">No competitor coverage seen; existing CDCP content (dental clinics and the Instasure consumer guide) is written for individuals, not employers.</t>
  </si>
  <si>
    <t xml:space="preserve">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</si>
  <si>
    <t xml:space="preserve">The 'access to dental insurance' definition, including how waivers and HSAs are treated, must be verified on canada.ca before publishing; do not advise employers to drop coverage.</t>
  </si>
  <si>
    <t xml:space="preserve">Group Benefits Renewal Increase: Why Your Premiums Went Up and How to Respond</t>
  </si>
  <si>
    <t xml:space="preserve">https://instasure.ca/guides/group-benefits-renewal-increase/</t>
  </si>
  <si>
    <t xml:space="preserve">group benefits renewal increase</t>
  </si>
  <si>
    <t xml:space="preserve">group benefits renewal negotiation; why did my group benefits go up; switching group benefits provider; group benefits renewal report explained; pooling and large claims group benefits</t>
  </si>
  <si>
    <t xml:space="preserve">Group Benefits Renewal Increase: Why and What to Do</t>
  </si>
  <si>
    <t xml:space="preserve">Why group benefits renewals go up, how to read the renewal report, plan-design levers that cut cost, and when to market your plan to other carriers.</t>
  </si>
  <si>
    <t xml:space="preserve">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</si>
  <si>
    <t xml:space="preserve">Why did my group benefits increase so much? | Can I negotiate my group benefits renewal? | Will employees lose coverage if I switch carriers? | How often should a small business shop its group plan?</t>
  </si>
  <si>
    <t xml:space="preserve">Annotated sample renewal report explaining each line, a 90/60/30-day renewal timeline and a plan-design lever table with modelled savings ranges.</t>
  </si>
  <si>
    <t xml:space="preserve">/group-benefits/; /guides/group-benefits-cost-per-employee/; /guides/hsa-vs-traditional-group-benefits/</t>
  </si>
  <si>
    <t xml:space="preserve">Request a renewal review with a licensed benefits advisor (/group-benefits/)</t>
  </si>
  <si>
    <t xml:space="preserve">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</si>
  <si>
    <t xml:space="preserve">Savings ranges are estimates; verify switching protections for employees with existing claims against the CLHIA guideline and carrier practice.</t>
  </si>
  <si>
    <t xml:space="preserve">How Much Do Group Benefits Cost per Employee in Canada?</t>
  </si>
  <si>
    <t xml:space="preserve">https://instasure.ca/guides/group-benefits-cost-per-employee/</t>
  </si>
  <si>
    <t xml:space="preserve">group benefits cost per employee</t>
  </si>
  <si>
    <t xml:space="preserve">cost of employee benefits for small business; group health insurance cost canada; small business benefits cost per month; group dental cost per employee; employee benefits cost by team size</t>
  </si>
  <si>
    <t xml:space="preserve">Group Benefits Cost per Employee in Canada, by Team Size</t>
  </si>
  <si>
    <t xml:space="preserve">See modelled group benefits cost per employee by team size and plan design, single vs family rates, cost-sharing options and how to budget for renewals.</t>
  </si>
  <si>
    <t xml:space="preserve">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</si>
  <si>
    <t xml:space="preserve">How much do group benefits cost per employee per month? | Is group health insurance cheaper for larger teams? | How much should employers contribute to benefits? | Are group benefits a tax-deductible business expense?</t>
  </si>
  <si>
    <t xml:space="preserve">Dated table of modelled monthly cost per employee (single and family) for teams of 3, 10, 25 and 50 under basic, standard and enhanced designs from the Instasure estimate model, plus a cost-sharing calculator.</t>
  </si>
  <si>
    <t xml:space="preserve">/group-benefits/; /group-benefits/ontario/; /guides/health-spending-account-small-business/; /guides/small-business-insurance-cost-canada/</t>
  </si>
  <si>
    <t xml:space="preserve">Instant group benefits estimate (/group-benefits/)</t>
  </si>
  <si>
    <t xml:space="preserve">PolicyAdvisor covers 'Cost of Employee Benefits for Small Businesses' and 'Group Insurance by Employee Size'; neither shows a dated table by team size and plan design with a stated profile.</t>
  </si>
  <si>
    <t xml:space="preserve">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</si>
  <si>
    <t xml:space="preserve">All costs are modelled estimates for stated team profiles and dates and must be checked against carrier small-group rate sheets; no 'cheapest' or 'lowest cost' claims.</t>
  </si>
  <si>
    <t xml:space="preserve">Health Spending Account for Small Business: How It Works Under CRA Rules</t>
  </si>
  <si>
    <t xml:space="preserve">https://instasure.ca/guides/health-spending-account-small-business/</t>
  </si>
  <si>
    <t xml:space="preserve">health spending account small business</t>
  </si>
  <si>
    <t xml:space="preserve">hsa canada small business; health spending account cra rules; health spending account for incorporated business owner; hsa eligible expenses canada; private health services plan small business</t>
  </si>
  <si>
    <t xml:space="preserve">Health Spending Account for Small Business in Canada</t>
  </si>
  <si>
    <t xml:space="preserve">How a health spending account works for a small business: CRA rules, eligible expenses, owner-only corporations, admin fees and the tax savings.</t>
  </si>
  <si>
    <t xml:space="preserve">How a health spending account works (quick answer) | CRA rules: the private health services plan test | Eligible expenses | Owner-only corporations and arm's-length employees | Admin fees, carry-forward and unused balances | Tax treatment for employer and employee | Setting one up: the steps</t>
  </si>
  <si>
    <t xml:space="preserve">Can a one-person corporation have a health spending account? | What expenses can a health spending account cover? | Is a health spending account taxable to employees? | What happens to unused HSA money?</t>
  </si>
  <si>
    <t xml:space="preserve">Worked example of an incorporated owner and two employees using an HSA (contribution, admin fee, tax saving vs paying personally), plus an eligible-expense checklist tied to CRA's medical expense list.</t>
  </si>
  <si>
    <t xml:space="preserve">/group-benefits/; /guides/hsa-vs-traditional-group-benefits/; /guides/self-employed-health-insurance-tax-deductible/; /guides/medical-expense-tax-credit-canada/</t>
  </si>
  <si>
    <t xml:space="preserve">PolicyAdvisor's group content covers affordable plans and benefit lists; no HSA-specific explainer on CRA rules surfaced among the researched competitors.</t>
  </si>
  <si>
    <t xml:space="preserve">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</si>
  <si>
    <t xml:space="preserve">Verify PHSP conditions, owner and shareholder rules and Quebec provincial tax treatment against CRA and Revenu Québec; label as general tax information.</t>
  </si>
  <si>
    <t xml:space="preserve">How-to</t>
  </si>
  <si>
    <t xml:space="preserve">How to Set Up a Group Benefits Plan for Your Small Business: Step by Step</t>
  </si>
  <si>
    <t xml:space="preserve">https://instasure.ca/guides/how-to-set-up-group-benefits/</t>
  </si>
  <si>
    <t xml:space="preserve">how to set up group benefits</t>
  </si>
  <si>
    <t xml:space="preserve">how to start a group benefits plan; group benefits employee census; group benefits participation requirements; group benefits waiting period for new employees; group benefits enrolment process</t>
  </si>
  <si>
    <t xml:space="preserve">How to Set Up Group Benefits for a Small Business</t>
  </si>
  <si>
    <t xml:space="preserve">Set up group benefits in six steps: budget, employee census, plan design and eligibility, carrier quotes, enrolment and launch. Includes a census template.</t>
  </si>
  <si>
    <t xml:space="preserve">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</si>
  <si>
    <t xml:space="preserve">How long does it take to set up group benefits? | What information do carriers need for a group benefits quote? | What participation rate do insurers require? | Can I set a waiting period for new employees?</t>
  </si>
  <si>
    <t xml:space="preserve">Downloadable employee-census template, a six-step checklist and a typical timeline from first call to first claim.</t>
  </si>
  <si>
    <t xml:space="preserve">/group-benefits/; /guides/group-benefits-cost-per-employee/; /guides/group-benefits-for-1-to-10-employees/; /guides/what-is-included-in-group-benefits/</t>
  </si>
  <si>
    <t xml:space="preserve">Instant group benefits estimate, then a licensed benefits advisor (/group-benefits/)</t>
  </si>
  <si>
    <t xml:space="preserve">PolicyAdvisor covers affordable small-business plans and top benefits; no step-by-step setup guide with a census template surfaced.</t>
  </si>
  <si>
    <t xml:space="preserve">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</si>
  <si>
    <t xml:space="preserve">Participation minimums and timelines vary by carrier, so label them typical; collecting employee data needs privacy notices (PIPEDA; Quebec Law 25).</t>
  </si>
  <si>
    <t xml:space="preserve">Group Benefits for Small Teams of 1 to 10 Employees: What's Possible</t>
  </si>
  <si>
    <t xml:space="preserve">https://instasure.ca/guides/group-benefits-for-1-to-10-employees/</t>
  </si>
  <si>
    <t xml:space="preserve">group benefits for 2 employees</t>
  </si>
  <si>
    <t xml:space="preserve">can a one person company get group benefits; minimum employees for group insurance canada; group health insurance for 5 employees; association group plans for small business; pooled benefits plan small business</t>
  </si>
  <si>
    <t xml:space="preserve">Group Benefits for 2 Employees and Small Teams Up to 10</t>
  </si>
  <si>
    <t xml:space="preserve">Group benefits for 2 employees and teams up to 10: minimum group sizes, owner-only options, association plans and HSAs, with a starter plan and cost.</t>
  </si>
  <si>
    <t xml:space="preserve">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</si>
  <si>
    <t xml:space="preserve">How many employees do you need for group benefits in Canada? | Can I get group benefits for just myself? | Do small groups need medical questionnaires? | What is a pooled benefits plan?</t>
  </si>
  <si>
    <t xml:space="preserve">Decision tree by team size (1, 2 to 3, 4 to 10) showing realistic plan options, plus a sample starter plan design with modelled monthly cost.</t>
  </si>
  <si>
    <t xml:space="preserve">/group-benefits/; /guides/group-benefits-cost-per-employee/; /guides/health-spending-account-small-business/; /guides/how-to-set-up-group-benefits/</t>
  </si>
  <si>
    <t xml:space="preserve">PolicyAdvisor ('Group Insurance by Employee Size') and Manulife (plans for 2 to 50 employees, per PolicyAdvisor's review) cover sizing; no decision tree for teams under 10 surfaced.</t>
  </si>
  <si>
    <t xml:space="preserve">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</si>
  <si>
    <t xml:space="preserve">Minimum group sizes and underwriting rules vary by carrier; verify with carriers before stating numbers, and don't name association plans as 'best'.</t>
  </si>
  <si>
    <t xml:space="preserve">Health Spending Account vs Traditional Group Insurance vs a Hybrid Plan</t>
  </si>
  <si>
    <t xml:space="preserve">https://instasure.ca/guides/hsa-vs-traditional-group-benefits/</t>
  </si>
  <si>
    <t xml:space="preserve">health spending account vs group insurance</t>
  </si>
  <si>
    <t xml:space="preserve">hsa vs group health insurance; hybrid benefits plan small business; cost plus plan vs insured plan; group benefits plan design options; flexible benefits for small business</t>
  </si>
  <si>
    <t xml:space="preserve">Health Spending Account vs Group Insurance: Compared</t>
  </si>
  <si>
    <t xml:space="preserve">Health spending account vs group insurance vs a hybrid: how each handles a large drug claim, cost and recruiting, with three designs for a 10-person firm.</t>
  </si>
  <si>
    <t xml:space="preserve">HSA, insured plan or hybrid? (quick answer) | How each design handles a big drug or dental claim | Cost predictability vs protection | Employee perception and recruiting | Worked example: three designs for a 10-person firm | When to move from an HSA to an insured plan | Decision checklist</t>
  </si>
  <si>
    <t xml:space="preserve">Is a health spending account better than group insurance? | What is a hybrid benefits plan? | Does an HSA cover catastrophic drug costs? | Can I add an HSA to my existing group plan?</t>
  </si>
  <si>
    <t xml:space="preserve">Three-design comparison for a 10-person firm showing annual employer cost and employee outcome in a routine year and in a year with a large drug claim.</t>
  </si>
  <si>
    <t xml:space="preserve">/group-benefits/; /guides/health-spending-account-small-business/; /guides/group-benefits-cost-per-employee/</t>
  </si>
  <si>
    <t xml:space="preserve">No competitor coverage seen comparing plan designs with a worked claims scenario.</t>
  </si>
  <si>
    <t xml:space="preserve">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</si>
  <si>
    <t xml:space="preserve">Modelled costs are estimates; avoid 'better' claims and verify descriptions of catastrophic drug pooling with carriers.</t>
  </si>
  <si>
    <t xml:space="preserve">What Is Included in a Group Benefits Plan? Health, Dental, Life, Disability and More</t>
  </si>
  <si>
    <t xml:space="preserve">https://instasure.ca/guides/what-is-included-in-group-benefits/</t>
  </si>
  <si>
    <t xml:space="preserve">what is included in group benefits</t>
  </si>
  <si>
    <t xml:space="preserve">group benefits plan canada; what is extended health care; group life and ad&amp;d insurance; group short and long term disability; core vs optional group benefits</t>
  </si>
  <si>
    <t xml:space="preserve">What Is Included in Group Benefits? A Plain Guide</t>
  </si>
  <si>
    <t xml:space="preserve">What is included in a group benefits plan: extended health, dental, group life and AD&amp;D, disability, HSAs and EAPs, with an annotated sample booklet page.</t>
  </si>
  <si>
    <t xml:space="preserve">What a group benefits plan includes (quick answer) | Extended health care: drugs, paramedical, vision | Dental: basic, major and orthodontic | Group life and AD&amp;D | Short- and long-term disability | Health spending accounts, EAPs and virtual care | Core vs optional: building a plan that fits</t>
  </si>
  <si>
    <t xml:space="preserve">What is extended health care in a group plan? | Is disability insurance part of group benefits? | What is AD&amp;D insurance? | Are employers required to offer benefits in Canada?</t>
  </si>
  <si>
    <t xml:space="preserve">Plan-component glossary table (what it covers, typical design, who usually pays) and an annotated sample benefit-summary page in plain English.</t>
  </si>
  <si>
    <t xml:space="preserve">/group-benefits/; /guides/how-to-set-up-group-benefits/; /guides/group-benefits-cost-per-employee/; /glossary/</t>
  </si>
  <si>
    <t xml:space="preserve">PolicyAdvisor's 'Top 10 Group Insurance Benefits for Small Businesses' lists benefits; no annotated booklet example surfaced.</t>
  </si>
  <si>
    <t xml:space="preserve">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</si>
  <si>
    <t xml:space="preserve">Employers are generally not required to offer benefits, but verify provincial rules (for example Quebec drug coverage) before saying so; plan design figures are typical.</t>
  </si>
  <si>
    <t xml:space="preserve">Are Group Benefits Taxable in Canada? Employer and Employee Tax Rules</t>
  </si>
  <si>
    <t xml:space="preserve">https://instasure.ca/guides/group-benefits-taxable-benefits-canada/</t>
  </si>
  <si>
    <t xml:space="preserve">are group benefits taxable</t>
  </si>
  <si>
    <t xml:space="preserve">is group life insurance a taxable benefit; employer paid health premiums taxable quebec; are group benefits tax deductible for employer; employer paid ltd taxable benefit; t4 taxable benefits insurance</t>
  </si>
  <si>
    <t xml:space="preserve">Are Group Benefits Taxable in Canada? Tax Rules</t>
  </si>
  <si>
    <t xml:space="preserve">Which group benefits are taxable in Canada: health and dental, group life, disability and HSAs, federally and in Quebec, with a benefit-by-benefit table.</t>
  </si>
  <si>
    <t xml:space="preserve">Which group benefits are taxable (quick answer) | Health and dental premiums: federal vs Quebec treatment | Group life and AD&amp;D premiums | Disability premiums and the taxable-benefit choice | Health spending accounts | Employer deductions | Benefit-by-benefit summary table</t>
  </si>
  <si>
    <t xml:space="preserve">Are employer-paid health benefits taxable in Canada? | Why are my health benefits taxable in Quebec? | Is employer-paid group life insurance a taxable benefit? | Should employees pay their own LTD premiums?</t>
  </si>
  <si>
    <t xml:space="preserve">Benefit-by-benefit summary table (health, dental, vision, life, AD&amp;D, STD, LTD, HSA, EAP) showing federal and Quebec treatment of employer-paid premiums, with CRA and Revenu Québec references.</t>
  </si>
  <si>
    <t xml:space="preserve">/group-benefits/; /guides/is-disability-insurance-taxable-canada/; /guides/health-spending-account-small-business/; /group-benefits/quebec/</t>
  </si>
  <si>
    <t xml:space="preserve">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</si>
  <si>
    <t xml:space="preserve">Verify every row against CRA's taxable benefits guide (T4130) and Revenu Québec for the current year; general information only.</t>
  </si>
  <si>
    <t xml:space="preserve">Employee Assistance Programs (EAP) for Small Businesses: Cost and What They Cover</t>
  </si>
  <si>
    <t xml:space="preserve">https://instasure.ca/guides/employee-assistance-program-small-business/</t>
  </si>
  <si>
    <t xml:space="preserve">employee assistance program small business</t>
  </si>
  <si>
    <t xml:space="preserve">eap cost per employee canada; what does an eap cover; mental health benefits for small business; eap vs psychologist coverage; standalone eap canada</t>
  </si>
  <si>
    <t xml:space="preserve">Employee Assistance Program for Small Business: EAP Guide</t>
  </si>
  <si>
    <t xml:space="preserve">What an employee assistance program costs a small business per employee, what an EAP covers, how it differs from paramedical cover and how to launch one.</t>
  </si>
  <si>
    <t xml:space="preserve">What an EAP is (quick answer) | Services typically included | How EAPs differ from paramedical mental health coverage | Cost per employee and pricing models | Standalone EAP vs bundled with group benefits | Confidentiality and what employers see | Launching and promoting an EAP</t>
  </si>
  <si>
    <t xml:space="preserve">How much does an EAP cost per employee? | Is an EAP confidential? | Can a small business buy an EAP without group benefits? | Does an EAP replace psychologist coverage?</t>
  </si>
  <si>
    <t xml:space="preserve">Comparison table of an EAP vs paramedical mental health coverage (who provides it, session limits, cost, confidentiality) and a launch checklist.</t>
  </si>
  <si>
    <t xml:space="preserve">/group-benefits/; /guides/does-health-insurance-cover-therapy-canada/; /guides/what-is-included-in-group-benefits/</t>
  </si>
  <si>
    <t xml:space="preserve">Focus keyword in the H1, slug, meta title, first 100 words and first H2; define an EAP in 40 to 60 words with typical services. Use the EAP vs paramedical table and launch checklist; anchor 'therapy coverage' to the health guide. Licensed benefits reviewer; review annually.</t>
  </si>
  <si>
    <t xml:space="preserve">EAP pricing and session counts vary by provider, so label them typical; make no clinical claims.</t>
  </si>
  <si>
    <t xml:space="preserve">Employee Benefits for Startups in Canada: What to Offer and When</t>
  </si>
  <si>
    <t xml:space="preserve">https://instasure.ca/guides/employee-benefits-for-startups-canada/</t>
  </si>
  <si>
    <t xml:space="preserve">employee benefits for startups canada</t>
  </si>
  <si>
    <t xml:space="preserve">startup benefits package canada; tech startup group benefits; benefits to attract employees small business; startup health spending account; benefits for remote employees in different provinces</t>
  </si>
  <si>
    <t xml:space="preserve">Employee Benefits for Startups in Canada: What to Offer</t>
  </si>
  <si>
    <t xml:space="preserve">A stage-by-stage guide to employee benefits for Canadian startups: HSA-first plans, insured health and dental as you hire, remote staff and budgets.</t>
  </si>
  <si>
    <t xml:space="preserve">What startups should offer first (quick answer) | Benefits by stage: pre-seed, seed and Series A | HSA-first plans for lean budgets | Insured health and dental as you hire | Remote employees in several provinces | Mental health and EAP as recruiting tools | Budget table by headcount</t>
  </si>
  <si>
    <t xml:space="preserve">When should a startup offer health benefits? | Can a startup offer benefits to contractors? | How do benefits work for remote employees in different provinces? | What benefits matter most to tech employees?</t>
  </si>
  <si>
    <t xml:space="preserve">Stage-by-stage benefits roadmap with a modelled monthly budget at 3, 10 and 25 employees.</t>
  </si>
  <si>
    <t xml:space="preserve">/group-benefits/; /guides/group-benefits-for-1-to-10-employees/; /guides/health-spending-account-small-business/; /business-insurance/cyber/</t>
  </si>
  <si>
    <t xml:space="preserve">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</si>
  <si>
    <t xml:space="preserve">Budgets are modelled estimates; worker classification (employee vs contractor) is an employment-law question, so don't advise on it.</t>
  </si>
  <si>
    <t xml:space="preserve">Group Benefits for Construction and Trades Businesses</t>
  </si>
  <si>
    <t xml:space="preserve">https://instasure.ca/guides/group-benefits-for-construction-companies/</t>
  </si>
  <si>
    <t xml:space="preserve">group benefits for construction companies</t>
  </si>
  <si>
    <t xml:space="preserve">employee benefits for trades businesses; group insurance for contractors canada; benefits for non-union construction workers; group ltd for tradespeople; benefits for seasonal workers</t>
  </si>
  <si>
    <t xml:space="preserve">Group Benefits for Construction and Trades Companies</t>
  </si>
  <si>
    <t xml:space="preserve">Group benefits for construction and trades firms: why pricing differs, rules for seasonal and hourly staff, LTD alongside workers' comp and a sample plan.</t>
  </si>
  <si>
    <t xml:space="preserve">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</si>
  <si>
    <t xml:space="preserve">Can seasonal construction workers get group benefits? | Does group LTD overlap with WSIB? | Are construction companies charged more for group benefits? | How do union benefit trusts work?</t>
  </si>
  <si>
    <t xml:space="preserve">Example plan design and modelled cost for a 12-person trades firm, plus an eligibility-rule template for seasonal and hourly staff.</t>
  </si>
  <si>
    <t xml:space="preserve">/group-benefits/; /contractor-insurance/; /guides/workers-compensation-vs-disability-insurance/; /guides/group-benefits-cost-per-employee/</t>
  </si>
  <si>
    <t xml:space="preserve">Rates.ca covers 15+ trades for business insurance only; no trades-specific group benefits guide surfaced.</t>
  </si>
  <si>
    <t xml:space="preserve">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</si>
  <si>
    <t xml:space="preserve">Modelled costs are estimates; keep union trust descriptions general and verify the workers' comp interaction with each provincial board.</t>
  </si>
  <si>
    <t xml:space="preserve">Regulation</t>
  </si>
  <si>
    <t xml:space="preserve">EI Premium Reduction Program: Lower Payroll Costs With a Short-Term Disability Plan</t>
  </si>
  <si>
    <t xml:space="preserve">https://instasure.ca/guides/ei-premium-reduction-program-employers/</t>
  </si>
  <si>
    <t xml:space="preserve">ei premium reduction program</t>
  </si>
  <si>
    <t xml:space="preserve">ei premium reduction short term disability; wage loss replacement plan ei; reduced ei rate for employers; qualifying short term disability plan canada; employee 5/12 share ei reduction</t>
  </si>
  <si>
    <t xml:space="preserve">EI Premium Reduction Program for Employers Explained</t>
  </si>
  <si>
    <t xml:space="preserve">How the EI Premium Reduction Program lowers employer EI premiums when you offer a qualifying short-term disability plan, the 5/12 rule and how to apply.</t>
  </si>
  <si>
    <t xml:space="preserve">How the EI premium reduction works (quick answer) | Which short-term disability plans qualify | How much an employer can save | The employees' 5/12 share | Applying to Service Canada | Is a qualifying STD plan worth it for a small business? | Worked example for a 15-person firm</t>
  </si>
  <si>
    <t xml:space="preserve">What is the EI premium reduction program? | Does my short-term disability plan qualify for an EI reduction? | Do employers have to share the EI savings with employees? | How do I apply for a reduced EI rate?</t>
  </si>
  <si>
    <t xml:space="preserve">Worked example for a 15-person payroll showing the reduced employer EI rate, the employees' 5/12 share and the net cost of the qualifying STD plan, with current-year rates linked to canada.ca.</t>
  </si>
  <si>
    <t xml:space="preserve">/group-benefits/; /guides/short-term-vs-long-term-disability/; /guides/group-benefits-cost-per-employee/</t>
  </si>
  <si>
    <t xml:space="preserve">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</si>
  <si>
    <t xml:space="preserve">Verify qualifying criteria, reduced rates and the 5/12 rule on canada.ca for the current year; rates change every January.</t>
  </si>
  <si>
    <t xml:space="preserve">Group Benefits in Quebec: Mandatory Drug Coverage and Taxable Premiums (English Guide)</t>
  </si>
  <si>
    <t xml:space="preserve">https://instasure.ca/guides/quebec-group-benefits-drug-insurance-rules/</t>
  </si>
  <si>
    <t xml:space="preserve">quebec group insurance drug coverage mandatory; ramq rules for group plans; quebec taxable benefit health premiums; group insurance quebec small business; quebec employee drug insurance</t>
  </si>
  <si>
    <t xml:space="preserve">Group Benefits in Quebec: Drug Coverage and Tax Rules</t>
  </si>
  <si>
    <t xml:space="preserve">An English guide to group benefits in Quebec: mandatory drug coverage, minimums tied to RAMQ, participation rules and provincial tax on health premiums.</t>
  </si>
  <si>
    <t xml:space="preserve">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</si>
  <si>
    <t xml:space="preserve">Must Quebec group plans include drug coverage? | Can Quebec employees opt out of the group drug plan? | Why are health premiums a taxable benefit in Quebec? | Do out-of-province employers with Quebec staff follow these rules?</t>
  </si>
  <si>
    <t xml:space="preserve">Checklist for employers with Quebec staff and a comparison table of Quebec vs other provinces on drug coverage, participation and premium taxation.</t>
  </si>
  <si>
    <t xml:space="preserve">/group-benefits/quebec/; /guides/quebec-ramq-prescription-drug-insurance/; /guides/group-benefits-taxable-benefits-canada/</t>
  </si>
  <si>
    <t xml:space="preserve">Join the Quebec waitlist (/group-benefits/quebec/)</t>
  </si>
  <si>
    <t xml:space="preserve">No English competitor coverage seen; PolicyAdvisor has group benefits pages only for BC and AB.</t>
  </si>
  <si>
    <t xml:space="preserve">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</si>
  <si>
    <t xml:space="preserve">Verify against RAMQ, the Act respecting prescription drug insurance and Revenu Québec; Quebec leads go to the waitlist until AMF registration.</t>
  </si>
  <si>
    <t xml:space="preserve">Snowbird Travel Insurance Cost: What Drives the Price for Long Stays</t>
  </si>
  <si>
    <t xml:space="preserve">https://instasure.ca/guides/snowbird-travel-insurance-cost/</t>
  </si>
  <si>
    <t xml:space="preserve">snowbird travel insurance cost</t>
  </si>
  <si>
    <t xml:space="preserve">snowbird insurance cost by age; 6 month travel insurance cost canada; how much is snowbird insurance; snowbird insurance rate categories; long stay travel insurance seniors cost</t>
  </si>
  <si>
    <t xml:space="preserve">Snowbird Travel Insurance Cost: Long-Stay Price Guide</t>
  </si>
  <si>
    <t xml:space="preserve">Snowbird travel insurance cost explained: how age, stay length, rate category and deductible change the price, with dated model examples. Get an estimate.</t>
  </si>
  <si>
    <t xml:space="preserve">How much does snowbird travel insurance cost? | Price by age and length of stay | Medical rate categories: how the questionnaire sets your price | Deductibles and couple pricing | Top-ups vs full-season policies: cost compared | Ways to lower the cost without risking a claim</t>
  </si>
  <si>
    <t xml:space="preserve">How much is travel insurance for a six-month stay at 70? | Why did my snowbird premium jump this year? | Does a higher deductible make sense for snowbirds? | Is it cheaper to top up a credit card plan? | Do couples pay less for snowbird insurance?</t>
  </si>
  <si>
    <t xml:space="preserve">Dated model price grid by age (60 to 85), stay length (one, three and six months) and rate category, plus a worked top-up vs full-season comparison.</t>
  </si>
  <si>
    <t xml:space="preserve">/travel-insurance/snowbirds/; /travel-insurance/; /guides/travel-insurance-medical-questionnaire/; /guides/travel-insurance-top-up-coverage/</t>
  </si>
  <si>
    <t xml:space="preserve">Instant snowbird travel insurance estimate (/quote/travel-insurance/)</t>
  </si>
  <si>
    <t xml:space="preserve">Keyword research found no competitor for 'snowbird travel insurance'; Ratehub's travel blog covers cutting costs in general without long-stay or rate-category pricing.</t>
  </si>
  <si>
    <t xml:space="preserve">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</si>
  <si>
    <t xml:space="preserve">Model estimates only, with profile and date; no 'cheapest snowbird insurance' wording. Verify rate-category mechanics against current insurer questionnaires.</t>
  </si>
  <si>
    <t xml:space="preserve">Travel Insurance With Pre-Existing Conditions: How Coverage Works in Canada</t>
  </si>
  <si>
    <t xml:space="preserve">https://instasure.ca/guides/travel-insurance-pre-existing-conditions/</t>
  </si>
  <si>
    <t xml:space="preserve">travel insurance with pre-existing conditions</t>
  </si>
  <si>
    <t xml:space="preserve">travel insurance pre existing conditions canada; travel insurance heart condition; travel insurance diabetes canada; travel insurance after cancer; travel insurance copd</t>
  </si>
  <si>
    <t xml:space="preserve">Travel Insurance With Pre-Existing Conditions in Canada</t>
  </si>
  <si>
    <t xml:space="preserve">How travel insurance handles pre-existing conditions in Canada: stability rules, condition questions, exclusions and options if declined. Ask an advisor.</t>
  </si>
  <si>
    <t xml:space="preserve">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</si>
  <si>
    <t xml:space="preserve">Can I get travel insurance with a heart condition? | Is diabetes a pre-existing condition for travel insurance? | Can I get coverage while in cancer remission? | What if an insurer excludes one condition but covers the rest? | Where can I get travel insurance if I've been declined?</t>
  </si>
  <si>
    <t xml:space="preserve">Condition-by-condition table (cardiac, diabetes, COPD, cancer in remission, stroke or TIA, hypertension) listing typical questionnaire triggers and coverage outcomes, from current wordings with a review date.</t>
  </si>
  <si>
    <t xml:space="preserve">/travel-insurance/snowbirds/; /travel-insurance/; /guides/travel-insurance-stability-period/; /guides/travel-insurance-medical-questionnaire/</t>
  </si>
  <si>
    <t xml:space="preserve">Request a specialist call: Snowbird travel desk (/travel-insurance/snowbirds/)</t>
  </si>
  <si>
    <t xml:space="preserve">PolicyAdvisor's pre-existing condition guide is written for life insurance; no competitor seen covers condition-specific travel underwriting in Canada.</t>
  </si>
  <si>
    <t xml:space="preserve">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</si>
  <si>
    <t xml:space="preserve">No medical advice; outcomes vary by insurer, so present them as typical. No 'guaranteed coverage' language.</t>
  </si>
  <si>
    <t xml:space="preserve">Glossary</t>
  </si>
  <si>
    <t xml:space="preserve">What Is a Stability Period in Travel Insurance?</t>
  </si>
  <si>
    <t xml:space="preserve">https://instasure.ca/guides/travel-insurance-stability-period/</t>
  </si>
  <si>
    <t xml:space="preserve">stability period travel insurance</t>
  </si>
  <si>
    <t xml:space="preserve">what is a stability clause; stable pre-existing condition definition; medication change stability period; 90 day stability period; 180 day stability period travel insurance</t>
  </si>
  <si>
    <t xml:space="preserve">Stability Period in Travel Insurance: Plain Definition</t>
  </si>
  <si>
    <t xml:space="preserve">What a stability period is in travel insurance, what counts as a change (new pills, dose changes, tests) and examples by length. Check yours before you go.</t>
  </si>
  <si>
    <t xml:space="preserve">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</si>
  <si>
    <t xml:space="preserve">Does a switch from a brand-name to a generic drug break stability? | Does a routine dose adjustment count as a change? | What if a test is booked but results aren't back? | Is the stability period counted back from departure or from purchase? | Do stability periods get longer with age?</t>
  </si>
  <si>
    <t xml:space="preserve">Snippet-ready definition box plus a 'stable or not?' table covering 10 common scenarios (generic switch, dose decrease, new referral, pending test results and others).</t>
  </si>
  <si>
    <t xml:space="preserve">/travel-insurance/snowbirds/; /glossary/; /guides/travel-insurance-medical-questionnaire/; /guides/super-visa-insurance-pre-existing-conditions/</t>
  </si>
  <si>
    <t xml:space="preserve">No standalone competitor definition seen; the snowbird desk research identifies stability-period mistakes as where snowbird claims fail.</t>
  </si>
  <si>
    <t xml:space="preserve">Focus keyword in the H1, slug, meta title, first 100 words and first H2, with a 40–60 word definition written to be quoted. Add the term to /glossary/ and link back; use the scenario table with clear labels. Licensed A&amp;S reviewer; image alt 'stability period scenarios table'.</t>
  </si>
  <si>
    <t xml:space="preserve">Check each scenario against at least two current policy wordings and label it typical, since wordings differ on generic switches and dose changes. Licensed A&amp;S reviewer required.</t>
  </si>
  <si>
    <t xml:space="preserve">Travel Insurance Medical Questionnaire: How to Answer It Accurately</t>
  </si>
  <si>
    <t xml:space="preserve">https://instasure.ca/guides/travel-insurance-medical-questionnaire/</t>
  </si>
  <si>
    <t xml:space="preserve">travel insurance medical questionnaire</t>
  </si>
  <si>
    <t xml:space="preserve">travel insurance health questions; travel insurance misrepresentation; how to fill out travel insurance medical questionnaire; travel insurance questionnaire mistakes; travel insurance rate category</t>
  </si>
  <si>
    <t xml:space="preserve">Travel Insurance Medical Questionnaire: Answer It Right</t>
  </si>
  <si>
    <t xml:space="preserve">How to answer a travel insurance medical questionnaire: gather records, read each time window, avoid common errors and fix mistakes. Get the worksheet.</t>
  </si>
  <si>
    <t xml:space="preserve">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</si>
  <si>
    <t xml:space="preserve">What happens if I make a mistake on my travel insurance questionnaire? | Should my doctor help me fill out the questionnaire? | Do I declare conditions that are well controlled? | Can I change my answers after buying? | Does a medication change after I buy affect coverage?</t>
  </si>
  <si>
    <t xml:space="preserve">Pre-questionnaire worksheet (diagnoses with dates, medications with dose-change dates, tests and referrals in the last 12 months) and a list of the question patterns most often misread.</t>
  </si>
  <si>
    <t xml:space="preserve">/travel-insurance/snowbirds/; /guides/travel-insurance-stability-period/; /guides/travel-insurance-claim-denied/; /guides/snowbird-travel-insurance-cost/</t>
  </si>
  <si>
    <t xml:space="preserve">Request a specialist call: Snowbird travel desk, questionnaire walk-through (/travel-insurance/snowbirds/)</t>
  </si>
  <si>
    <t xml:space="preserve">Article; FAQPage; HowTo; BreadcrumbList</t>
  </si>
  <si>
    <t xml:space="preserve">No competitor coverage seen; this is the gap the Snowbird travel desk was built for (questionnaire and stability-period help as a service).</t>
  </si>
  <si>
    <t xml:space="preserve">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</si>
  <si>
    <t xml:space="preserve">Never suggest omitting information; state that misstatement can void coverage. Advisors may explain questions but must not answer them for the client.</t>
  </si>
  <si>
    <t xml:space="preserve">Local (city/province)</t>
  </si>
  <si>
    <t xml:space="preserve">OHIP Out-of-Country Coverage: Time-Away Rules and What OHIP Pays Abroad</t>
  </si>
  <si>
    <t xml:space="preserve">https://instasure.ca/guides/ohip-out-of-country-coverage/</t>
  </si>
  <si>
    <t xml:space="preserve">ohip out of country coverage</t>
  </si>
  <si>
    <t xml:space="preserve">ohip 212 day rule; how long can you be out of ontario and keep ohip; does ohip cover travel to usa; ohip snowbird rules; ohip out of country emergency</t>
  </si>
  <si>
    <t xml:space="preserve">OHIP Out-of-Country Coverage: Rules for Ontario Travellers</t>
  </si>
  <si>
    <t xml:space="preserve">OHIP out-of-country coverage explained: how long Ontarians can be away, what OHIP pays for care abroad and why snowbirds need private cover. Plan ahead.</t>
  </si>
  <si>
    <t xml:space="preserve">Does OHIP cover you outside Canada? | How long you can be away and keep OHIP | What OHIP pays, and doesn't, for care abroad | Travel within Canada: OHIP in other provinces | Worked example: a US hospital stay with and without private coverage | Checklist for Ontario snowbirds</t>
  </si>
  <si>
    <t xml:space="preserve">How many days can I be outside Ontario without losing OHIP? | Does OHIP cover emergency care in the US? | Does OHIP work in other provinces? | Do I need to tell OHIP before a long trip? | How quickly can OHIP be reinstated if it lapses?</t>
  </si>
  <si>
    <t xml:space="preserve">Worked example comparing an illustrative, sourced US hospital bill with what OHIP would and wouldn't reimburse, plus a dated summary of the presence rules from the Ministry of Health.</t>
  </si>
  <si>
    <t xml:space="preserve">/travel-insurance/ontario/; /travel-insurance/snowbirds/; /guides/provincial-health-coverage-time-away-rules/; /guides/travel-insurance-for-usa-from-canada/</t>
  </si>
  <si>
    <t xml:space="preserve">Sun Life covers out-of-province travel in general and PolicyAdvisor has OHIP explainers for health insurance; none seen focuses on OHIP's out-of-country rules for snowbirds.</t>
  </si>
  <si>
    <t xml:space="preserve">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</si>
  <si>
    <t xml:space="preserve">Verify the presence rule (often cited as up to 212 days away in 12 months) and whether OHIP still pays any out-of-country emergency amounts, both on ontario.ca. Label the US bill as an illustrative example with its source.</t>
  </si>
  <si>
    <t xml:space="preserve">How Long Can You Leave Canada and Keep Provincial Health Coverage? Rules by Province</t>
  </si>
  <si>
    <t xml:space="preserve">https://instasure.ca/guides/provincial-health-coverage-time-away-rules/</t>
  </si>
  <si>
    <t xml:space="preserve">how long can you leave canada and keep health insurance</t>
  </si>
  <si>
    <t xml:space="preserve">snowbird provincial health rules; out of country health coverage by province; days outside province health card; extended absence provincial health plan; snowbird six month rule canada</t>
  </si>
  <si>
    <t xml:space="preserve">How Long Can You Leave Canada and Keep Health Insurance?</t>
  </si>
  <si>
    <t xml:space="preserve">Province-by-province limits on time away before your health plan lapses, plus extended-absence rules and what each plan pays abroad. Check before booking.</t>
  </si>
  <si>
    <t xml:space="preserve">How long can you be away and keep provincial coverage? | Time-away limits by province and territory | Extended absences: one-time and repeat options | What each plan pays for care outside Canada | How time away interacts with US stay limits | Snowbird planning checklist</t>
  </si>
  <si>
    <t xml:space="preserve">How many days can I be out of Ontario and keep OHIP? | Is time away counted per calendar year or any 12 months? | What happens if I exceed my province's limit? | Do provincial plans pay anything for emergencies in the US? | Can I get an extended absence for a long winter?</t>
  </si>
  <si>
    <t xml:space="preserve">13-row table of time-away limits, extended-absence options and out-of-country payment rules for every province and territory, each row linked to the plan's own page with a review date.</t>
  </si>
  <si>
    <t xml:space="preserve">/travel-insurance/snowbirds/; /travel-insurance/; /travel-insurance/ontario/; /guides/ohip-out-of-country-coverage/; /guides/snowbird-travel-insurance-cost/</t>
  </si>
  <si>
    <t xml:space="preserve">Sun Life ('Why You Might Need Out-Of-Province Travel Insurance') and PolicyAdvisor's travel learning centre explain the risk, and keyword research found no competitor for 'snowbird travel insurance'; no 13-jurisdiction time-away table was seen.</t>
  </si>
  <si>
    <t xml:space="preserve">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</si>
  <si>
    <t xml:space="preserve">Verify every row against each provincial and territorial health plan on the review date (CONTENT_REVIEW lists snowbird time-away rules). No tax or residency advice; point US stay questions to official US sources.</t>
  </si>
  <si>
    <t xml:space="preserve">Travel Insurance Claim Denied? Common Reasons and How to Appeal</t>
  </si>
  <si>
    <t xml:space="preserve">https://instasure.ca/guides/travel-insurance-claim-denied/</t>
  </si>
  <si>
    <t xml:space="preserve">travel insurance claim denied</t>
  </si>
  <si>
    <t xml:space="preserve">travel medical claim rejected; travel insurance misrepresentation denial; appeal travel insurance claim canada; olhi complaint travel insurance; travel insurance pre-existing condition claim denied</t>
  </si>
  <si>
    <t xml:space="preserve">Travel Insurance Claim Denied? Reasons and How to Appeal</t>
  </si>
  <si>
    <t xml:space="preserve">Why travel insurance claims get denied in Canada, from questionnaire errors to stability breaches, and how to appeal via the insurer and OLHI. Learn more.</t>
  </si>
  <si>
    <t xml:space="preserve">Why are travel insurance claims denied? | Misrepresentation on the medical questionnaire | Stability-period and pre-existing exclusions | Procedural reasons: no pre-approval, late filing | Appealing: internal review, OLHI and regulators | Preventing a denial on your next trip</t>
  </si>
  <si>
    <t xml:space="preserve">Can an insurer deny a claim for an innocent mistake on the questionnaire? | How long do I have to appeal a denied travel claim? | What does OLHI do? | Can I complain to my provincial insurance regulator? | Will a denied claim affect future travel insurance?</t>
  </si>
  <si>
    <t xml:space="preserve">Denial-reason matrix (clause, evidence that helps, prevention step), an appeal letter template and a table of provincial insurance regulators' complaint contacts.</t>
  </si>
  <si>
    <t xml:space="preserve">/travel-insurance/; /guides/travel-insurance-medical-questionnaire/; /guides/travel-insurance-stability-period/; /guides/super-visa-insurance-claim-denied/</t>
  </si>
  <si>
    <t xml:space="preserve">No competitor coverage seen for travel claim denials and appeals.</t>
  </si>
  <si>
    <t xml:space="preserve">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</si>
  <si>
    <t xml:space="preserve">No denial-rate statistics without a published source; verify OLHI's current process and each provincial regulator's name and complaint route (e.g. FSRA in Ontario, BCFSA in BC).</t>
  </si>
  <si>
    <t xml:space="preserve">How Much Does Travel Insurance Cost in Canada? Prices and Price Drivers</t>
  </si>
  <si>
    <t xml:space="preserve">https://instasure.ca/guides/how-much-does-travel-insurance-cost-canada/</t>
  </si>
  <si>
    <t xml:space="preserve">how much does travel insurance cost</t>
  </si>
  <si>
    <t xml:space="preserve">travel insurance cost canada; average cost of travel insurance canada; travel insurance price per day; travel medical insurance cost by age; trip cancellation insurance cost</t>
  </si>
  <si>
    <t xml:space="preserve">How Much Does Travel Insurance Cost in Canada?</t>
  </si>
  <si>
    <t xml:space="preserve">How much travel insurance costs in Canada by age, trip length, destination and type of cover, with dated model tables and price drivers. Get an estimate.</t>
  </si>
  <si>
    <t xml:space="preserve">How much does travel insurance cost? | Travel medical cost by age and trip length | Trip cancellation cost relative to the trip | Destination: US vs rest of world | Deductibles, annual plans and other levers | Where the Instasure numbers come from</t>
  </si>
  <si>
    <t xml:space="preserve">How much is travel insurance for a week in the US? | Why does travel insurance cost more as you age? | Is trip cancellation insurance priced on the trip cost? | Is annual travel insurance cheaper than single trips? | Does a deductible lower travel insurance prices?</t>
  </si>
  <si>
    <t xml:space="preserve">Dated model price tables (age by trip length, US vs non-US) with methodology, feeding the Instasure Rate Index once enough quotes exist.</t>
  </si>
  <si>
    <t xml:space="preserve">/travel-insurance/; /insights/rate-index/; /guides/annual-vs-single-trip-travel-insurance/; /guides/snowbird-travel-insurance-cost/</t>
  </si>
  <si>
    <t xml:space="preserve">Instant travel insurance estimate (/quote/travel-insurance/)</t>
  </si>
  <si>
    <t xml:space="preserve">Ratehub's 'cheap travel insurance Canada' and 'stop overpaying' posts and Rates.ca's 'travel insurance cheaper' resource give tips without dated price tables by age and trip length.</t>
  </si>
  <si>
    <t xml:space="preserve">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</si>
  <si>
    <t xml:space="preserve">Model estimates only, with profile and date; no 'cheap' or 'lowest' claims. Verify how trip-cancellation pricing works against current wordings.</t>
  </si>
  <si>
    <t xml:space="preserve">Credit Card Travel Insurance: The Gaps to Check Before You Rely on It</t>
  </si>
  <si>
    <t xml:space="preserve">https://instasure.ca/guides/credit-card-travel-insurance-gaps/</t>
  </si>
  <si>
    <t xml:space="preserve">credit card travel insurance</t>
  </si>
  <si>
    <t xml:space="preserve">credit card travel insurance age limit; credit card travel medical insurance canada; does credit card travel insurance cover pre-existing conditions; credit card travel insurance trip length; is credit card travel insurance enough</t>
  </si>
  <si>
    <t xml:space="preserve">Credit Card Travel Insurance: 8 Gaps to Check First</t>
  </si>
  <si>
    <t xml:space="preserve">Credit card travel insurance has limits: age caps, short day limits, pre-existing rules and activation conditions. Use our 8-point check before you travel.</t>
  </si>
  <si>
    <t xml:space="preserve">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</si>
  <si>
    <t xml:space="preserve">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</si>
  <si>
    <t xml:space="preserve">8-point audit checklist readers apply to their own certificate of insurance, plus a fill-the-gap decision table.</t>
  </si>
  <si>
    <t xml:space="preserve">/travel-insurance/; /guides/travel-insurance-top-up-coverage/; /guides/travel-insurance-seniors-over-75/; /guides/trip-cancellation-interruption-insurance/</t>
  </si>
  <si>
    <t xml:space="preserve">Instant travel insurance estimate to fill the gaps (/quote/travel-insurance/)</t>
  </si>
  <si>
    <t xml:space="preserve">Ratehub ('top credit cards for travel insurance') and Rates.ca ('The Best Travel Insurance Credit Cards for Canadians in 2024', a stale title) rank cards; neither was seen auditing the coverage gaps.</t>
  </si>
  <si>
    <t xml:space="preserve">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</si>
  <si>
    <t xml:space="preserve">Don't rank or name cards as best; describe gaps generically and verify any card-specific example against the current certificate of insurance.</t>
  </si>
  <si>
    <t xml:space="preserve">Travel Insurance Top-Ups: Extending Credit Card or Group Plan Coverage</t>
  </si>
  <si>
    <t xml:space="preserve">https://instasure.ca/guides/travel-insurance-top-up-coverage/</t>
  </si>
  <si>
    <t xml:space="preserve">travel insurance top up</t>
  </si>
  <si>
    <t xml:space="preserve">top up travel insurance credit card; extend group travel insurance; retiree travel benefits top up; how does top up travel insurance work</t>
  </si>
  <si>
    <t xml:space="preserve">Travel Insurance Top Up: Extend Card or Group Coverage</t>
  </si>
  <si>
    <t xml:space="preserve">How a travel insurance top up works: matching it to your card or group plan's day limit, questionnaires, gaps and when a full policy is simpler. Read on.</t>
  </si>
  <si>
    <t xml:space="preserve">What is a travel insurance top-up? | How top-ups pair with credit card and group plans | Retiree benefits: what you may lose at retirement | Questionnaires and pre-existing rules on top-ups | Top-up vs full-season policy: worked example | Buying a top-up correctly, step by step</t>
  </si>
  <si>
    <t xml:space="preserve">Do I need a top-up if my credit card covers only part of my trip? | Can I buy a top-up after I've left Canada? | Does a top-up cover pre-existing conditions? | What happens if my base plan denies a claim? | Do retiree group plans include travel coverage?</t>
  </si>
  <si>
    <t xml:space="preserve">Worked example of a 120-day trip using a card plan plus a top-up vs a single full-season policy (dated model estimates), plus a base-plan audit checklist.</t>
  </si>
  <si>
    <t xml:space="preserve">/travel-insurance/snowbirds/; /guides/credit-card-travel-insurance-gaps/; /guides/snowbird-travel-insurance-cost/; /group-benefits/</t>
  </si>
  <si>
    <t xml:space="preserve">Instant travel insurance estimate for a top-up (/quote/travel-insurance/)</t>
  </si>
  <si>
    <t xml:space="preserve">Ratehub and Rates.ca publish credit card travel insurance posts; no top-up-specific guide was seen.</t>
  </si>
  <si>
    <t xml:space="preserve">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</si>
  <si>
    <t xml:space="preserve">Base-plan day limits and top-up rules must come from current card and plan documents; label the worked example as a model estimate.</t>
  </si>
  <si>
    <t xml:space="preserve">Travel Insurance for the US From Canada: What You Need and Why</t>
  </si>
  <si>
    <t xml:space="preserve">https://instasure.ca/guides/travel-insurance-for-usa-from-canada/</t>
  </si>
  <si>
    <t xml:space="preserve">travel insurance for usa from canada</t>
  </si>
  <si>
    <t xml:space="preserve">do i need travel insurance to go to the us; travel medical insurance usa canadian; day trip to us travel insurance; us hospital costs canadians; cross border travel insurance</t>
  </si>
  <si>
    <t xml:space="preserve">Travel Insurance for the USA From Canada: Do You Need It?</t>
  </si>
  <si>
    <t xml:space="preserve">Do you need travel insurance for the US from Canada? Why provincial plans fall short, day-trip and road-trip options, and what US care can cost. Read on.</t>
  </si>
  <si>
    <t xml:space="preserve">Do Canadians need travel insurance for the US? | What your provincial plan pays in the US | Day trips, cross-border shopping and road trips | US hospital billing: why bills grow fast | Choosing coverage: amount, deductible, multi-trip | Driving in the US: what your car policy covers</t>
  </si>
  <si>
    <t xml:space="preserve">Do I need travel insurance for a day trip to the US? | Does my provincial plan cover me in the US? | How much travel medical coverage should I buy for the US? | Does annual travel insurance cover short US trips? | Does my Canadian car insurance work in the US?</t>
  </si>
  <si>
    <t xml:space="preserve">Province-by-province summary of what each plan reimburses for US emergencies (sourced, dated) next to illustrative US hospital charges from published sources.</t>
  </si>
  <si>
    <t xml:space="preserve">/travel-insurance/; /guides/provincial-health-coverage-time-away-rules/; /guides/annual-vs-single-trip-travel-insurance/; /car-insurance/</t>
  </si>
  <si>
    <t xml:space="preserve">Sun Life's out-of-province page and Rates.ca's 'does your car insurance cover travel out of province' cover parts of this; no competitor seen combines health-plan limits, US costs and car coverage.</t>
  </si>
  <si>
    <t xml:space="preserve">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</si>
  <si>
    <t xml:space="preserve">Source any US cost to a published dataset with its date and verify each provincial reimbursement rule. No scare tactics (RIBO lists them as misleading).</t>
  </si>
  <si>
    <t xml:space="preserve">Snowbird Checklist: Health Coverage, Insurance, Home and Car Before You Leave</t>
  </si>
  <si>
    <t xml:space="preserve">https://instasure.ca/guides/snowbird-checklist-before-you-leave/</t>
  </si>
  <si>
    <t xml:space="preserve">snowbird checklist</t>
  </si>
  <si>
    <t xml:space="preserve">snowbird home insurance vacancy; snowbird car insurance storage; leaving home for winter insurance; snowbird travel checklist canada; home insurance while away for winter</t>
  </si>
  <si>
    <t xml:space="preserve">Snowbird Checklist: Insurance and Health Before You Go</t>
  </si>
  <si>
    <t xml:space="preserve">A snowbird checklist for Canadians: provincial health rules, travel medical, home vacancy conditions, car storage coverage and documents to pack. Print it.</t>
  </si>
  <si>
    <t xml:space="preserve">Snowbird checklist: the essentials | Health coverage: provincial rules and travel medical | Medications and the stability period | Home insurance: vacancy and inspection conditions | Car insurance: storage or driving south | Documents to carry and leave behind</t>
  </si>
  <si>
    <t xml:space="preserve">Does my home insurance cover my house while I'm away for the winter? | Should I reduce car coverage while I'm away? | How often must someone check my home? | What documents should snowbirds carry? | When should I buy snowbird travel insurance?</t>
  </si>
  <si>
    <t xml:space="preserve">Printable 30-item checklist organised by 8 weeks, 4 weeks, 1 week and departure day, covering health, travel medical, home, car and documents.</t>
  </si>
  <si>
    <t xml:space="preserve">/travel-insurance/snowbirds/; /home-insurance/; /car-insurance/senior-drivers/; /guides/provincial-health-coverage-time-away-rules/; /guides/travel-insurance-stability-period/</t>
  </si>
  <si>
    <t xml:space="preserve">Sonnet and Rates.ca publish home and car tips separately; no competitor seen combines health, travel medical, home vacancy and car storage in one snowbird checklist.</t>
  </si>
  <si>
    <t xml:space="preserve">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</si>
  <si>
    <t xml:space="preserve">Home vacancy and inspection requirements vary by policy; tell readers to check their wording and verify any typical interval cited.</t>
  </si>
  <si>
    <t xml:space="preserve">Alberta Health Care Out-of-Country Rules for Snowbirds (AHCIP)</t>
  </si>
  <si>
    <t xml:space="preserve">https://instasure.ca/guides/alberta-ahcip-out-of-country-rules/</t>
  </si>
  <si>
    <t xml:space="preserve">ahcip out of country coverage</t>
  </si>
  <si>
    <t xml:space="preserve">how long can you be out of alberta and keep health care; alberta health care travel outside canada; alberta snowbird rules; ahcip temporary absence; alberta health care usa emergency</t>
  </si>
  <si>
    <t xml:space="preserve">AHCIP Out-of-Country Coverage: Alberta Snowbird Rules</t>
  </si>
  <si>
    <t xml:space="preserve">AHCIP out-of-country coverage for Albertans: time-away limits, absence notices, what Alberta pays for care abroad and the cover you need. Plan ahead.</t>
  </si>
  <si>
    <t xml:space="preserve">How long can Albertans be away and keep AHCIP? | Temporary absence: when and how to notify | What AHCIP pays for out-of-country care | Seniors' drug and supplementary plans while away | Worked example: a winter in Palm Springs | Checklist for Alberta snowbirds</t>
  </si>
  <si>
    <t xml:space="preserve">How long can I leave Alberta without losing health coverage? | Does AHCIP cover emergencies in the US? | Do I need approval for a long absence from Alberta? | Are prescriptions covered while I'm away? | Does my Alberta car insurance cover me in the US?</t>
  </si>
  <si>
    <t xml:space="preserve">Dated summary of AHCIP absence rules with a pre-departure checklist and a worked example of an out-of-country claim reimbursement.</t>
  </si>
  <si>
    <t xml:space="preserve">/travel-insurance/alberta/; /travel-insurance/snowbirds/; /guides/provincial-health-coverage-time-away-rules/; /guides/alberta-car-insurance-2026-care-first/</t>
  </si>
  <si>
    <t xml:space="preserve">No competitor coverage seen for Alberta-specific snowbird health rules.</t>
  </si>
  <si>
    <t xml:space="preserve">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</si>
  <si>
    <t xml:space="preserve">Verify absence limits and out-of-country payment rules on alberta.ca; describe seniors' drug programs only after checking their travel provisions.</t>
  </si>
  <si>
    <t xml:space="preserve">BC MSP Out-of-Country Rules: Time Away and Coverage for BC Snowbirds</t>
  </si>
  <si>
    <t xml:space="preserve">https://instasure.ca/guides/bc-msp-out-of-country-rules/</t>
  </si>
  <si>
    <t xml:space="preserve">msp out of country rules</t>
  </si>
  <si>
    <t xml:space="preserve">how long can you be out of bc and keep msp; msp extended absence; bc snowbird health coverage; msp coverage in usa; msp travel outside canada</t>
  </si>
  <si>
    <t xml:space="preserve">MSP Out-of-Country Rules: A Guide for BC Snowbirds</t>
  </si>
  <si>
    <t xml:space="preserve">BC MSP out-of-country rules: how long you can be away, the extended-absence option, what MSP pays outside Canada and when private cover helps. Plan ahead.</t>
  </si>
  <si>
    <t xml:space="preserve">How long can you be outside BC and keep MSP? | The extended-absence option and how to apply | What MSP pays for care outside Canada | PharmaCare and prescriptions while away | Worked example: a winter in Arizona | Checklist for BC snowbirds</t>
  </si>
  <si>
    <t xml:space="preserve">How many months can I be out of BC and keep MSP? | How often can I use an extended absence? | Does MSP pay anything for US hospital bills? | Do I need to notify Health Insurance BC before I leave? | Does my ICBC coverage apply when driving in the US?</t>
  </si>
  <si>
    <t xml:space="preserve">Dated summary of MSP absence rules with a month-by-month planning calendar for a typical October-to-April snowbird season.</t>
  </si>
  <si>
    <t xml:space="preserve">/travel-insurance/british-columbia/; /travel-insurance/snowbirds/; /guides/provincial-health-coverage-time-away-rules/; /guides/icbc-optional-insurance-explained/</t>
  </si>
  <si>
    <t xml:space="preserve">No competitor coverage seen for BC-specific snowbird health rules.</t>
  </si>
  <si>
    <t xml:space="preserve">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</si>
  <si>
    <t xml:space="preserve">Verify MSP absence limits and extended-absence frequency on gov.bc.ca; confirm ICBC's out-of-country driving coverage with ICBC before answering that FAQ.</t>
  </si>
  <si>
    <t xml:space="preserve">Are International Students Covered by Provincial Health Care? A Province-by-Province Guide</t>
  </si>
  <si>
    <t xml:space="preserve">https://instasure.ca/guides/international-students-provincial-health-coverage/</t>
  </si>
  <si>
    <t xml:space="preserve">international student health coverage by province</t>
  </si>
  <si>
    <t xml:space="preserve">are international students covered by provincial health insurance; does msp cover international students; ohip for international students; ahcip international students; international student waiting period health card</t>
  </si>
  <si>
    <t xml:space="preserve">International Student Health Coverage by Province</t>
  </si>
  <si>
    <t xml:space="preserve">Which provinces cover international students, after what wait and for what permit length, plus school plans like UHIP and gaps to insure. See the table.</t>
  </si>
  <si>
    <t xml:space="preserve">Are international students covered by provincial health plans? | Eligibility and waiting periods by province | School plans: UHIP, college plans and student unions | Gaps: arrival, travel home, between permits and after graduation | Spouses and children | Checklist for incoming students</t>
  </si>
  <si>
    <t xml:space="preserve">Do international students get OHIP? | Does BC's MSP cover international students? | How long is the waiting period for international students in Alberta? | Are spouses of international students covered? | What happens to coverage after graduation?</t>
  </si>
  <si>
    <t xml:space="preserve">13-jurisdiction eligibility table (covered or not, minimum permit length, waiting period, premium or fee, school-plan alternative), each row sourced and dated.</t>
  </si>
  <si>
    <t xml:space="preserve">/travel-insurance/international-students/; /tenant-insurance/students/; /guides/uhip-ontario-international-students/; /guides/health-insurance-work-permit-holders-canada/</t>
  </si>
  <si>
    <t xml:space="preserve">Request a call with a licensed advisor about student coverage (/travel-insurance/international-students/)</t>
  </si>
  <si>
    <t xml:space="preserve">Keyword research lists PolicyAdvisor for international student health insurance; no province-by-province eligibility table was seen.</t>
  </si>
  <si>
    <t xml:space="preserve">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</si>
  <si>
    <t xml:space="preserve">Verify every row with the provincial health ministry (a CONTENT_REVIEW item); student rules change often. No advice on study-permit conditions.</t>
  </si>
  <si>
    <t xml:space="preserve">Travel Insurance for Seniors Over 75: Age Limits, Top-Ups and Options</t>
  </si>
  <si>
    <t xml:space="preserve">https://instasure.ca/guides/travel-insurance-seniors-over-75/</t>
  </si>
  <si>
    <t xml:space="preserve">travel insurance for seniors over 75</t>
  </si>
  <si>
    <t xml:space="preserve">travel insurance for seniors; travel insurance over 80 canada; senior travel medical insurance canada; annual travel insurance age limit; credit card travel insurance age limit</t>
  </si>
  <si>
    <t xml:space="preserve">Travel Insurance for Seniors Over 75: Limits and Options</t>
  </si>
  <si>
    <t xml:space="preserve">Travel insurance for seniors over 75: typical age limits on annual and credit card plans, questionnaires, top-ups and longer-trip options. Get an estimate.</t>
  </si>
  <si>
    <t xml:space="preserve">Can seniors over 75 get travel insurance? | Age limits on annual, single-trip and credit card plans | How the medical questionnaire changes after 75 | Topping up retiree or credit card coverage | Trip cancellation for older travellers | Questions to ask before you buy</t>
  </si>
  <si>
    <t xml:space="preserve">Is there an age limit for travel insurance in Canada? | Does credit card travel insurance stop at a certain age? | Can an 85-year-old get travel insurance? | Do seniors need a medical questionnaire for short trips? | Is annual multi-trip insurance available after 75?</t>
  </si>
  <si>
    <t xml:space="preserve">Table of typical age thresholds (where questionnaires start, where annual plans stop, where trip-length limits shrink) drawn from current product wordings, with a review date.</t>
  </si>
  <si>
    <t xml:space="preserve">/travel-insurance/snowbirds/; /travel-insurance/; /guides/credit-card-travel-insurance-gaps/; /life-insurance/seniors/; /car-insurance/senior-drivers/</t>
  </si>
  <si>
    <t xml:space="preserve">Instant travel insurance estimate for seniors (/quote/travel-insurance/)</t>
  </si>
  <si>
    <t xml:space="preserve">Keyword research lists Sun Life (travel via its TuGo partnership) for 'travel insurance for seniors'; no competitor seen tabulates age thresholds across plan types.</t>
  </si>
  <si>
    <t xml:space="preserve">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</si>
  <si>
    <t xml:space="preserve">Age thresholds vary by insurer and card; source each from current wordings with a date and don't name a card or plan as best.</t>
  </si>
  <si>
    <t xml:space="preserve">How to Make a Travel Insurance Claim From Abroad: Step by Step</t>
  </si>
  <si>
    <t xml:space="preserve">https://instasure.ca/guides/how-to-make-travel-insurance-claim/</t>
  </si>
  <si>
    <t xml:space="preserve">travel insurance claim</t>
  </si>
  <si>
    <t xml:space="preserve">how to file a travel insurance claim; travel insurance claim documents; travel insurance emergency assistance; travel insurance claim time limit; travel insurance direct billing abroad</t>
  </si>
  <si>
    <t xml:space="preserve">Travel Insurance Claim: How to File One From Abroad</t>
  </si>
  <si>
    <t xml:space="preserve">How to make a travel insurance claim from abroad: call assistance first, keep the right records, meet deadlines and coordinate cover. Save the checklist.</t>
  </si>
  <si>
    <t xml:space="preserve">How do you make a travel insurance claim? | Step 1: call the assistance line before treatment | Records to keep: bills, reports, receipts | Coordinating with your provincial plan and other coverage | Claim deadlines and forms | What to do if the claim stalls</t>
  </si>
  <si>
    <t xml:space="preserve">Do I have to call my insurer before going to hospital abroad? | What documents do I need for a travel insurance claim? | How long do I have to submit a claim? | Does my provincial plan pay first? | Can I claim if my credit card also has travel insurance?</t>
  </si>
  <si>
    <t xml:space="preserve">Printable wallet card and claim-document checklist, plus a flowchart for coordinating the provincial plan, credit card cover and private coverage.</t>
  </si>
  <si>
    <t xml:space="preserve">/travel-insurance/; /travel-insurance/snowbirds/; /guides/travel-insurance-claim-denied/; /guides/credit-card-travel-insurance-gaps/</t>
  </si>
  <si>
    <t xml:space="preserve">Rates.ca publishes a travel health claims study, but no step-by-step claim guide was seen from the main competitors.</t>
  </si>
  <si>
    <t xml:space="preserve">Focus keyword in the H1, slug, meta title, first 100 words and first H2, with a 40–60 word answer giving the first three steps. Mark up the steps with HowTo, offer the wallet card as a download and link 'claim denied'. Licensed A&amp;S reviewer; image alt 'travel insurance claim flowchart'.</t>
  </si>
  <si>
    <t xml:space="preserve">Claims steps vary by insurer; present them as typical. Verify coordination-of-benefits rules with provincial plans before describing the order of payment.</t>
  </si>
  <si>
    <t xml:space="preserve">Annual Multi-Trip vs Single-Trip Travel Insurance: Which Fits Your Travel?</t>
  </si>
  <si>
    <t xml:space="preserve">https://instasure.ca/guides/annual-vs-single-trip-travel-insurance/</t>
  </si>
  <si>
    <t xml:space="preserve">annual travel insurance canada</t>
  </si>
  <si>
    <t xml:space="preserve">multi trip travel insurance; annual vs single trip travel insurance; annual travel insurance seniors; annual travel insurance maximum trip length; is annual travel insurance worth it</t>
  </si>
  <si>
    <t xml:space="preserve">Annual Travel Insurance vs Single-Trip: Which Fits You?</t>
  </si>
  <si>
    <t xml:space="preserve">Annual travel insurance in Canada vs single-trip plans: break-even trip counts, per-trip day limits, age limits and pre-existing rules. Find your fit.</t>
  </si>
  <si>
    <t xml:space="preserve">Annual or single-trip travel insurance: the quick answer | How annual multi-trip plans work: per-trip day limits | Break-even: how many trips make an annual plan worth it | Age limits and questionnaires on annual plans | Trip cancellation on annual vs single-trip plans | Decision table</t>
  </si>
  <si>
    <t xml:space="preserve">How many trips make annual travel insurance worth it? | Does annual travel insurance cover trips within Canada? | What is the maximum trip length on an annual plan? | Can seniors buy annual multi-trip insurance? | Does annual travel insurance include trip cancellation?</t>
  </si>
  <si>
    <t xml:space="preserve">Break-even calculator embed (trips per year, typical trip length, age) using model estimates, plus a decision table.</t>
  </si>
  <si>
    <t xml:space="preserve">/travel-insurance/; /quote/; /guides/how-much-does-travel-insurance-cost-canada/; /guides/trip-cancellation-interruption-insurance/</t>
  </si>
  <si>
    <t xml:space="preserve">Ratehub has a news-style post on annual multi-trip insurance; no competitor seen offers a break-even tool.</t>
  </si>
  <si>
    <t xml:space="preserve">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</si>
  <si>
    <t xml:space="preserve">Calculator outputs are model estimates; verify per-trip limits and age caps against current plan documents.</t>
  </si>
  <si>
    <t xml:space="preserve">Blue Cross Travel Insurance Review for Snowbirds and Seniors</t>
  </si>
  <si>
    <t xml:space="preserve">https://instasure.ca/guides/blue-cross-travel-insurance-review/</t>
  </si>
  <si>
    <t xml:space="preserve">blue cross travel insurance review</t>
  </si>
  <si>
    <t xml:space="preserve">blue cross travel insurance seniors; blue cross snowbird insurance; blue cross travel insurance pre-existing conditions; blue cross vs manulife travel insurance</t>
  </si>
  <si>
    <t xml:space="preserve">Blue Cross Travel Insurance Review: Snowbird Focus</t>
  </si>
  <si>
    <t xml:space="preserve">Blue Cross travel insurance reviewed for snowbirds and seniors with a published method: plans, questionnaire, stability rules, limits. See the scores.</t>
  </si>
  <si>
    <t xml:space="preserve">Blue Cross travel insurance at a glance | How we reviewed it: method and sources | Plans for snowbirds and seniors | Medical questionnaire and stability rules | Limits, exclusions and side trips | Who it may suit, and who should compare further</t>
  </si>
  <si>
    <t xml:space="preserve">Is Blue Cross travel insurance available in every province? | Does Blue Cross cover stable pre-existing conditions? | How long a trip can Blue Cross cover? | How does Blue Cross compare with Manulife for snowbirds? | Can an instasure.ca advisor quote Blue Cross?</t>
  </si>
  <si>
    <t xml:space="preserve">Published review method and a scored criteria table (stability definitions, maximum trip length, age limits, top-up availability, claims process), dated and repeatable for other insurers.</t>
  </si>
  <si>
    <t xml:space="preserve">/travel-insurance/snowbirds/; /editorial-guidelines/; /how-we-make-money/; /guides/travel-insurance-stability-period/</t>
  </si>
  <si>
    <t xml:space="preserve">Request a specialist call: Snowbird travel desk, compare insurers (/travel-insurance/snowbirds/)</t>
  </si>
  <si>
    <t xml:space="preserve">PolicyAdvisor reviews Manulife, Sun Life, Allianz, TuGo, GMS, Travelance, 21st Century and Destination Canada travel plans, and Blue Cross only for health insurance; no snowbird-focused Blue Cross travel review was seen.</t>
  </si>
  <si>
    <t xml:space="preserve">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</si>
  <si>
    <t xml:space="preserve">Needs the published review method first. Blue Cross plans are run by separate regional organisations, so verify which one sells in each province; disclose compensation and say advisors can quote it only if they are appointed (carriers_confirmed).</t>
  </si>
  <si>
    <t xml:space="preserve">Do You Need Travel Insurance Within Canada? Out-of-Province Gaps Explained</t>
  </si>
  <si>
    <t xml:space="preserve">https://instasure.ca/guides/travel-insurance-within-canada/</t>
  </si>
  <si>
    <t xml:space="preserve">travel insurance within canada</t>
  </si>
  <si>
    <t xml:space="preserve">out of province travel insurance; does ohip cover other provinces; out of province ambulance cost; reciprocal billing canada provinces; travelling to quebec health coverage</t>
  </si>
  <si>
    <t xml:space="preserve">Travel Insurance Within Canada: Out-of-Province Gaps</t>
  </si>
  <si>
    <t xml:space="preserve">Is travel insurance needed within Canada? How reciprocal billing works, what your plan won't pay in other provinces and when a policy helps. Read on.</t>
  </si>
  <si>
    <t xml:space="preserve">Do you need travel insurance when travelling in Canada? | Reciprocal billing: what crosses provincial lines | Gaps: ambulance, prescriptions, physician billing and Quebec | Air ambulance and getting home | Who should buy coverage for domestic trips | Annual plans that include Canada</t>
  </si>
  <si>
    <t xml:space="preserve">Does my health card work in other provinces? | Is ambulance covered when I'm in another province? | Why do some Quebec doctors bill out-of-province patients? | Does annual travel insurance cover trips inside Canada? | Do students studying in another province need coverage?</t>
  </si>
  <si>
    <t xml:space="preserve">Matrix of what is typically billed to out-of-province patients (hospital, physician, ambulance, drugs) for each province, sourced to provincial reciprocal-billing pages and dated.</t>
  </si>
  <si>
    <t xml:space="preserve">/travel-insurance/; /guides/ohip-out-of-country-coverage/; /guides/annual-vs-single-trip-travel-insurance/; /travel-insurance/quebec/</t>
  </si>
  <si>
    <t xml:space="preserve">PolicyAdvisor ('Travel Insurance Within Canada: Why You Need It') and Sun Life ('Why You Might Need Out-Of-Province Travel Insurance') cover this in prose; neither was seen with a province-by-province billing matrix.</t>
  </si>
  <si>
    <t xml:space="preserve">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</si>
  <si>
    <t xml:space="preserve">Verify reciprocal-billing rules and Quebec physician arrangements with each ministry; ambulance fees must be sourced and dated.</t>
  </si>
  <si>
    <t xml:space="preserve">Trip Cancellation and Interruption Insurance: What's Covered and What Isn't</t>
  </si>
  <si>
    <t xml:space="preserve">https://instasure.ca/guides/trip-cancellation-interruption-insurance/</t>
  </si>
  <si>
    <t xml:space="preserve">trip cancellation insurance</t>
  </si>
  <si>
    <t xml:space="preserve">trip interruption insurance; what does trip cancellation insurance cover; cancel for any reason travel insurance canada; trip cancellation pre-existing condition; when to buy trip cancellation insurance</t>
  </si>
  <si>
    <t xml:space="preserve">Trip Cancellation Insurance: What's Covered and What Isn't</t>
  </si>
  <si>
    <t xml:space="preserve">Trip cancellation and interruption insurance explained: covered reasons, exclusions, when to buy and pre-existing condition rules. Read before you book.</t>
  </si>
  <si>
    <t xml:space="preserve">What does trip cancellation insurance cover? | Cancellation vs interruption vs delay | Covered reasons and common exclusions | When to buy: the booking-date window | Pre-existing conditions of family members | Credit card cancellation cover vs a standalone policy | How to claim</t>
  </si>
  <si>
    <t xml:space="preserve">When should I buy trip cancellation insurance? | Does trip cancellation cover a sick family member at home? | Is 'cancel for any reason' cover available in Canada? | Does trip cancellation cover a travel advisory? | What documents do I need to claim?</t>
  </si>
  <si>
    <t xml:space="preserve">Covered-vs-excluded reasons table built from current wordings, plus a buy-by timeline from booking date to departure.</t>
  </si>
  <si>
    <t xml:space="preserve">/travel-insurance/; /guides/credit-card-travel-insurance-gaps/; /guides/travel-advisory-travel-insurance/; /guides/annual-vs-single-trip-travel-insurance/</t>
  </si>
  <si>
    <t xml:space="preserve">Sun Life's '4 Tips For Buying Travel Insurance' and Ratehub's cost-cutting posts touch on cancellation; no detailed covered-reasons table was seen.</t>
  </si>
  <si>
    <t xml:space="preserve">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</si>
  <si>
    <t xml:space="preserve">Covered reasons and buy-by windows differ by insurer; cite current wordings. Verify that 'cancel for any reason' products are sold in each province before mentioning them.</t>
  </si>
  <si>
    <t xml:space="preserve">UHIP Explained: Ontario's University Health Insurance Plan for International Students</t>
  </si>
  <si>
    <t xml:space="preserve">https://instasure.ca/guides/uhip-ontario-international-students/</t>
  </si>
  <si>
    <t xml:space="preserve">uhip</t>
  </si>
  <si>
    <t xml:space="preserve">uhip coverage; uhip cost; uhip dependants; uhip vs ohip; what does uhip not cover; ontario college international student health insurance</t>
  </si>
  <si>
    <t xml:space="preserve">UHIP Explained: What Ontario's Student Plan Covers</t>
  </si>
  <si>
    <t xml:space="preserve">UHIP explained for international students in Ontario: who must enrol, what it covers and excludes, dependants, cost and gaps to insure. Read the guide.</t>
  </si>
  <si>
    <t xml:space="preserve">What is UHIP? | Who must enrol, and which schools use it | What UHIP covers and excludes | Cost and how it's billed | Spouse and child coverage | Gaps: dental, vision, travel home and after graduation | College students: plans outside UHIP</t>
  </si>
  <si>
    <t xml:space="preserve">Is UHIP mandatory for international students in Ontario? | Does UHIP cover dental care? | Can my spouse be covered by UHIP? | Does UHIP cover me when I travel home? | Do Ontario college students use UHIP?</t>
  </si>
  <si>
    <t xml:space="preserve">Plain-language UHIP coverage table (covered, limited, not covered) with the plan document link and review date, plus a gap-coverage checklist.</t>
  </si>
  <si>
    <t xml:space="preserve">/travel-insurance/international-students/; /travel-insurance/ontario/; /tenant-insurance/students/; /guides/international-students-provincial-health-coverage/</t>
  </si>
  <si>
    <t xml:space="preserve">No competitor coverage seen in the research for UHIP specifically; PolicyAdvisor appears for the broader international-student query.</t>
  </si>
  <si>
    <t xml:space="preserve">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</si>
  <si>
    <t xml:space="preserve">Verify enrolment rules, covered services and cost on the UHIP site each academic year; don't imply instasure.ca sells or administers UHIP.</t>
  </si>
  <si>
    <t xml:space="preserve">IEC Working Holiday Insurance: What IRCC Requires and How to Buy It</t>
  </si>
  <si>
    <t xml:space="preserve">https://instasure.ca/guides/iec-working-holiday-insurance-canada/</t>
  </si>
  <si>
    <t xml:space="preserve">iec insurance</t>
  </si>
  <si>
    <t xml:space="preserve">working holiday insurance canada; iec health insurance requirement; iec insurance for full stay; working holiday visa canada insurance; iec insurance port of entry</t>
  </si>
  <si>
    <t xml:space="preserve">IEC Insurance: Working Holiday Rules and How to Buy It</t>
  </si>
  <si>
    <t xml:space="preserve">IEC insurance explained: IRCC's health insurance rule for working holiday participants and why a short policy can limit your permit. Check before you fly.</t>
  </si>
  <si>
    <t xml:space="preserve">What insurance does IEC require? | Why your policy length can limit your work permit | What the policy must cover | Provincial coverage after arrival: does it replace IEC insurance? | Buying before you leave vs after you land | Port-of-entry checklist</t>
  </si>
  <si>
    <t xml:space="preserve">Does IRCC check IEC insurance at the border? | What happens if my insurance is shorter than my planned stay? | Can I buy IEC insurance in my home country? | Do I still need private insurance once I get a provincial health card? | Does IEC insurance cover adventure sports?</t>
  </si>
  <si>
    <t xml:space="preserve">Port-of-entry document checklist and a table showing how policy length can affect permit length, sourced to IRCC's IEC pages with a review date.</t>
  </si>
  <si>
    <t xml:space="preserve">/travel-insurance/visitors-to-canada/; /travel-insurance/international-students/; /guides/health-insurance-work-permit-holders-canada/; /guides/international-students-provincial-health-coverage/</t>
  </si>
  <si>
    <t xml:space="preserve">Request a call with a licensed advisor about IEC coverage (/travel-insurance/visitors-to-canada/)</t>
  </si>
  <si>
    <t xml:space="preserve">No competitor coverage seen in the research for IEC insurance.</t>
  </si>
  <si>
    <t xml:space="preserve">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</si>
  <si>
    <t xml:space="preserve">Verify IRCC's IEC insurance requirement and the permit-length rule on canada.ca; describe a policy as meeting the requirement only if its wording matches IRCC's, and never guarantee border acceptance.</t>
  </si>
  <si>
    <t xml:space="preserve">Travel Insurance for Long Trips to India: Time-Away Rules for Newcomer Families</t>
  </si>
  <si>
    <t xml:space="preserve">https://instasure.ca/guides/travel-insurance-long-trip-india-from-canada/</t>
  </si>
  <si>
    <t xml:space="preserve">travel insurance for trip to india from canada</t>
  </si>
  <si>
    <t xml:space="preserve">travel insurance india from canada; long trip to india provincial health coverage; ohip travel to india six months; travel medical insurance india canadian citizen; family emergency trip cancellation india</t>
  </si>
  <si>
    <t xml:space="preserve">Travel Insurance for a Trip to India From Canada</t>
  </si>
  <si>
    <t xml:space="preserve">Travel insurance for a trip to India from Canada: provincial time-away limits on long visits, medical cover, cancellation and seniors' options. Plan ahead.</t>
  </si>
  <si>
    <t xml:space="preserve">Do you need travel insurance for a trip to India? | Long visits home: provincial time-away limits | Medical care in India: what travel insurance pays | Seniors and pre-existing conditions on long trips | Trip cancellation for family emergencies | Checklist before you fly</t>
  </si>
  <si>
    <t xml:space="preserve">Does my provincial health plan cover me in India? | Can I stay in India for six months and keep OHIP? | Is travel insurance needed if care costs less in India? | Can permanent residents buy Canadian travel insurance? | Does travel insurance cover cancelling for a family emergency?</t>
  </si>
  <si>
    <t xml:space="preserve">Time-away planning table for Ontario, BC and Alberta residents taking long winter trips home, plus a worked example of a five-month visit and the coverage choices it needs.</t>
  </si>
  <si>
    <t xml:space="preserve">/travel-insurance/; /travel-insurance/ontario/; /guides/provincial-health-coverage-time-away-rules/; /guides/trip-cancellation-interruption-insurance/</t>
  </si>
  <si>
    <t xml:space="preserve">No competitor coverage seen; the research flags newcomer and community content (India, Philippines, Pakistan) as a high-intent gap in Brampton, Mississauga and Surrey.</t>
  </si>
  <si>
    <t xml:space="preserve">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</si>
  <si>
    <t xml:space="preserve">Verify time-away limits and any first-year presence rules for new permanent residents; make no claims about health-care quality or cost in India. Punjabi or Hindi help only if an active advisor speaks it.</t>
  </si>
  <si>
    <t xml:space="preserve">Does Travel Insurance Cover You During a Travel Advisory?</t>
  </si>
  <si>
    <t xml:space="preserve">https://instasure.ca/guides/travel-advisory-travel-insurance/</t>
  </si>
  <si>
    <t xml:space="preserve">travel advisory travel insurance</t>
  </si>
  <si>
    <t xml:space="preserve">avoid non-essential travel insurance coverage; global affairs canada advisory travel insurance; travel insurance war exclusion; travel insurance political unrest; travel advisory trip cancellation claim</t>
  </si>
  <si>
    <t xml:space="preserve">Travel Advisory and Travel Insurance: Are You Covered?</t>
  </si>
  <si>
    <t xml:space="preserve">How Global Affairs Canada travel advisories affect travel insurance: medical cover, cancellation claims and timing rules. Check your policy before you go.</t>
  </si>
  <si>
    <t xml:space="preserve">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</si>
  <si>
    <t xml:space="preserve">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</si>
  <si>
    <t xml:space="preserve">Scenario table (advisory before purchase, after purchase, during the trip) by cover type (medical, cancellation, interruption) showing typical outcomes from current wordings, with links to travel.gc.ca.</t>
  </si>
  <si>
    <t xml:space="preserve">/travel-insurance/; /guides/trip-cancellation-interruption-insurance/; /guides/how-to-make-travel-insurance-claim/</t>
  </si>
  <si>
    <t xml:space="preserve">Rates.ca ('global tensions travel insurance') and Ratehub (fuel-shortage and World Cup 2026 posts) cover news-driven angles; no evergreen scenario table was seen.</t>
  </si>
  <si>
    <t xml:space="preserve">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</si>
  <si>
    <t xml:space="preserve">Outcomes depend on wording, so label them typical; verify advisory-level terms on travel.gc.ca and avoid scare language.</t>
  </si>
  <si>
    <t xml:space="preserve">RAMQ Coverage Outside Quebec: Time-Away Rules for Snowbirds (English Guide)</t>
  </si>
  <si>
    <t xml:space="preserve">https://instasure.ca/guides/ramq-outside-quebec-time-away-rules/</t>
  </si>
  <si>
    <t xml:space="preserve">ramq outside quebec</t>
  </si>
  <si>
    <t xml:space="preserve">how long can you leave quebec and keep ramq; ramq 183 days rule; ramq travel usa; quebec snowbird health coverage; ramq out of country reimbursement</t>
  </si>
  <si>
    <t xml:space="preserve">RAMQ Outside Quebec: Time-Away Rules for Snowbirds</t>
  </si>
  <si>
    <t xml:space="preserve">RAMQ coverage outside Quebec in plain English: how long you can be away, what RAMQ reimburses abroad and why private cover matters. Join the waitlist.</t>
  </si>
  <si>
    <t xml:space="preserve">How long can you be outside Quebec and keep RAMQ? | Declaring an absence to RAMQ | What RAMQ reimburses outside Canada | Prescription drug coverage while away | Planning a winter in Florida | What instasure.ca can and can't do for Quebec residents</t>
  </si>
  <si>
    <t xml:space="preserve">How many days can I be outside Quebec in a year? | Does RAMQ pay for hospital care in the US? | Do I have to tell RAMQ I'm leaving? | Is the RAMQ drug plan valid outside Quebec? | Can I buy travel insurance through instasure.ca in Quebec?</t>
  </si>
  <si>
    <t xml:space="preserve">English summary of RAMQ absence rules with the source link and review date, plus a reimbursement worked example.</t>
  </si>
  <si>
    <t xml:space="preserve">/travel-insurance/quebec/; /travel-insurance/snowbirds/; /guides/provincial-health-coverage-time-away-rules/</t>
  </si>
  <si>
    <t xml:space="preserve">Join the Quebec waitlist (/travel-insurance/quebec/)</t>
  </si>
  <si>
    <t xml:space="preserve">No English-language competitor coverage seen; Sonnet publishes French content but not on health-plan travel rules.</t>
  </si>
  <si>
    <t xml:space="preserve">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</si>
  <si>
    <t xml:space="preserve">Quebec is waitlisted until AMF registration: information only, no solicitation or advice for Quebec residents. Verify the 183-day figure and reimbursement rules on ramq.gouv.qc.ca.</t>
  </si>
  <si>
    <t xml:space="preserve">Travel Insurance for Canadian Students Studying Abroad</t>
  </si>
  <si>
    <t xml:space="preserve">https://instasure.ca/guides/travel-insurance-students-studying-abroad/</t>
  </si>
  <si>
    <t xml:space="preserve">travel insurance for students studying abroad</t>
  </si>
  <si>
    <t xml:space="preserve">student travel insurance canada; ohip student studying abroad; exchange student insurance canada; does provincial health cover students abroad; parents group plan student abroad</t>
  </si>
  <si>
    <t xml:space="preserve">Travel Insurance for Students Studying Abroad (Canada)</t>
  </si>
  <si>
    <t xml:space="preserve">Travel insurance for Canadian students studying abroad: keeping provincial coverage, host-country insurance rules and a pre-departure checklist. Read on.</t>
  </si>
  <si>
    <t xml:space="preserve">Do Canadian students abroad need travel insurance? | Keeping your provincial plan while studying away | Host-country insurance requirements | Family plans, school plans and standalone policies | Coverage for travel during the semester | Pre-departure checklist</t>
  </si>
  <si>
    <t xml:space="preserve">Does OHIP cover me while I study abroad? | Am I covered under my parents' group plan while abroad? | Do I also need the host country's student insurance? | Does student travel insurance cover mental health care? | What about trips to other countries during a semester?</t>
  </si>
  <si>
    <t xml:space="preserve">Province table of student absence provisions (how to keep coverage while studying outside Canada and the documents required), sourced and dated, plus a family-plan check.</t>
  </si>
  <si>
    <t xml:space="preserve">/travel-insurance/; /guides/provincial-health-coverage-time-away-rules/; /health-dental-insurance/; /group-benefits/</t>
  </si>
  <si>
    <t xml:space="preserve">No competitor coverage seen for Canadians studying abroad.</t>
  </si>
  <si>
    <t xml:space="preserve">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</si>
  <si>
    <t xml:space="preserve">Verify each province's student-absence provisions; host-country rules change, so link to official sources rather than restating them in detail.</t>
  </si>
  <si>
    <t xml:space="preserve">How to Compare Super Visa Insurance: A 12-Point Checklist Beyond Price</t>
  </si>
  <si>
    <t xml:space="preserve">https://instasure.ca/guides/compare-super-visa-insurance-checklist/</t>
  </si>
  <si>
    <t xml:space="preserve">compare super visa insurance</t>
  </si>
  <si>
    <t xml:space="preserve">super visa insurance quotes; super visa insurance comparison; why super visa quotes differ; super visa insurance policy wording; super visa insurance checklist</t>
  </si>
  <si>
    <t xml:space="preserve">Compare Super Visa Insurance: 12 Checks Beyond Price</t>
  </si>
  <si>
    <t xml:space="preserve">Compare Super Visa insurance on more than price: stability rules, deductibles, refunds, side trips and claims handling. Download the 12-point checklist.</t>
  </si>
  <si>
    <t xml:space="preserve">How to compare Super Visa insurance quotes | Why quotes for the same parent differ so much | The 12-point policy checklist | Red flags in policy wording | Worked example: two quotes, one better fit | Getting quotes checked by a licensed advisor</t>
  </si>
  <si>
    <t xml:space="preserve">Why do Super Visa insurance quotes vary between insurers? | Is the lowest-priced Super Visa policy good enough for IRCC? | What should we check in the policy wording? | Can we compare foreign and Canadian insurers side by side? | How many quotes should we get?</t>
  </si>
  <si>
    <t xml:space="preserve">Printable 12-point checklist (IRCC compliance, stability period, pre-existing definition, deductible basis, refund terms, side trips, direct billing, claims line, payment plan, renewal, age limits, complaint route) and a worked two-quote example.</t>
  </si>
  <si>
    <t xml:space="preserve">/super-visa-insurance/; /quote/; /guides/super-visa-insurance-requirements-cost/; /guides/super-visa-insurance-pre-existing-conditions/; /guides/super-visa-insurance-refund-rules/</t>
  </si>
  <si>
    <t xml:space="preserve">Instant Super Visa insurance estimate, then an advisor compares insurers (/quote/super-visa-insurance/)</t>
  </si>
  <si>
    <t xml:space="preserve">bestquotetravelinsurance.ca ('Compare 14 Insurers') and HelloSafe compare mainly on price; none seen gives a wording checklist that explains why the lowest quote may not fit.</t>
  </si>
  <si>
    <t xml:space="preserve">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</si>
  <si>
    <t xml:space="preserve">No 'cheapest' or 'best' claims; anonymise insurers in the worked example or back it with dated, documented quotes. State the number of insurers an advisor compares only if true.</t>
  </si>
  <si>
    <t xml:space="preserve">Super Visa vs Visitor Visa for Parents: Stay Length, Insurance and Total Cost</t>
  </si>
  <si>
    <t xml:space="preserve">https://instasure.ca/guides/super-visa-vs-visitor-visa-parents/</t>
  </si>
  <si>
    <t xml:space="preserve">super visa vs visitor visa</t>
  </si>
  <si>
    <t xml:space="preserve">super visa or visitor visa for parents; visitor visa insurance requirement canada; super visa vs 10 year multiple entry visa; visitor insurance vs super visa insurance; parents visiting canada visa options</t>
  </si>
  <si>
    <t xml:space="preserve">Super Visa vs Visitor Visa: Which Fits Your Parents?</t>
  </si>
  <si>
    <t xml:space="preserve">Super Visa vs visitor visa for parents: compare stay length, insurance rules, income proof and total cost in one decision table. Get an estimate for both.</t>
  </si>
  <si>
    <t xml:space="preserve">Super Visa or visitor visa: the short answer | How long parents can stay on each | Insurance: mandatory vs recommended | Income, invitation and medical exam requirements | Total cost for a 6-month and a 2-year stay | Which option fits which family | Next steps</t>
  </si>
  <si>
    <t xml:space="preserve">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</si>
  <si>
    <t xml:space="preserve">Decision table comparing the two visa paths on stay length per entry, insurance requirement, income proof, medical exam and processing, plus a worked total-cost example for a 6-month and a 2-year visit using dated Instasure model estimates.</t>
  </si>
  <si>
    <t xml:space="preserve">/super-visa-insurance/; /travel-insurance/visitors-to-canada/; /guides/super-visa-insurance-requirements-cost/; /guides/visitors-to-canada-insurance-cost/</t>
  </si>
  <si>
    <t xml:space="preserve">Instant Super Visa or visitor insurance estimate (/quote/super-visa-insurance/)</t>
  </si>
  <si>
    <t xml:space="preserve">Sun Life ('Family Visiting From Abroad?') and the Ratehub and Rates.ca visitors pages cover short-visit insurance, while Super Visa owners cover the Super Visa alone. None seen puts both visa paths and their insurance costs in one decision table.</t>
  </si>
  <si>
    <t xml:space="preserve">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</si>
  <si>
    <t xml:space="preserve">Verify stay limits, 10-year visa terms and the income requirement on canada.ca; label all costs as Instasure model estimates with profile and date. Add a line that this is insurance information, not immigration advice.</t>
  </si>
  <si>
    <t xml:space="preserve">Visitors to Canada Insurance Cost: Prices by Age and Trip Length</t>
  </si>
  <si>
    <t xml:space="preserve">https://instasure.ca/guides/visitors-to-canada-insurance-cost/</t>
  </si>
  <si>
    <t xml:space="preserve">visitors to canada insurance cost</t>
  </si>
  <si>
    <t xml:space="preserve">visitor insurance cost canada per month; visitor medical insurance for parents cost; how much is visitor insurance canada; visitor insurance 6 months cost; visitor insurance 1 month cost</t>
  </si>
  <si>
    <t xml:space="preserve">Visitors to Canada Insurance Cost by Age and Trip Length</t>
  </si>
  <si>
    <t xml:space="preserve">Visitors to Canada insurance cost by age, trip length and coverage: model tables from one week to six months and what moves the price. Get an estimate.</t>
  </si>
  <si>
    <t xml:space="preserve">How much does visitors to Canada insurance cost? | Price by age: 40 to 85 | Price by trip length: one week to six months | Coverage amount and deductible effects | Pre-existing condition options and price | Ways to keep the cost down without gaps</t>
  </si>
  <si>
    <t xml:space="preserve">How much is visitor insurance for one month? | Is visitor insurance cheaper than Super Visa insurance? | Does buying for a longer stay lower the daily rate? | Can we buy visitor insurance for a parent already in Canada? | Does visitor insurance cost more with pre-existing conditions?</t>
  </si>
  <si>
    <t xml:space="preserve">Dated model price grid (ages 40 to 85 by one week, one month, three months and six months at two coverage levels) with stated assumptions, linked to the Rate Index once quote volume allows.</t>
  </si>
  <si>
    <t xml:space="preserve">/travel-insurance/visitors-to-canada/; /super-visa-insurance/; /guides/super-visa-vs-visitor-visa-parents/; /insights/rate-index/</t>
  </si>
  <si>
    <t xml:space="preserve">Instant visitors to Canada insurance estimate (/quote/super-visa-insurance/)</t>
  </si>
  <si>
    <t xml:space="preserve">Rates.ca shows a single price anchor for $50,000 of coverage (7 days and 1 month) and Ratehub a visitors page with its SoNomad partner; neither gives an age-by-length grid or explains pre-existing pricing.</t>
  </si>
  <si>
    <t xml:space="preserve">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</si>
  <si>
    <t xml:space="preserve">Rates.ca's figures ($15.79 for 7 days, $56.58 for 1 month at $50,000) come from research and must not be reused without verification and attribution. All instasure.ca prices are model estimates with profile and date; no 'from $X' anchor in the title or meta.</t>
  </si>
  <si>
    <t xml:space="preserve">Super Visa Insurance With Pre-Existing Conditions: Stability Rules Explained</t>
  </si>
  <si>
    <t xml:space="preserve">https://instasure.ca/guides/super-visa-insurance-pre-existing-conditions/</t>
  </si>
  <si>
    <t xml:space="preserve">super visa insurance pre-existing conditions</t>
  </si>
  <si>
    <t xml:space="preserve">super visa insurance stable pre-existing condition; super visa insurance diabetes; super visa insurance high blood pressure; super visa stability period; super visa insurance heart condition</t>
  </si>
  <si>
    <t xml:space="preserve">Super Visa Insurance Pre-Existing Conditions Explained</t>
  </si>
  <si>
    <t xml:space="preserve">How Super Visa insurance treats pre-existing conditions: stability periods, examples by condition, cost impact and questionnaire tips. Ask an advisor.</t>
  </si>
  <si>
    <t xml:space="preserve">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</si>
  <si>
    <t xml:space="preserve">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</si>
  <si>
    <t xml:space="preserve">Condition-by-condition table (diabetes, hypertension, heart disease, COPD, thyroid disorders, arthritis) showing what usually counts as a change in stability, plus a medication-change log template families fill in before applying.</t>
  </si>
  <si>
    <t xml:space="preserve">/super-visa-insurance/; /guides/super-visa-insurance-requirements-cost/; /guides/travel-insurance-stability-period/; /travel-insurance/visitors-to-canada/</t>
  </si>
  <si>
    <t xml:space="preserve">Request a specialist call: Super Visa desk, questionnaire review (/super-visa-insurance/)</t>
  </si>
  <si>
    <t xml:space="preserve">PolicyAdvisor has a general pre-existing condition guide written for life insurance, and Super Visa owners mention stability briefly; none seen gives a condition-by-condition table or a medication log for Super Visa buyers.</t>
  </si>
  <si>
    <t xml:space="preserve">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</si>
  <si>
    <t xml:space="preserve">Stability definitions and surcharges vary by insurer; the existing guide's 25–40% surcharge is an Instasure model figure and must be re-verified and labelled as an estimate. Never promise that a condition will be covered.</t>
  </si>
  <si>
    <t xml:space="preserve">Hospital Costs for Visitors to Canada: What Uninsured Guests Pay by Province</t>
  </si>
  <si>
    <t xml:space="preserve">https://instasure.ca/guides/hospital-costs-for-visitors-to-canada/</t>
  </si>
  <si>
    <t xml:space="preserve">hospital costs for visitors to canada</t>
  </si>
  <si>
    <t xml:space="preserve">non-resident hospital rates ontario; visitor gets sick in canada without insurance; emergency room cost for visitors canada; uninsured visitor hospital bill canada; ambulance cost for visitors canada</t>
  </si>
  <si>
    <t xml:space="preserve">Hospital Costs for Visitors to Canada, by Province</t>
  </si>
  <si>
    <t xml:space="preserve">What uninsured visitors pay for hospital care in Canada: non-resident daily rates, ER and ambulance fees by province, sourced and dated. See the table.</t>
  </si>
  <si>
    <t xml:space="preserve">How much does hospital care cost a visitor to Canada? | Non-resident inpatient daily rates by province | Emergency room, physician and ambulance charges | What happens if a visitor can't pay | How visitor insurance changes the picture | Sources and how we built this table</t>
  </si>
  <si>
    <t xml:space="preserve">Do visitors to Canada get free health care? | How much is an ER visit for a visitor in Ontario? | Can a hospital refuse to treat an uninsured visitor? | Is the sponsoring family responsible for a visitor's hospital bill? | Can an unpaid hospital bill affect future visits?</t>
  </si>
  <si>
    <t xml:space="preserve">Province-by-province table of published non-resident hospital and ambulance rates, each cell sourced to a ministry or hospital fee schedule with its effective date: original research no competitor was seen publishing.</t>
  </si>
  <si>
    <t xml:space="preserve">/travel-insurance/visitors-to-canada/; /super-visa-insurance/; /guides/super-visa-insurance-coverage-amount/; /guides/visitors-to-canada-insurance-cost/</t>
  </si>
  <si>
    <t xml:space="preserve">Sun Life's 'Family Visiting From Abroad?' page and the Ratehub and Rates.ca visitors pages say care is expensive without figures; no competitor seen publishes sourced non-resident rates.</t>
  </si>
  <si>
    <t xml:space="preserve">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</si>
  <si>
    <t xml:space="preserve">Every rate must come from a primary fee schedule with its effective date; where a province doesn't publish rates, say so rather than estimate. Verify any statement on sponsor liability or visa consequences of unpaid bills with IRCC and the provinces before publishing.</t>
  </si>
  <si>
    <t xml:space="preserve">Renewing Super Visa Insurance: Extensions, Year Two and Avoiding Gaps</t>
  </si>
  <si>
    <t xml:space="preserve">https://instasure.ca/guides/renew-super-visa-insurance-extension/</t>
  </si>
  <si>
    <t xml:space="preserve">super visa insurance renewal</t>
  </si>
  <si>
    <t xml:space="preserve">extend super visa insurance; super visa insurance second year; super visa extension of stay insurance; visitor record extension insurance; super visa insurance after one year</t>
  </si>
  <si>
    <t xml:space="preserve">Super Visa Insurance Renewal: Extensions and Year Two</t>
  </si>
  <si>
    <t xml:space="preserve">How to renew Super Visa insurance for year two or an extended stay: timing, new medical questions, stability periods and gaps to avoid. Start your renewal.</t>
  </si>
  <si>
    <t xml:space="preserve">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</si>
  <si>
    <t xml:space="preserve">Do we need to renew Super Visa insurance every year? | Can my parents renew with the same insurer from inside Canada? | Will a claim in year one change the renewal? | Is there a waiting period if coverage lapses? | Does IRCC ask for insurance when parents extend their stay?</t>
  </si>
  <si>
    <t xml:space="preserve">Renewal timeline graphic (90, 60 and 30 days before expiry) with a gap-risk checklist and a worked example of how a new diagnosis in year one changes year-two coverage.</t>
  </si>
  <si>
    <t xml:space="preserve">/super-visa-insurance/; /guides/super-visa-insurance-pre-existing-conditions/; /guides/super-visa-insurance-requirements-cost/; /travel-insurance/visitors-to-canada/</t>
  </si>
  <si>
    <t xml:space="preserve">Request a specialist call: Super Visa desk, renewal review (/super-visa-insurance/)</t>
  </si>
  <si>
    <t xml:space="preserve">No competitor coverage seen for renewal and extension timing; Super Visa content in the research focuses on the first purchase.</t>
  </si>
  <si>
    <t xml:space="preserve">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</si>
  <si>
    <t xml:space="preserve">Verify IRCC's current rules for extending a stay and whether insurance proof is requested; waiting periods and renewal rules vary by insurer, so describe them as typical rather than universal.</t>
  </si>
  <si>
    <t xml:space="preserve">Visitor and Super Visa Insurance in Brampton: A Local Guide for Families</t>
  </si>
  <si>
    <t xml:space="preserve">https://instasure.ca/guides/visitor-insurance-brampton/</t>
  </si>
  <si>
    <t xml:space="preserve">visitor insurance brampton</t>
  </si>
  <si>
    <t xml:space="preserve">super visa parents brampton; walk-in clinic for visitors brampton; brampton civic hospital visitor cost; visitor medical insurance peel region</t>
  </si>
  <si>
    <t xml:space="preserve">City: Brampton, ON</t>
  </si>
  <si>
    <t xml:space="preserve">Visitor Insurance Brampton: A Guide for Visiting Parents</t>
  </si>
  <si>
    <t xml:space="preserve">Visitor insurance in Brampton: where visiting parents get care, how hospitals bill visitors, Super Visa tips and Punjabi help where available. Read on.</t>
  </si>
  <si>
    <t xml:space="preserve">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</si>
  <si>
    <t xml:space="preserve">Do Brampton walk-in clinics see visitors without OHIP? | How does Brampton Civic Hospital bill uninsured visitors? | Is visitor insurance required for parents staying in Brampton? | Will visitor insurance pay a Brampton clinic directly? | Is there an advisor who speaks Punjabi?</t>
  </si>
  <si>
    <t xml:space="preserve">Local care table (emergency departments, urgent care centres and clinics that see uninsured patients, with how each bills) verified by phone on the review date.</t>
  </si>
  <si>
    <t xml:space="preserve">/super-visa-insurance/ontario/brampton/; /travel-insurance/visitors-to-canada/; /insurance/ontario/brampton/; /guides/super-visa-insurance-parents-from-india/</t>
  </si>
  <si>
    <t xml:space="preserve">Instant visitor insurance estimate with Brampton pre-filled (/super-visa-insurance/ontario/brampton/)</t>
  </si>
  <si>
    <t xml:space="preserve">Keyword research shows no competitor for 'super visa insurance brampton', and Ratehub and Rates.ca have no visitor city pages; no local visitor-care guide was seen.</t>
  </si>
  <si>
    <t xml:space="preserve">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</si>
  <si>
    <t xml:space="preserve">Verify each clinic's and hospital's billing policy directly and date it; don't imply direct billing unless confirmed. Offer Punjabi, Hindi or Gujarati help only if an active advisor speaks the language.</t>
  </si>
  <si>
    <t xml:space="preserve">Visitor and Super Visa Insurance in Surrey: A Local Guide for Families</t>
  </si>
  <si>
    <t xml:space="preserve">https://instasure.ca/guides/visitor-insurance-surrey-bc/</t>
  </si>
  <si>
    <t xml:space="preserve">visitor insurance surrey</t>
  </si>
  <si>
    <t xml:space="preserve">super visa parents surrey; walk-in clinic for visitors surrey bc; surrey memorial hospital visitor cost; visitor medical insurance fraser health</t>
  </si>
  <si>
    <t xml:space="preserve">City: Surrey, BC</t>
  </si>
  <si>
    <t xml:space="preserve">Visitor Insurance Surrey, BC: Guide for Visiting Parents</t>
  </si>
  <si>
    <t xml:space="preserve">Visitor insurance in Surrey, BC: where visiting parents get care, how Fraser Health bills non-residents and Super Visa tips. Read the local guide.</t>
  </si>
  <si>
    <t xml:space="preserve">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</si>
  <si>
    <t xml:space="preserve">Do Surrey walk-in clinics see visitors without MSP? | How does Surrey Memorial Hospital bill visitors? | Is visitor insurance required for parents staying in Surrey? | Will visitor insurance pay a Surrey clinic directly? | Is there an advisor who speaks Punjabi?</t>
  </si>
  <si>
    <t xml:space="preserve">Surrey care table (emergency department, urgent and primary care centres, clinics seeing uninsured patients, billing method) verified by phone on the review date, plus BC non-resident rate references.</t>
  </si>
  <si>
    <t xml:space="preserve">/super-visa-insurance/british-columbia/surrey/; /travel-insurance/visitors-to-canada/; /insurance/british-columbia/surrey/; /guides/super-visa-insurance-parents-from-india/</t>
  </si>
  <si>
    <t xml:space="preserve">Instant visitor insurance estimate with Surrey pre-filled (/super-visa-insurance/british-columbia/surrey/)</t>
  </si>
  <si>
    <t xml:space="preserve">Keyword research shows no competitor for 'super visa insurance surrey'; no local visitor-care guide was seen.</t>
  </si>
  <si>
    <t xml:space="preserve">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</si>
  <si>
    <t xml:space="preserve">Verify Fraser Health's non-resident billing and each clinic's policy directly, with the date. Offer Punjabi or Hindi help only if an active advisor speaks the language.</t>
  </si>
  <si>
    <t xml:space="preserve">Health Insurance While Waiting for Provincial Coverage: A Guide for New Permanent Residents</t>
  </si>
  <si>
    <t xml:space="preserve">https://instasure.ca/guides/health-insurance-waiting-period-new-immigrants/</t>
  </si>
  <si>
    <t xml:space="preserve">health insurance waiting period for new immigrants</t>
  </si>
  <si>
    <t xml:space="preserve">ohip waiting period new immigrants; msp waiting period bc newcomers; ramq waiting period; private health insurance for new immigrants canada; newcomer health insurance gap</t>
  </si>
  <si>
    <t xml:space="preserve">Health Insurance Waiting Period for New Immigrants</t>
  </si>
  <si>
    <t xml:space="preserve">Which provinces make new permanent residents wait for health coverage, how long, and how private newcomer insurance fills the gap. See the province table.</t>
  </si>
  <si>
    <t xml:space="preserve">Do new immigrants wait for provincial health coverage? | Waiting periods by province and territory | What newcomer gap insurance covers | When to buy and how long to keep it | Spouses, children and visiting parents | After the gap: extended health and dental | Next steps</t>
  </si>
  <si>
    <t xml:space="preserve">Is there still a waiting period for OHIP? | How long is the MSP waiting period in BC? | Can new immigrants buy visitor insurance? | Does newcomer insurance cover pre-existing conditions? | What should we arrange on the day we land?</t>
  </si>
  <si>
    <t xml:space="preserve">Province-by-province table of current waiting periods for new permanent residents, each row linked to the provincial source with a review date, plus a first-90-days coverage checklist.</t>
  </si>
  <si>
    <t xml:space="preserve">/travel-insurance/visitors-to-canada/; /health-dental-insurance/; /guides/life-insurance-for-newcomers-to-canada/; /car-insurance/newcomers/</t>
  </si>
  <si>
    <t xml:space="preserve">Instant visitors to Canada insurance estimate for the waiting period (/quote/super-visa-insurance/)</t>
  </si>
  <si>
    <t xml:space="preserve">PolicyAdvisor runs a strong newcomer cluster for life insurance and pages for foreign workers; none seen publishes a current waiting-period table by province linked to gap coverage.</t>
  </si>
  <si>
    <t xml:space="preserve">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</si>
  <si>
    <t xml:space="preserve">Waiting periods change (Ontario has changed its OHIP wait before); verify every row on the provincial ministry site on the review date. Do not describe gap insurance as a substitute for provincial coverage.</t>
  </si>
  <si>
    <t xml:space="preserve">Super Visa Insurance for Parents From India: A Family Guide</t>
  </si>
  <si>
    <t xml:space="preserve">https://instasure.ca/guides/super-visa-insurance-parents-from-india/</t>
  </si>
  <si>
    <t xml:space="preserve">super visa insurance for parents from india</t>
  </si>
  <si>
    <t xml:space="preserve">super visa for parents from india; indian parents visiting canada insurance; super visa insurance punjabi; super visa insurance hindi; super visa from india processing</t>
  </si>
  <si>
    <t xml:space="preserve">Super Visa Insurance for Parents From India: Guide</t>
  </si>
  <si>
    <t xml:space="preserve">Parents coming from India on a Super Visa: insurance rules, foreign-insurer questions, medical records and Punjabi or Hindi help where available. Read on.</t>
  </si>
  <si>
    <t xml:space="preserve">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</si>
  <si>
    <t xml:space="preserve">Can my parents buy Super Visa insurance from an Indian insurer? | Do medical records in Hindi or Punjabi need translation? | Is Super Visa insurance cheaper for parents under 65? | What happens to the policy if parents go back to India early? | Can family in India pay for the policy?</t>
  </si>
  <si>
    <t xml:space="preserve">Family checklist for parents travelling from India (documents, medical records, medication list with generic names, purchase timeline) published in English, Punjabi and Hindi.</t>
  </si>
  <si>
    <t xml:space="preserve">/super-visa-insurance/; /super-visa-insurance/ontario/brampton/; /super-visa-insurance/british-columbia/surrey/; /guides/super-visa-insurance-foreign-insurer-ircc-approved/; /guides/super-visa-insurance-pre-existing-conditions/</t>
  </si>
  <si>
    <t xml:space="preserve">Request a specialist call: Super Visa desk, Punjabi or Hindi where available (/super-visa-insurance/)</t>
  </si>
  <si>
    <t xml:space="preserve">Research found no multilingual newcomer content from PolicyAdvisor and only some Chinese content from Sun Life; no competitor seen targets families sponsoring parents from India.</t>
  </si>
  <si>
    <t xml:space="preserve">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</si>
  <si>
    <t xml:space="preserve">Offer Punjabi or Hindi help only if an active advisor speaks it (CONTENT_REVIEW 1.9). Verify whether any Indian insurer is on IRCC's approved list before saying so, and avoid health generalisations about any community.</t>
  </si>
  <si>
    <t xml:space="preserve">Super Visa Insurance for Parents Over 80: Availability, Cost and Options</t>
  </si>
  <si>
    <t xml:space="preserve">https://instasure.ca/guides/super-visa-insurance-parents-over-80/</t>
  </si>
  <si>
    <t xml:space="preserve">super visa insurance over 80</t>
  </si>
  <si>
    <t xml:space="preserve">super visa insurance for 80 year old; super visa insurance age 85; super visa insurance maximum age; super visa insurance for elderly parents</t>
  </si>
  <si>
    <t xml:space="preserve">Super Visa Insurance Over 80: Cost, Age Limits, Options</t>
  </si>
  <si>
    <t xml:space="preserve">Super Visa insurance over 80: which plans accept older parents, how age bands change the price and ways to manage the cost. Ask a Super Visa advisor.</t>
  </si>
  <si>
    <t xml:space="preserve">Can parents over 80 get Super Visa insurance? | Maximum issue ages and age bands | How cost climbs from 80 to 89 | Pre-existing conditions after 80 | Managing the cost: deductibles and payment plans | Questions to ask before you apply</t>
  </si>
  <si>
    <t xml:space="preserve">Is there an age limit for Super Visa insurance? | How much does Super Visa insurance cost for an 85-year-old? | Can an 82-year-old get pre-existing condition coverage? | Does a higher deductible help at older ages? | What if no insurer will cover my parent?</t>
  </si>
  <si>
    <t xml:space="preserve">Age-band table for 80 to 89 showing dated model premium ranges, typical deductible options and pre-existing availability, plus a short list of questions to put to an advisor.</t>
  </si>
  <si>
    <t xml:space="preserve">/super-visa-insurance/; /guides/super-visa-insurance-requirements-cost/; /guides/super-visa-insurance-deductible/; /guides/super-visa-insurance-pre-existing-conditions/</t>
  </si>
  <si>
    <t xml:space="preserve">Request a specialist call: Super Visa desk (/super-visa-insurance/)</t>
  </si>
  <si>
    <t xml:space="preserve">Research snippets show indicative 80+ prices on Super Visa pages from PolicyAdvisor, HelloSafe and bestquotetravelinsurance.ca, but none seen addresses maximum issue ages or what to do when a parent is hard to place.</t>
  </si>
  <si>
    <t xml:space="preserve">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</si>
  <si>
    <t xml:space="preserve">Verify maximum issue ages against current wordings. Research snippets put 80+ prices around $3,500–$5,500 a year; re-verify before any use and show only dated Instasure model estimates.</t>
  </si>
  <si>
    <t xml:space="preserve">Super Visa Insurance From a Foreign Insurer: How IRCC Approval Works</t>
  </si>
  <si>
    <t xml:space="preserve">https://instasure.ca/guides/super-visa-insurance-foreign-insurer-ircc-approved/</t>
  </si>
  <si>
    <t xml:space="preserve">super visa insurance foreign insurer</t>
  </si>
  <si>
    <t xml:space="preserve">ircc approved foreign insurers super visa; super visa insurance from home country; can parents buy super visa insurance outside canada; super visa insurance canadian vs foreign company</t>
  </si>
  <si>
    <t xml:space="preserve">Super Visa Insurance From a Foreign Insurer: IRCC Rules</t>
  </si>
  <si>
    <t xml:space="preserve">Can parents buy Super Visa insurance from a foreign insurer? See how IRCC approval works, what to check in the policy and when a Canadian plan is simpler.</t>
  </si>
  <si>
    <t xml:space="preserve">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</si>
  <si>
    <t xml:space="preserve">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</si>
  <si>
    <t xml:space="preserve">Side-by-side table of foreign vs Canadian Super Visa policies (IRCC approval status, policy currency, direct billing at Canadian hospitals, refund handling, complaint route such as OLHI), plus a 6-step checklist for verifying an insurer against IRCC's published list, with a review date.</t>
  </si>
  <si>
    <t xml:space="preserve">/super-visa-insurance/; /guides/super-visa-insurance-requirements-cost/; /travel-insurance/visitors-to-canada/; /guides/super-visa-insurance-documents-proof-ircc/</t>
  </si>
  <si>
    <t xml:space="preserve">Request a specialist call: Super Visa desk, policy checked against IRCC rules (/super-visa-insurance/)</t>
  </si>
  <si>
    <t xml:space="preserve">The Super Visa content owners in the research (PolicyAdvisor, bestquotetravelinsurance.ca, HelloSafe, CoverMe, RBC Insurance) note the January 2025 foreign-insurer change, but none seen offers a verification checklist or compares claims handling and complaint routes.</t>
  </si>
  <si>
    <t xml:space="preserve">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</si>
  <si>
    <t xml:space="preserve">Verify the foreign-insurer rule, its January 2025 start date and the current approved list on canada.ca before publishing. Do not imply instasure.ca advisors can place foreign policies, and state that immigration questions go to IRCC or a licensed RCIC.</t>
  </si>
  <si>
    <t xml:space="preserve">How to Make a Super Visa or Visitor Insurance Claim in Canada</t>
  </si>
  <si>
    <t xml:space="preserve">https://instasure.ca/guides/super-visa-visitor-insurance-claim-how-to/</t>
  </si>
  <si>
    <t xml:space="preserve">super visa insurance claim</t>
  </si>
  <si>
    <t xml:space="preserve">visitor insurance claim canada; how to claim visitor insurance; super visa insurance direct billing hospital; visitor insurance emergency assistance line; super visa claim documents</t>
  </si>
  <si>
    <t xml:space="preserve">Super Visa Insurance Claim: Step by Step in Canada</t>
  </si>
  <si>
    <t xml:space="preserve">How to make a Super Visa or visitor insurance claim: call assistance first, direct billing, documents to keep and timelines. Save the claim checklist.</t>
  </si>
  <si>
    <t xml:space="preserve">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</si>
  <si>
    <t xml:space="preserve">Do we have to call the insurer before going to the hospital? | Will the hospital bill the insurer directly? | What documents do we need for a visitor insurance claim? | How long do Super Visa claims take to pay? | Can my child file the claim for my parents?</t>
  </si>
  <si>
    <t xml:space="preserve">Printable claim-kit card for visiting parents (policy number, assistance line, steps in order) in English, Punjabi, Hindi, Urdu, Tagalog and Simplified Chinese, plus a document checklist.</t>
  </si>
  <si>
    <t xml:space="preserve">/super-visa-insurance/; /travel-insurance/visitors-to-canada/; /guides/super-visa-insurance-claim-denied/; /guides/hospital-costs-for-visitors-to-canada/</t>
  </si>
  <si>
    <t xml:space="preserve">No competitor coverage seen for visitor claim steps; Super Visa content in the research stops at the purchase.</t>
  </si>
  <si>
    <t xml:space="preserve">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</si>
  <si>
    <t xml:space="preserve">Claims procedures vary by insurer; present the steps as typical and tell readers to follow their policy. Translations must be done by a qualified translator and checked by a licensed advisor before publishing.</t>
  </si>
  <si>
    <t xml:space="preserve">Super Visa Insurance Refunds: Visa Refused, Early Return and Cancellation</t>
  </si>
  <si>
    <t xml:space="preserve">https://instasure.ca/guides/super-visa-insurance-refund-rules/</t>
  </si>
  <si>
    <t xml:space="preserve">super visa insurance refund</t>
  </si>
  <si>
    <t xml:space="preserve">super visa insurance refund if visa refused; super visa insurance cancellation; super visa insurance early return refund; super visa insurance admin fee; unused super visa insurance refund</t>
  </si>
  <si>
    <t xml:space="preserve">Super Visa Insurance Refund: Refusal and Early Return</t>
  </si>
  <si>
    <t xml:space="preserve">Super Visa insurance refund rules: visa refused, parents return early or the trip is cancelled. See typical fees and documents. Check your policy.</t>
  </si>
  <si>
    <t xml:space="preserve">When can you get a Super Visa insurance refund? | Visa refused: documents and typical fees | Parents return home early: pro-rated refunds and claims | Trip cancelled before the start date | Refunds on monthly plans | How to request a refund, step by step</t>
  </si>
  <si>
    <t xml:space="preserve">Do we get a refund if the Super Visa is refused? | Can we get a refund if my parents leave Canada early? | Is there a cancellation fee on Super Visa insurance? | What if a claim was made before they left? | How long does a refund take?</t>
  </si>
  <si>
    <t xml:space="preserve">Refund scenario table (refusal, no travel, early return with no claims, early return after a claim, monthly plan) showing the documents needed and the typical fee pattern, built from current wordings with a review date.</t>
  </si>
  <si>
    <t xml:space="preserve">/super-visa-insurance/; /guides/super-visa-insurance-requirements-cost/; /guides/super-visa-insurance-monthly-payments/; /guides/super-visa-insurance-documents-proof-ircc/</t>
  </si>
  <si>
    <t xml:space="preserve">Refund rules appear as FAQ lines on PolicyAdvisor, HelloSafe and the existing instasure.ca guide; no competitor seen maps each refund scenario to documents and fees.</t>
  </si>
  <si>
    <t xml:space="preserve">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</si>
  <si>
    <t xml:space="preserve">Refund fees and conditions differ by insurer; verify each scenario against current wordings and never promise a refund or a timeline.</t>
  </si>
  <si>
    <t xml:space="preserve">Choosing a Super Visa Insurance Deductible: How Much Should You Carry?</t>
  </si>
  <si>
    <t xml:space="preserve">https://instasure.ca/guides/super-visa-insurance-deductible/</t>
  </si>
  <si>
    <t xml:space="preserve">super visa insurance deductible</t>
  </si>
  <si>
    <t xml:space="preserve">super visa deductible per claim or per policy; zero deductible super visa insurance; super visa insurance 1000 deductible; how deductible affects super visa premium</t>
  </si>
  <si>
    <t xml:space="preserve">Super Visa Insurance Deductible: How to Choose One</t>
  </si>
  <si>
    <t xml:space="preserve">Compare Super Visa insurance deductible options: per-claim vs per-policy rules, savings examples by age and when zero pays off. Get an estimate.</t>
  </si>
  <si>
    <t xml:space="preserve">How does a Super Visa insurance deductible work? | Per claim, per illness or per policy: why wording matters | Worked examples: premium saved vs risk taken | Deductible choices by parent's age | Deductibles and pre-existing condition claims | How to pick a deductible your family can pay</t>
  </si>
  <si>
    <t xml:space="preserve">Is the Super Visa deductible charged per visit or per policy? | Does a higher deductible affect visa approval? | Can we change the deductible after the policy starts? | Do deductibles apply to emergency room visits? | Is a zero deductible worth the higher premium?</t>
  </si>
  <si>
    <t xml:space="preserve">Break-even table showing premium saved per year against out-of-pocket risk for each deductible level at ages 60, 70 and 80, using dated Instasure model estimates, plus a one-question decision rule.</t>
  </si>
  <si>
    <t xml:space="preserve">/super-visa-insurance/; /guides/super-visa-insurance-requirements-cost/; /guides/compare-super-visa-insurance-checklist/</t>
  </si>
  <si>
    <t xml:space="preserve">Instant Super Visa insurance estimate with deductible options (/quote/super-visa-insurance/)</t>
  </si>
  <si>
    <t xml:space="preserve">Super Visa owners list deductible options inside quote tools, but none seen publishes a break-even analysis or explains per-claim vs per-policy wording.</t>
  </si>
  <si>
    <t xml:space="preserve">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</si>
  <si>
    <t xml:space="preserve">All savings figures are Instasure model estimates with the profile and date shown; verify per-claim vs per-policy wording against actual policy documents. No 'cheapest' language.</t>
  </si>
  <si>
    <t xml:space="preserve">Is $100,000 Enough? Choosing a Super Visa Coverage Amount</t>
  </si>
  <si>
    <t xml:space="preserve">https://instasure.ca/guides/super-visa-insurance-coverage-amount/</t>
  </si>
  <si>
    <t xml:space="preserve">super visa insurance coverage amount</t>
  </si>
  <si>
    <t xml:space="preserve">super visa insurance 100000 vs 150000; super visa insurance 200000 coverage; how much super visa coverage do i need; hospital cost canada visitor</t>
  </si>
  <si>
    <t xml:space="preserve">Super Visa Insurance Coverage Amount: Is $100,000 Enough?</t>
  </si>
  <si>
    <t xml:space="preserve">Is the $100,000 Super Visa minimum enough? Compare higher limits using hospital-cost scenarios and model price differences by age. Compare amounts.</t>
  </si>
  <si>
    <t xml:space="preserve">Is $100,000 of Super Visa coverage enough? | What a serious emergency can cost a visitor | Price difference between coverage levels by age | When a higher limit makes sense | Coverage amount vs deductible: where to spend | Next steps</t>
  </si>
  <si>
    <t xml:space="preserve">What is the minimum Super Visa insurance coverage? | How much more does a higher coverage amount cost? | Do hospitals bill visitors more than residents? | Can we raise the coverage amount after arrival? | Does a higher coverage amount help the visa application?</t>
  </si>
  <si>
    <t xml:space="preserve">Scenario table pairing typical emergencies (cardiac event, stroke, hip fracture, appendectomy) with sourced hospital charges for uninsured non-residents, next to model premiums for each coverage level.</t>
  </si>
  <si>
    <t xml:space="preserve">/super-visa-insurance/; /guides/super-visa-insurance-requirements-cost/; /guides/hospital-costs-for-visitors-to-canada/; /guides/super-visa-insurance-deductible/</t>
  </si>
  <si>
    <t xml:space="preserve">Instant Super Visa insurance estimate by coverage amount (/quote/super-visa-insurance/)</t>
  </si>
  <si>
    <t xml:space="preserve">Super Visa owners quote prices at the $100,000 minimum; none seen ties coverage levels to documented hospital charges for non-residents.</t>
  </si>
  <si>
    <t xml:space="preserve">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</si>
  <si>
    <t xml:space="preserve">Verify the $100,000 minimum with IRCC and source every hospital charge to a hospital or ministry fee schedule with its date; label premium differences as model estimates.</t>
  </si>
  <si>
    <t xml:space="preserve">Super Visa Insurance Monthly Payments: Plans, Deposits and Cancellations</t>
  </si>
  <si>
    <t xml:space="preserve">https://instasure.ca/guides/super-visa-insurance-monthly-payments/</t>
  </si>
  <si>
    <t xml:space="preserve">super visa insurance monthly payment</t>
  </si>
  <si>
    <t xml:space="preserve">super visa insurance monthly plan; super visa insurance installments; super visa insurance deposit; monthly super visa insurance ircc; super visa insurance pay monthly cost</t>
  </si>
  <si>
    <t xml:space="preserve">Super Visa Insurance Monthly Payment: How It Works</t>
  </si>
  <si>
    <t xml:space="preserve">How Super Visa insurance monthly payment plans work: deposits, total cost vs paying upfront, missed payments and IRCC proof. Compare both options now.</t>
  </si>
  <si>
    <t xml:space="preserve">Can you pay Super Visa insurance monthly? | Deposits, fees and the total cost compared | What IRCC needs to see for a monthly plan | What happens if a payment is missed | Refunds and cancellations on monthly plans | Monthly vs upfront: which suits your family</t>
  </si>
  <si>
    <t xml:space="preserve">Does IRCC accept monthly Super Visa insurance? | Is monthly Super Visa insurance more expensive overall? | How large a deposit do monthly plans require? | What happens if a monthly payment fails? | Can we switch from monthly to annual payment?</t>
  </si>
  <si>
    <t xml:space="preserve">Total-cost comparison of upfront vs monthly payment for a 65- and a 75-year-old over 12 months (dated Instasure model estimates), plus a missed-payment risk checklist.</t>
  </si>
  <si>
    <t xml:space="preserve">/super-visa-insurance/; /guides/super-visa-insurance-requirements-cost/; /guides/super-visa-insurance-documents-proof-ircc/; /guides/super-visa-insurance-refund-rules/</t>
  </si>
  <si>
    <t xml:space="preserve">Instant Super Visa insurance estimate with a monthly option (/quote/super-visa-insurance/)</t>
  </si>
  <si>
    <t xml:space="preserve">HelloSafe, PolicyAdvisor and bestquotetravelinsurance.ca mention monthly plans; none seen compares total cost or explains missed-payment consequences in detail.</t>
  </si>
  <si>
    <t xml:space="preserve">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</si>
  <si>
    <t xml:space="preserve">Verify IRCC's current position on monthly payment plans and each insurer's deposit and fee terms; show totals as model estimates, never as guaranteed prices.</t>
  </si>
  <si>
    <t xml:space="preserve">Super Visa Insurance for Both Parents: Couple Plans vs Two Policies</t>
  </si>
  <si>
    <t xml:space="preserve">https://instasure.ca/guides/super-visa-insurance-for-couples/</t>
  </si>
  <si>
    <t xml:space="preserve">super visa insurance for couples</t>
  </si>
  <si>
    <t xml:space="preserve">super visa insurance couple discount; family super visa insurance; super visa insurance for two parents cost; super visa insurance parents different ages</t>
  </si>
  <si>
    <t xml:space="preserve">Super Visa Insurance for Couples: One Plan or Two?</t>
  </si>
  <si>
    <t xml:space="preserve">Insuring both parents for a Super Visa? Compare a couple plan with two policies: pricing by age, deductibles and health differences. Get an estimate.</t>
  </si>
  <si>
    <t xml:space="preserve">Should both parents share one Super Visa policy? | How couple pricing works when ages differ | When one parent has a pre-existing condition | Deductibles and limits: shared or separate | Worked example: two policies vs a couple plan | Refunds if one parent goes home early</t>
  </si>
  <si>
    <t xml:space="preserve">Is there a discount for insuring both parents? | Can one parent have pre-existing coverage and the other not? | What happens if one parent returns home early? | Does each parent need their own $100,000 of coverage? | Are couple plans priced on the older parent's age?</t>
  </si>
  <si>
    <t xml:space="preserve">Worked comparison of a couple plan vs two individual policies for parents aged 66 and 71 (dated Instasure model estimates), including the effect of one parent's pre-existing condition.</t>
  </si>
  <si>
    <t xml:space="preserve">/super-visa-insurance/; /guides/super-visa-insurance-pre-existing-conditions/; /guides/super-visa-insurance-refund-rules/; /guides/super-visa-insurance-requirements-cost/</t>
  </si>
  <si>
    <t xml:space="preserve">Instant Super Visa insurance estimate for two parents (/quote/super-visa-insurance/)</t>
  </si>
  <si>
    <t xml:space="preserve">Super Visa owners show single-visitor prices; none seen models couple pricing or the case where only one parent has a condition.</t>
  </si>
  <si>
    <t xml:space="preserve">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</si>
  <si>
    <t xml:space="preserve">Verify that each applicant needs their own qualifying coverage under IRCC rules and how insurers price couples; label the worked example as a model estimate with profile and date.</t>
  </si>
  <si>
    <t xml:space="preserve">Super Visa Medical Exam vs the Insurance Medical Questionnaire</t>
  </si>
  <si>
    <t xml:space="preserve">https://instasure.ca/guides/super-visa-medical-exam-vs-insurance-questionnaire/</t>
  </si>
  <si>
    <t xml:space="preserve">super visa medical exam</t>
  </si>
  <si>
    <t xml:space="preserve">super visa immigration medical exam; super visa medical questionnaire; does immigration medical exam affect super visa insurance; panel physician super visa; super visa medical exam results insurance</t>
  </si>
  <si>
    <t xml:space="preserve">Super Visa Medical Exam vs Insurance Questionnaire</t>
  </si>
  <si>
    <t xml:space="preserve">The Super Visa medical exam and the insurer's medical questionnaire are separate. Learn what each checks, how results interact and how to avoid mismatches.</t>
  </si>
  <si>
    <t xml:space="preserve">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</si>
  <si>
    <t xml:space="preserve">Does the insurer see my parents' immigration medical exam results? | Should we buy insurance before or after the medical exam? | What if the exam finds a new condition? | Who performs the Super Visa medical exam? | Is the insurance refundable if the medical exam leads to a refusal?</t>
  </si>
  <si>
    <t xml:space="preserve">Two-column comparison (immigration medical exam vs insurance questionnaire: who asks, what is checked, who sees results, consequences) plus a timeline showing the safest order of steps.</t>
  </si>
  <si>
    <t xml:space="preserve">/super-visa-insurance/; /guides/super-visa-insurance-pre-existing-conditions/; /guides/super-visa-insurance-requirements-cost/; /guides/super-visa-insurance-refund-rules/</t>
  </si>
  <si>
    <t xml:space="preserve">No competitor coverage seen; Super Visa content treats the medical exam and the insurance questionnaire separately or not at all.</t>
  </si>
  <si>
    <t xml:space="preserve">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</si>
  <si>
    <t xml:space="preserve">Verify IRCC's medical exam and panel physician rules; don't state whether insurers can or can't access IRCC results unless confirmed. Explain that insurers rely on the questionnaire and their own record requests.</t>
  </si>
  <si>
    <t xml:space="preserve">What Does Super Visa Insurance Cover? Benefits, Limits and Exclusions</t>
  </si>
  <si>
    <t xml:space="preserve">https://instasure.ca/guides/what-does-super-visa-insurance-cover/</t>
  </si>
  <si>
    <t xml:space="preserve">what does super visa insurance cover</t>
  </si>
  <si>
    <t xml:space="preserve">super visa insurance benefits; super visa insurance exclusions; super visa insurance dental emergency; super visa insurance prescription drugs; repatriation super visa insurance</t>
  </si>
  <si>
    <t xml:space="preserve">What Does Super Visa Insurance Cover? Benefits &amp; Limits</t>
  </si>
  <si>
    <t xml:space="preserve">What Super Visa insurance covers and excludes: hospital, doctors, drugs, emergency dental, repatriation and sub-limits in one table. Read before you buy.</t>
  </si>
  <si>
    <t xml:space="preserve">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</si>
  <si>
    <t xml:space="preserve">Does Super Visa insurance cover routine doctor visits? | Is dental care covered under Super Visa insurance? | What is repatriation coverage? | Are follow-up visits after an emergency covered? | Does Super Visa insurance cover pandemic-related illness?</t>
  </si>
  <si>
    <t xml:space="preserve">Benefit-by-benefit table (usually covered, usually limited, usually excluded) built from a review of current policy wordings, with the review date and the sub-limit to check in each row.</t>
  </si>
  <si>
    <t xml:space="preserve">/super-visa-insurance/; /guides/super-visa-insurance-requirements-cost/; /guides/super-visa-insurance-side-trips/; /travel-insurance/visitors-to-canada/</t>
  </si>
  <si>
    <t xml:space="preserve">PolicyAdvisor, HelloSafe and RBC Insurance describe coverage in prose, and the existing instasure.ca guide lists exclusions briefly; none seen shows a benefit table with the sub-limits to check.</t>
  </si>
  <si>
    <t xml:space="preserve">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</si>
  <si>
    <t xml:space="preserve">Build the table from actual policy wordings, list which were reviewed and label rows as typical since benefits vary. Do not name any insurer as best.</t>
  </si>
  <si>
    <t xml:space="preserve">Buying Visitor Insurance After Arrival in Canada: Waiting Periods Explained</t>
  </si>
  <si>
    <t xml:space="preserve">https://instasure.ca/guides/buy-visitor-insurance-after-arrival-canada/</t>
  </si>
  <si>
    <t xml:space="preserve">buy visitor insurance after arrival</t>
  </si>
  <si>
    <t xml:space="preserve">visitor insurance after arrival waiting period; visitor insurance already in canada; late purchase visitor insurance; super visa insurance bought after arrival; visitor insurance waiting period sickness</t>
  </si>
  <si>
    <t xml:space="preserve">Buy Visitor Insurance After Arrival: Waiting Periods</t>
  </si>
  <si>
    <t xml:space="preserve">Already in Canada without coverage? How buying visitor insurance after arrival works: waiting periods, early exclusions and gaps. Start an estimate.</t>
  </si>
  <si>
    <t xml:space="preserve">Can you buy visitor insurance after arriving in Canada? | How waiting periods work for illness vs injury | What isn't covered during the waiting period | Extending an existing policy vs buying a new one | Steps to get covered quickly | Avoiding the problem next time</t>
  </si>
  <si>
    <t xml:space="preserve">Is there a waiting period if we buy visitor insurance after arrival? | Are accidents covered during the waiting period? | Can we extend my parents' policy instead of buying a new one? | Will a doctor visit during the waiting period be covered? | Can visitor insurance be backdated?</t>
  </si>
  <si>
    <t xml:space="preserve">Table of typical waiting-period structures (illness vs injury, by age band) drawn from current policy wordings, plus a same-day action checklist.</t>
  </si>
  <si>
    <t xml:space="preserve">/travel-insurance/visitors-to-canada/; /super-visa-insurance/; /guides/visitors-to-canada-insurance-cost/; /guides/renew-super-visa-insurance-extension/</t>
  </si>
  <si>
    <t xml:space="preserve">Rates.ca covers buying travel insurance after leaving Canada (the outbound case); no competitor seen covers a visitor already in Canada.</t>
  </si>
  <si>
    <t xml:space="preserve">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</si>
  <si>
    <t xml:space="preserve">Waiting-period lengths vary by insurer and age; cite them only from current wordings with a review date. Never suggest backdating or misstating arrival dates.</t>
  </si>
  <si>
    <t xml:space="preserve">Visitor and Super Visa Insurance in Calgary: A Local Guide for Families</t>
  </si>
  <si>
    <t xml:space="preserve">https://instasure.ca/guides/visitor-insurance-calgary/</t>
  </si>
  <si>
    <t xml:space="preserve">visitor insurance calgary</t>
  </si>
  <si>
    <t xml:space="preserve">super visa parents calgary; walk-in clinic for visitors calgary; alberta health services non-resident rates; visitor insurance skiing injury alberta</t>
  </si>
  <si>
    <t xml:space="preserve">City: Calgary, AB</t>
  </si>
  <si>
    <t xml:space="preserve">Visitor Insurance Calgary: Guide for Visiting Parents</t>
  </si>
  <si>
    <t xml:space="preserve">Visitor insurance in Calgary: where visiting parents get care, how AHS bills non-residents, activity exclusions and Super Visa tips. Read the guide.</t>
  </si>
  <si>
    <t xml:space="preserve">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</si>
  <si>
    <t xml:space="preserve">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</si>
  <si>
    <t xml:space="preserve">Calgary care table (emergency departments, urgent care centres, clinics seeing uninsured patients, billing method) verified on the review date, plus Alberta non-resident rate references and an activity-exclusion checklist for mountain trips.</t>
  </si>
  <si>
    <t xml:space="preserve">/super-visa-insurance/alberta/calgary/; /travel-insurance/visitors-to-canada/; /insurance/alberta/calgary/; /guides/super-visa-insurance-filipino-parents/</t>
  </si>
  <si>
    <t xml:space="preserve">Instant visitor insurance estimate with Calgary pre-filled (/super-visa-insurance/alberta/calgary/)</t>
  </si>
  <si>
    <t xml:space="preserve">Keyword research shows no competitor for 'super visa insurance calgary'; no local visitor-care guide was seen.</t>
  </si>
  <si>
    <t xml:space="preserve">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</si>
  <si>
    <t xml:space="preserve">Verify AHS non-resident billing and each clinic's policy directly with dates; activity exclusions vary by wording, so describe them as typical. Languages only where an active advisor speaks them.</t>
  </si>
  <si>
    <t xml:space="preserve">Visitor and Super Visa Insurance in Edmonton: A Local Guide for Families</t>
  </si>
  <si>
    <t xml:space="preserve">https://instasure.ca/guides/visitor-insurance-edmonton/</t>
  </si>
  <si>
    <t xml:space="preserve">visitor insurance edmonton</t>
  </si>
  <si>
    <t xml:space="preserve">super visa parents edmonton; walk-in clinic for visitors edmonton; edmonton er cost for visitors; visitor insurance slip and fall winter</t>
  </si>
  <si>
    <t xml:space="preserve">City: Edmonton, AB</t>
  </si>
  <si>
    <t xml:space="preserve">Visitor Insurance Edmonton: Guide for Visiting Parents</t>
  </si>
  <si>
    <t xml:space="preserve">Visitor insurance in Edmonton: where visiting parents get care, how AHS bills non-residents, winter injury claims and Super Visa tips. Read the guide.</t>
  </si>
  <si>
    <t xml:space="preserve">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</si>
  <si>
    <t xml:space="preserve">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</si>
  <si>
    <t xml:space="preserve">Edmonton care table verified on the review date, plus a worked winter-injury claim example priced with AHS non-resident rates.</t>
  </si>
  <si>
    <t xml:space="preserve">/super-visa-insurance/alberta/edmonton/; /travel-insurance/visitors-to-canada/; /insurance/alberta/edmonton/; /guides/super-visa-insurance-parents-from-india/</t>
  </si>
  <si>
    <t xml:space="preserve">Instant visitor insurance estimate with Edmonton pre-filled (/super-visa-insurance/alberta/edmonton/)</t>
  </si>
  <si>
    <t xml:space="preserve">Keyword research shows no competitor for 'super visa insurance edmonton'; no local visitor-care guide was seen.</t>
  </si>
  <si>
    <t xml:space="preserve">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</si>
  <si>
    <t xml:space="preserve">Verify AHS rates and clinic billing directly with dates; label the worked example as illustrative. Languages only where an active advisor speaks them.</t>
  </si>
  <si>
    <t xml:space="preserve">Visitor and Super Visa Insurance in Mississauga: A Local Guide for Families</t>
  </si>
  <si>
    <t xml:space="preserve">https://instasure.ca/guides/visitor-insurance-mississauga/</t>
  </si>
  <si>
    <t xml:space="preserve">visitor insurance mississauga</t>
  </si>
  <si>
    <t xml:space="preserve">super visa parents mississauga; walk-in clinic for visitors mississauga; trillium health partners visitor cost; visitor medical insurance mississauga urdu</t>
  </si>
  <si>
    <t xml:space="preserve">City: Mississauga, ON</t>
  </si>
  <si>
    <t xml:space="preserve">Visitor Insurance Mississauga: Guide for Visiting Parents</t>
  </si>
  <si>
    <t xml:space="preserve">Visitor insurance in Mississauga: where visiting parents get care, how local hospitals bill non-residents and Super Visa tips. Read the local guide.</t>
  </si>
  <si>
    <t xml:space="preserve">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</si>
  <si>
    <t xml:space="preserve">Do Mississauga walk-in clinics see visitors without OHIP? | How do Trillium Health Partners hospitals bill visitors? | Do parents on a six-month visit need a Super Visa policy? | Will visitor insurance pay a Mississauga clinic directly? | Is there an advisor who speaks Urdu?</t>
  </si>
  <si>
    <t xml:space="preserve">Mississauga care table (hospital sites, urgent care, clinics seeing uninsured patients, billing method) verified by phone on the review date.</t>
  </si>
  <si>
    <t xml:space="preserve">/super-visa-insurance/ontario/mississauga/; /travel-insurance/visitors-to-canada/; /insurance/ontario/mississauga/; /guides/super-visa-insurance-parents-from-pakistan/</t>
  </si>
  <si>
    <t xml:space="preserve">Instant visitor insurance estimate with Mississauga pre-filled (/super-visa-insurance/ontario/mississauga/)</t>
  </si>
  <si>
    <t xml:space="preserve">Keyword research shows no competitor for 'super visa insurance mississauga'; no local visitor-care guide was seen.</t>
  </si>
  <si>
    <t xml:space="preserve">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</si>
  <si>
    <t xml:space="preserve">Verify hospital and clinic billing policies directly with dates; offer each language only if an active advisor speaks it.</t>
  </si>
  <si>
    <t xml:space="preserve">Visitor and Super Visa Insurance in Winnipeg: A Local Guide for Families</t>
  </si>
  <si>
    <t xml:space="preserve">https://instasure.ca/guides/visitor-insurance-winnipeg/</t>
  </si>
  <si>
    <t xml:space="preserve">visitor insurance winnipeg</t>
  </si>
  <si>
    <t xml:space="preserve">super visa parents winnipeg; walk-in clinic for visitors winnipeg; manitoba non-resident hospital rates; visitor medical insurance manitoba tagalog</t>
  </si>
  <si>
    <t xml:space="preserve">City: Winnipeg, MB</t>
  </si>
  <si>
    <t xml:space="preserve">Visitor Insurance Winnipeg: Guide for Visiting Parents</t>
  </si>
  <si>
    <t xml:space="preserve">Visitor insurance in Winnipeg: where visiting parents get care, how Manitoba hospitals bill non-residents and Super Visa tips. Read the local guide.</t>
  </si>
  <si>
    <t xml:space="preserve">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</si>
  <si>
    <t xml:space="preserve">Do Winnipeg walk-in clinics see visitors without Manitoba Health coverage? | How do Winnipeg hospitals bill uninsured visitors? | Is visitor insurance required for parents staying in Winnipeg? | Does visitor insurance cover cold-related injuries? | Is there an advisor who speaks Tagalog?</t>
  </si>
  <si>
    <t xml:space="preserve">Winnipeg care table verified on the review date, plus Manitoba non-resident rate references and a cold-weather emergency checklist for visiting parents.</t>
  </si>
  <si>
    <t xml:space="preserve">/super-visa-insurance/manitoba/winnipeg/; /travel-insurance/visitors-to-canada/; /insurance/manitoba/winnipeg/; /guides/super-visa-insurance-filipino-parents/</t>
  </si>
  <si>
    <t xml:space="preserve">Instant visitor insurance estimate with Winnipeg pre-filled (/super-visa-insurance/manitoba/winnipeg/)</t>
  </si>
  <si>
    <t xml:space="preserve">Keyword research shows no competitor for 'super visa insurance winnipeg', and PolicyAdvisor mentions Winnipeg only in body copy; no local visitor-care guide was seen.</t>
  </si>
  <si>
    <t xml:space="preserve">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</si>
  <si>
    <t xml:space="preserve">Verify Manitoba's non-resident billing and each clinic's policy directly with dates; offer Tagalog or Punjabi help only if an active advisor speaks the language.</t>
  </si>
  <si>
    <t xml:space="preserve">Health Insurance for Work Permit Holders in Canada: Gaps and Options</t>
  </si>
  <si>
    <t xml:space="preserve">https://instasure.ca/guides/health-insurance-work-permit-holders-canada/</t>
  </si>
  <si>
    <t xml:space="preserve">health insurance for work permit holders canada</t>
  </si>
  <si>
    <t xml:space="preserve">do foreign workers need travel insurance; temporary foreign worker health insurance; work permit provincial health coverage; extended health insurance for foreign workers; pgwp health insurance</t>
  </si>
  <si>
    <t xml:space="preserve">Health Insurance for Work Permit Holders in Canada</t>
  </si>
  <si>
    <t xml:space="preserve">Are work permit holders covered by provincial health plans? Rules by province, employer duties, gaps between permits and private options. Read the guide.</t>
  </si>
  <si>
    <t xml:space="preserve">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</si>
  <si>
    <t xml:space="preserve">Do temporary foreign workers get OHIP? | Must employers provide health insurance to temporary foreign workers? | Is a PGWP holder covered by the provincial plan? | What happens to coverage when a work permit expires? | Can work permit holders buy extended health and dental?</t>
  </si>
  <si>
    <t xml:space="preserve">Eligibility matrix by province and permit type (employer-specific, open, PGWP, spousal) with the minimum permit length each plan requires, sourced and dated.</t>
  </si>
  <si>
    <t xml:space="preserve">/travel-insurance/visitors-to-canada/; /health-dental-insurance/; /life-insurance/newcomers/; /guides/health-insurance-waiting-period-new-immigrants/</t>
  </si>
  <si>
    <t xml:space="preserve">Request a call with a licensed advisor about newcomer health coverage (/health-dental-insurance/)</t>
  </si>
  <si>
    <t xml:space="preserve">PolicyAdvisor covers this ('Do Foreign Workers In Canada Need Travel Insurance', 'Extended Health Insurance for Foreign Workers in Canada') but is licensed only in ON, BC, AB and MB; no province-by-permit matrix was seen.</t>
  </si>
  <si>
    <t xml:space="preserve">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</si>
  <si>
    <t xml:space="preserve">Verify each province's eligibility rules and ESDC's employer requirements for temporary foreign workers before publishing; no immigration advice.</t>
  </si>
  <si>
    <t xml:space="preserve">Super Visa Insurance for Filipino Parents and Grandparents</t>
  </si>
  <si>
    <t xml:space="preserve">https://instasure.ca/guides/super-visa-insurance-filipino-parents/</t>
  </si>
  <si>
    <t xml:space="preserve">super visa insurance for filipino parents</t>
  </si>
  <si>
    <t xml:space="preserve">super visa philippines; filipino parents visiting canada insurance; super visa insurance tagalog; visitor insurance philippines to canada</t>
  </si>
  <si>
    <t xml:space="preserve">Super Visa Insurance for Filipino Parents: A Guide</t>
  </si>
  <si>
    <t xml:space="preserve">Super Visa insurance for parents and grandparents from the Philippines: IRCC rules, cost by age and claims, with Tagalog help where available. Read on.</t>
  </si>
  <si>
    <t xml:space="preserve">Super Visa insurance for Filipino parents: the essentials | Super Visa or visitor visa for a shorter stay | Cost by age and ways to manage it | Medical records and the questionnaire | Claims in Canada and refunds on return | Help in Tagalog</t>
  </si>
  <si>
    <t xml:space="preserve">Can grandparents from the Philippines get a Super Visa? | Is visitor insurance enough for a three-month visit? | Can we pay for the policy in instalments? | Do medical records need to be in English? | What if a parent gets sick before the policy starts?</t>
  </si>
  <si>
    <t xml:space="preserve">Bilingual (English and Tagalog) family checklist plus a short visa-path comparison for Filipino families choosing between a Super Visa and a visitor visa.</t>
  </si>
  <si>
    <t xml:space="preserve">/super-visa-insurance/; /super-visa-insurance/manitoba/winnipeg/; /guides/super-visa-vs-visitor-visa-parents/; /guides/super-visa-insurance-monthly-payments/</t>
  </si>
  <si>
    <t xml:space="preserve">Request a specialist call: Super Visa desk, Tagalog where available (/super-visa-insurance/)</t>
  </si>
  <si>
    <t xml:space="preserve">No competitor coverage seen for Filipino families; the research lists Tagalog among the missing newcomer languages.</t>
  </si>
  <si>
    <t xml:space="preserve">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</si>
  <si>
    <t xml:space="preserve">Offer Tagalog help only if an active advisor speaks it; verify IRCC rules and label all costs as dated model estimates.</t>
  </si>
  <si>
    <t xml:space="preserve">Super Visa Insurance for Parents From China: Super Visa or 10-Year Visa?</t>
  </si>
  <si>
    <t xml:space="preserve">https://instasure.ca/guides/super-visa-insurance-parents-from-china/</t>
  </si>
  <si>
    <t xml:space="preserve">super visa insurance for parents from china</t>
  </si>
  <si>
    <t xml:space="preserve">super visa china; chinese parents visiting canada insurance; super visa insurance mandarin; visitor insurance for parents from china; 10 year visa vs super visa china</t>
  </si>
  <si>
    <t xml:space="preserve">Super Visa Insurance for Parents From China: Guide</t>
  </si>
  <si>
    <t xml:space="preserve">Parents from China: compare the Super Visa with a 10-year visitor visa, insurance rules for each, cost by age and claims. Read the guide and compare.</t>
  </si>
  <si>
    <t xml:space="preserve">Super Visa insurance for parents from China: the short answer | Super Visa or 10-year multiple-entry visa | Insurance for each path: required vs recommended | Medical records and the questionnaire | Claims, refunds and returning to China | Help in Mandarin and Cantonese</t>
  </si>
  <si>
    <t xml:space="preserve">Do parents from China need insurance for a 10-year visitor visa? | Which suits long stays better, the Super Visa or the 10-year visa? | Can visitor insurance be bought trip by trip? | Do Chinese medical records need translation? | Can family in China pay for the policy?</t>
  </si>
  <si>
    <t xml:space="preserve">Comparison of the two visa paths for families from China with a worked annual insurance cost for each (dated model estimates), published in English and Simplified Chinese.</t>
  </si>
  <si>
    <t xml:space="preserve">/super-visa-insurance/; /super-visa-insurance/british-columbia/richmond/; /super-visa-insurance/ontario/markham/; /guides/super-visa-vs-visitor-visa-parents/; /travel-insurance/visitors-to-canada/</t>
  </si>
  <si>
    <t xml:space="preserve">Request a specialist call: Super Visa desk, Mandarin or Cantonese where available (/super-visa-insurance/)</t>
  </si>
  <si>
    <t xml:space="preserve">Sun Life has some Chinese-language content, but no competitor seen compares the Super Visa and the 10-year visa for families from China.</t>
  </si>
  <si>
    <t xml:space="preserve">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</si>
  <si>
    <t xml:space="preserve">Offer Mandarin or Cantonese help only if an active advisor speaks it; verify visa terms on canada.ca, label costs as model estimates and avoid immigration advice.</t>
  </si>
  <si>
    <t xml:space="preserve">Super Visa for Parents From Pakistan: What Families Need to Know About Insurance</t>
  </si>
  <si>
    <t xml:space="preserve">https://instasure.ca/guides/super-visa-insurance-parents-from-pakistan/</t>
  </si>
  <si>
    <t xml:space="preserve">super visa for parents from pakistan</t>
  </si>
  <si>
    <t xml:space="preserve">super visa insurance pakistan; pakistani parents visiting canada insurance; super visa insurance urdu; super visa processing pakistan</t>
  </si>
  <si>
    <t xml:space="preserve">Super Visa for Parents From Pakistan: Insurance Guide</t>
  </si>
  <si>
    <t xml:space="preserve">Super Visa for parents from Pakistan: insurance rules, buying from Canada, records, payments and refunds, with Urdu help where available. Read the guide.</t>
  </si>
  <si>
    <t xml:space="preserve">Super Visa for parents from Pakistan: what insurance is required | Buying and paying for the policy from Canada | Medical records and the questionnaire | Timing insurance with visa processing | Refunds if the visa is refused | Help in Urdu</t>
  </si>
  <si>
    <t xml:space="preserve">Can Super Visa insurance be bought from Pakistan? | Do medical records in Urdu need translation? | When should the policy start? | What if my parents' visa is refused? | Can both parents be on one policy?</t>
  </si>
  <si>
    <t xml:space="preserve">Step-by-step timeline from invitation letter to arrival for families sponsoring parents from Pakistan, with the insurance action at each stage, published in English and Urdu.</t>
  </si>
  <si>
    <t xml:space="preserve">/super-visa-insurance/; /super-visa-insurance/ontario/mississauga/; /guides/super-visa-insurance-refund-rules/; /guides/super-visa-insurance-for-couples/</t>
  </si>
  <si>
    <t xml:space="preserve">Request a specialist call: Super Visa desk, Urdu where available (/super-visa-insurance/)</t>
  </si>
  <si>
    <t xml:space="preserve">No competitor coverage seen for Pakistan-specific Super Visa content; the research flags multilingual newcomer content as an open gap.</t>
  </si>
  <si>
    <t xml:space="preserve">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</si>
  <si>
    <t xml:space="preserve">Offer Urdu help only if an active advisor speaks it; verify processing and document rules with IRCC and avoid immigration advice.</t>
  </si>
  <si>
    <t xml:space="preserve">Super Visa Insurance Proof: The Documents IRCC Asks For</t>
  </si>
  <si>
    <t xml:space="preserve">https://instasure.ca/guides/super-visa-insurance-documents-proof-ircc/</t>
  </si>
  <si>
    <t xml:space="preserve">super visa insurance proof</t>
  </si>
  <si>
    <t xml:space="preserve">super visa insurance confirmation letter; proof of medical insurance super visa; super visa insurance certificate; super visa application insurance documents; super visa monthly plan proof of payment</t>
  </si>
  <si>
    <t xml:space="preserve">Super Visa Insurance Proof: What IRCC Accepts and Why</t>
  </si>
  <si>
    <t xml:space="preserve">What proof of Super Visa insurance IRCC expects: policy confirmation, coverage dates, payment proof and the mistakes that delay files. Check yours first.</t>
  </si>
  <si>
    <t xml:space="preserve">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</si>
  <si>
    <t xml:space="preserve">Does IRCC need the full policy or just a confirmation letter? | Can the policy start date be after the application date? | Is a monthly payment plan accepted as proof? | What if my parents' arrival date changes after we buy? | Do we need a new policy if processing takes months?</t>
  </si>
  <si>
    <t xml:space="preserve">Annotated sample confirmation document (clearly marked as a fictional sample) showing each field to check against IRCC's wording, plus a downloadable pre-upload checklist.</t>
  </si>
  <si>
    <t xml:space="preserve">/super-visa-insurance/; /guides/super-visa-insurance-requirements-cost/; /guides/super-visa-insurance-monthly-payments/; /guides/super-visa-insurance-refund-rules/</t>
  </si>
  <si>
    <t xml:space="preserve">Instant Super Visa insurance estimate (/quote/super-visa-insurance/)</t>
  </si>
  <si>
    <t xml:space="preserve">PolicyAdvisor, HelloSafe and RBC Insurance explain the coverage requirements, but no competitor seen shows what the proof document must contain or how start dates should line up with processing times.</t>
  </si>
  <si>
    <t xml:space="preserve">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</si>
  <si>
    <t xml:space="preserve">Copy document requirements only from IRCC's current checklist with the date checked; mark the sample as fictional so it can't be mistaken for a real record. No immigration advice; refer applicants to IRCC or a licensed RCIC.</t>
  </si>
  <si>
    <t xml:space="preserve">Super Visa Insurance Claim Denied? Common Reasons and How to Appeal</t>
  </si>
  <si>
    <t xml:space="preserve">https://instasure.ca/guides/super-visa-insurance-claim-denied/</t>
  </si>
  <si>
    <t xml:space="preserve">super visa insurance claim denied</t>
  </si>
  <si>
    <t xml:space="preserve">visitor insurance claim rejected; super visa pre-existing condition claim denied; appeal travel medical claim canada; olhi travel insurance complaint; super visa claim medical records</t>
  </si>
  <si>
    <t xml:space="preserve">Super Visa Insurance Claim Denied? Reasons and Appeals</t>
  </si>
  <si>
    <t xml:space="preserve">Why Super Visa and visitor insurance claims get denied, from stability clauses to missing records, and how to appeal via OLHI. Learn the steps.</t>
  </si>
  <si>
    <t xml:space="preserve">Why are Super Visa insurance claims denied? | Pre-existing condition and stability clause denials | Questionnaire errors and medical records from abroad | Not calling the assistance line | How to appeal: internal review, then OLHI | How to avoid a denial before you buy</t>
  </si>
  <si>
    <t xml:space="preserve">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</si>
  <si>
    <t xml:space="preserve">Denial-reason table mapping each common reason to the clause involved, the evidence that helps an appeal and the prevention step, plus an appeal letter template.</t>
  </si>
  <si>
    <t xml:space="preserve">/super-visa-insurance/; /guides/super-visa-insurance-pre-existing-conditions/; /guides/super-visa-visitor-insurance-claim-how-to/; /guides/travel-insurance-claim-denied/</t>
  </si>
  <si>
    <t xml:space="preserve">No competitor coverage seen for Super Visa claim denials or appeals.</t>
  </si>
  <si>
    <t xml:space="preserve">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</si>
  <si>
    <t xml:space="preserve">Do not quote denial rates without a published source; verify that OLHI's mandate covers the insurer (foreign insurers may not be members). Do not imply advisors act as claims advocates unless they do.</t>
  </si>
  <si>
    <t xml:space="preserve">Super Visa Insurance Companies in Canada: How We Review Plans</t>
  </si>
  <si>
    <t xml:space="preserve">https://instasure.ca/guides/super-visa-insurance-companies-canada/</t>
  </si>
  <si>
    <t xml:space="preserve">super visa insurance companies</t>
  </si>
  <si>
    <t xml:space="preserve">best super visa insurance; super visa insurance providers canada; super visa insurance company reviews; super visa insurer comparison</t>
  </si>
  <si>
    <t xml:space="preserve">Super Visa Insurance Companies: Our Review Method</t>
  </si>
  <si>
    <t xml:space="preserve">Super Visa insurance companies in Canada reviewed against a published method: IRCC fit, stability rules, refunds, claims and price. See the scorecard.</t>
  </si>
  <si>
    <t xml:space="preserve">Super Visa insurance companies: how this review works | Our scoring method and weights | Scorecard: insurers that write Super Visa plans | Where plans differ most: stability, refunds, age limits | Which plan fits which family, not a single winner | How often we update this review</t>
  </si>
  <si>
    <t xml:space="preserve">Which companies sell Super Visa insurance in Canada? | How did you score each insurer? | Do insurers pay to be included? | Why isn't one company ranked best? | How often is the scorecard updated?</t>
  </si>
  <si>
    <t xml:space="preserve">Published scoring methodology plus a dated scorecard of insurers writing Super Visa plans, scored on IRCC compliance, stability definitions, refund terms, age limits, claims handling and price for a fixed set of sample profiles.</t>
  </si>
  <si>
    <t xml:space="preserve">/super-visa-insurance/; /editorial-guidelines/; /how-we-make-money/; /guides/compare-super-visa-insurance-checklist/</t>
  </si>
  <si>
    <t xml:space="preserve">PolicyAdvisor publishes 'Best Travel Insurance for Visitors to Canada (2026)' and single-insurer travel reviews (Manulife, Sun Life, Allianz, TuGo, GMS, Travelance, 21st Century, Destination Canada) without a visible scoring method; no Super Visa scorecard with a method was seen.</t>
  </si>
  <si>
    <t xml:space="preserve">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</si>
  <si>
    <t xml:space="preserve">Needs a published review method before going live; no 'best' superlative in the title or meta, and disclose compensation from any reviewed insurer. Carrier names on money pages stay hidden until carriers_confirmed is on.</t>
  </si>
  <si>
    <t xml:space="preserve">Does Visitor Insurance Cover Pregnancy in Canada?</t>
  </si>
  <si>
    <t xml:space="preserve">https://instasure.ca/guides/visitor-insurance-pregnancy-canada/</t>
  </si>
  <si>
    <t xml:space="preserve">does visitor insurance cover pregnancy</t>
  </si>
  <si>
    <t xml:space="preserve">visitor insurance pregnancy canada; pregnant visitor to canada insurance; visitor insurance childbirth canada; cost of giving birth in canada as a visitor; super visa insurance pregnancy</t>
  </si>
  <si>
    <t xml:space="preserve">Does visitor insurance cover pregnancy in Canada? What's usually excluded, the limited complication cover some plans offer and delivery costs. Read first.</t>
  </si>
  <si>
    <t xml:space="preserve">Does visitor insurance cover pregnancy? | Typical pregnancy exclusions and time limits | Complication cover: what some plans include | What childbirth costs a non-resident | Newborn coverage: why babies are usually excluded | Options and questions to ask before travelling</t>
  </si>
  <si>
    <t xml:space="preserve">Is childbirth covered by visitor insurance in Canada? | Can a pregnant visitor get emergency coverage? | Is a baby born in Canada to a visitor covered by the provincial plan? | How much does it cost a visitor to give birth in Canada? | Does Super Visa insurance cover pregnancy?</t>
  </si>
  <si>
    <t xml:space="preserve">Table of typical pregnancy-related terms across current visitor policy wordings (exclusion cut-offs, complication cover, newborn cover) with sourced non-resident obstetric charges.</t>
  </si>
  <si>
    <t xml:space="preserve">/travel-insurance/visitors-to-canada/; /guides/hospital-costs-for-visitors-to-canada/; /guides/visitors-to-canada-insurance-cost/</t>
  </si>
  <si>
    <t xml:space="preserve">Request a call with a licensed advisor about visitor coverage (/travel-insurance/visitors-to-canada/)</t>
  </si>
  <si>
    <t xml:space="preserve">No competitor coverage seen in the research for pregnancy and visitor insurance.</t>
  </si>
  <si>
    <t xml:space="preserve">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</si>
  <si>
    <t xml:space="preserve">Sensitive health topic: no medical advice. Source any cost to a hospital fee schedule, verify exclusion cut-offs in current wordings and don't say a plan covers childbirth unless the wording does.</t>
  </si>
  <si>
    <t xml:space="preserve">Super Visa Insurance and Side Trips to the US or the Home Country</t>
  </si>
  <si>
    <t xml:space="preserve">https://instasure.ca/guides/super-visa-insurance-side-trips/</t>
  </si>
  <si>
    <t xml:space="preserve">super visa insurance side trip</t>
  </si>
  <si>
    <t xml:space="preserve">super visa insurance travel to usa; does super visa insurance cover trips outside canada; super visa parents visit home country insurance; pause super visa insurance</t>
  </si>
  <si>
    <t xml:space="preserve">Super Visa Insurance Side Trips: US and Home Visits</t>
  </si>
  <si>
    <t xml:space="preserve">Does Super Visa insurance cover side trips to the US or a visit home? See how side-trip benefits, US limits and suspensions work before parents travel.</t>
  </si>
  <si>
    <t xml:space="preserve">Does Super Visa insurance cover side trips? | Side-trip benefits: typical day limits and exclusions | Travelling to the US: why separate coverage may be needed | Going home mid-stay: suspend, refund or keep the policy? | Re-entering Canada: what to check | Checklist before a side trip</t>
  </si>
  <si>
    <t xml:space="preserve">Are parents covered on a trip to the US with Super Visa insurance? | Can we pause Super Visa insurance while parents visit home? | Does a side trip affect the visa's insurance requirement? | Are trips to the home country ever covered? | Do we need to tell the insurer before a side trip?</t>
  </si>
  <si>
    <t xml:space="preserve">Side-trip decision tree (US trip, home-country visit, third country) showing whether to keep, suspend or top up coverage, with the policy clause to check at each branch.</t>
  </si>
  <si>
    <t xml:space="preserve">/super-visa-insurance/; /guides/what-does-super-visa-insurance-cover/; /guides/travel-insurance-for-usa-from-canada/; /travel-insurance/</t>
  </si>
  <si>
    <t xml:space="preserve">No competitor coverage seen; Super Visa guides in the research mention side trips only in exclusion lists.</t>
  </si>
  <si>
    <t xml:space="preserve">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</si>
  <si>
    <t xml:space="preserve">Side-trip terms differ widely; describe them as typical and verify against current wordings. Suspending coverage may affect the IRCC requirement, so tell readers to confirm with IRCC before cancelling or suspending.</t>
  </si>
  <si>
    <t xml:space="preserve">Super Visa Income Requirement and Invitation Letter: A Sponsor's Guide</t>
  </si>
  <si>
    <t xml:space="preserve">https://instasure.ca/guides/super-visa-income-requirement-invitation-letter/</t>
  </si>
  <si>
    <t xml:space="preserve">super visa income requirement</t>
  </si>
  <si>
    <t xml:space="preserve">super visa invitation letter; super visa minimum necessary income; super visa lico table; super visa letter of invitation requirements; super visa requirements for children</t>
  </si>
  <si>
    <t xml:space="preserve">Super Visa Income Requirement &amp; Invitation Letter Guide</t>
  </si>
  <si>
    <t xml:space="preserve">What a child or grandchild must prove for a Super Visa: the income threshold, invitation letter and where insurance fits. Use our sponsor checklist.</t>
  </si>
  <si>
    <t xml:space="preserve">What does the Super Visa income requirement mean? | Who counts in the household size | How to prove income: the documents IRCC lists | What the letter of invitation must include | Where medical insurance fits in the file | Sponsor's checklist before submitting | Next steps</t>
  </si>
  <si>
    <t xml:space="preserve">What is the minimum income for a Super Visa? | Can a spouse's income be combined for the Super Visa? | Does the invitation letter need to mention medical insurance? | Can a grandchild invite grandparents? | Is the income figure updated every year?</t>
  </si>
  <si>
    <t xml:space="preserve">Sponsor's checklist (income documents, household-size count, invitation-letter elements, insurance proof) and a table that reproduces IRCC's current income figures by household size with the date copied, refreshed when IRCC updates them.</t>
  </si>
  <si>
    <t xml:space="preserve">/super-visa-insurance/; /guides/super-visa-insurance-requirements-cost/; /guides/super-visa-insurance-documents-proof-ircc/; /life-insurance/newcomers/</t>
  </si>
  <si>
    <t xml:space="preserve">Super Visa owners (PolicyAdvisor, HelloSafe, bestquotetravelinsurance.ca) focus on the insurance and leave the sponsor-side income and invitation steps to IRCC; no insurance site seen ties both into one checklist.</t>
  </si>
  <si>
    <t xml:space="preserve">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</si>
  <si>
    <t xml:space="preserve">Copy income thresholds only from IRCC's current table with the date; never compute or promise eligibility. State that instasure.ca advisors give insurance advice only and immigration questions go to IRCC, a licensed RCIC or a lawyer.</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</si>
</sst>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b val="true"/>
      <sz val="16"/>
      <color rgb="FF0A1E33"/>
      <name val="Arial"/>
      <family val="0"/>
      <charset val="1"/>
    </font>
    <font>
      <sz val="10"/>
      <name val="Arial"/>
      <family val="0"/>
      <charset val="1"/>
    </font>
    <font>
      <b val="true"/>
      <sz val="11"/>
      <color rgb="FF006C46"/>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0"/>
      <color rgb="FF008000"/>
      <name val="Arial"/>
      <family val="0"/>
      <charset val="1"/>
    </font>
  </fonts>
  <fills count="5">
    <fill>
      <patternFill patternType="none"/>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diagonalUp="false" diagonalDown="false">
      <left/>
      <right/>
      <top/>
      <bottom/>
      <diagonal/>
    </border>
    <border diagonalUp="false" diagonalDown="false">
      <left/>
      <right/>
      <top style="thin">
        <color rgb="FFD0D7DE"/>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5" fillId="2" borderId="0" xfId="0" applyFont="true" applyBorder="false" applyAlignment="true" applyProtection="false">
      <alignment horizontal="general" vertical="top" textRotation="0" wrapText="false" indent="0" shrinkToFit="false"/>
      <protection locked="true" hidden="false"/>
    </xf>
    <xf numFmtId="165" fontId="11"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5.xml"/><Relationship Id="rId3"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1E33"/>
    <pageSetUpPr fitToPage="false"/>
  </sheetPr>
  <dimension ref="A1:C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90"/>
  </cols>
  <sheetData>
    <row r="1" customFormat="false" ht="35.8" hidden="false" customHeight="false" outlineLevel="0" collapsed="false">
      <c r="A1" s="1" t="s">
        <v>0</v>
      </c>
      <c r="B1" s="2"/>
      <c r="C1" s="2"/>
    </row>
    <row r="2" customFormat="false" ht="46.2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2"/>
      <c r="C4" s="2"/>
    </row>
    <row r="5" customFormat="false" ht="15" hidden="false" customHeight="false" outlineLevel="0" collapsed="false">
      <c r="A5" s="3" t="s">
        <v>3</v>
      </c>
      <c r="B5" s="5" t="n">
        <f aca="false">COUNTA(Pages!$B$2:$B$824)</f>
        <v>823</v>
      </c>
      <c r="C5" s="3" t="s">
        <v>4</v>
      </c>
    </row>
    <row r="6" customFormat="false" ht="15" hidden="false" customHeight="false" outlineLevel="0" collapsed="false">
      <c r="A6" s="3" t="s">
        <v>5</v>
      </c>
      <c r="B6" s="5" t="n">
        <f aca="false">COUNTIF(Pages!$I$2:$I$824,"Yes")</f>
        <v>654</v>
      </c>
      <c r="C6" s="3" t="s">
        <v>6</v>
      </c>
    </row>
    <row r="7" customFormat="false" ht="15" hidden="false" customHeight="false" outlineLevel="0" collapsed="false">
      <c r="A7" s="3" t="s">
        <v>7</v>
      </c>
      <c r="B7" s="5" t="n">
        <f aca="false">COUNTIF(Pages!$I$2:$I$824,"No")</f>
        <v>169</v>
      </c>
      <c r="C7" s="3" t="s">
        <v>8</v>
      </c>
    </row>
    <row r="8" customFormat="false" ht="15" hidden="false" customHeight="false" outlineLevel="0" collapsed="false">
      <c r="A8" s="3" t="s">
        <v>9</v>
      </c>
      <c r="B8" s="5" t="n">
        <f aca="false">COUNTA('Nationwide KWs'!$A$2:$A$158)+COUNTA('Provincial KWs'!$A$2:$A$137)+COUNTA('City KWs'!$A$2:$A$419)</f>
        <v>711</v>
      </c>
      <c r="C8" s="3" t="s">
        <v>10</v>
      </c>
    </row>
    <row r="9" customFormat="false" ht="15" hidden="false" customHeight="false" outlineLevel="0" collapsed="false">
      <c r="A9" s="3" t="s">
        <v>11</v>
      </c>
      <c r="B9" s="5" t="n">
        <f aca="false">COUNTA('Nationwide KWs'!$A$2:$A$158)</f>
        <v>157</v>
      </c>
      <c r="C9" s="3" t="s">
        <v>12</v>
      </c>
    </row>
    <row r="10" customFormat="false" ht="15" hidden="false" customHeight="false" outlineLevel="0" collapsed="false">
      <c r="A10" s="3" t="s">
        <v>13</v>
      </c>
      <c r="B10" s="5" t="n">
        <f aca="false">COUNTA('Provincial KWs'!$A$2:$A$137)</f>
        <v>136</v>
      </c>
      <c r="C10" s="3" t="s">
        <v>14</v>
      </c>
    </row>
    <row r="11" customFormat="false" ht="15" hidden="false" customHeight="false" outlineLevel="0" collapsed="false">
      <c r="A11" s="3" t="s">
        <v>15</v>
      </c>
      <c r="B11" s="5" t="n">
        <f aca="false">COUNTA('City KWs'!$A$2:$A$419)</f>
        <v>418</v>
      </c>
      <c r="C11" s="3" t="s">
        <v>16</v>
      </c>
    </row>
    <row r="12" customFormat="false" ht="15" hidden="false" customHeight="false" outlineLevel="0" collapsed="false">
      <c r="A12" s="3" t="s">
        <v>17</v>
      </c>
      <c r="B12" s="5" t="n">
        <f aca="false">SUM('Nationwide KWs'!$D$2:$D$158)+SUM('Provincial KWs'!$E$2:$E$137)+SUM('City KWs'!$F$2:$F$419)</f>
        <v>765624</v>
      </c>
      <c r="C12" s="3" t="s">
        <v>18</v>
      </c>
    </row>
    <row r="13" customFormat="false" ht="15" hidden="false" customHeight="false" outlineLevel="0" collapsed="false">
      <c r="A13" s="3" t="s">
        <v>19</v>
      </c>
      <c r="B13" s="5" t="n">
        <f aca="false">COUNTA('Page-Keyword Map'!$D$2:$D$668)</f>
        <v>667</v>
      </c>
      <c r="C13" s="3" t="s">
        <v>20</v>
      </c>
    </row>
    <row r="14" customFormat="false" ht="15" hidden="false" customHeight="false" outlineLevel="0" collapsed="false">
      <c r="A14" s="3" t="s">
        <v>21</v>
      </c>
      <c r="B14" s="5" t="n">
        <f aca="false">COUNTA('Backlog (Unmapped)'!$A$2:$A$45)</f>
        <v>44</v>
      </c>
      <c r="C14" s="3" t="s">
        <v>22</v>
      </c>
    </row>
    <row r="15" customFormat="false" ht="15" hidden="false" customHeight="false" outlineLevel="0" collapsed="false">
      <c r="A15" s="3" t="s">
        <v>23</v>
      </c>
      <c r="B15" s="5" t="n">
        <f aca="false">COUNTIF('Blog Content Plan'!$B$2:$B$160,"&lt;&gt;Published")</f>
        <v>141</v>
      </c>
      <c r="C15" s="3" t="s">
        <v>24</v>
      </c>
    </row>
    <row r="16" customFormat="false" ht="15" hidden="false" customHeight="false" outlineLevel="0" collapsed="false">
      <c r="A16" s="3" t="s">
        <v>25</v>
      </c>
      <c r="B16" s="5" t="n">
        <f aca="false">COUNTIFS('Blog Content Plan'!$C$2:$C$160,1,'Blog Content Plan'!$B$2:$B$160,"&lt;&gt;Published")</f>
        <v>35</v>
      </c>
      <c r="C16" s="3" t="s">
        <v>26</v>
      </c>
    </row>
    <row r="17" customFormat="false" ht="15" hidden="false" customHeight="false" outlineLevel="0" collapsed="false">
      <c r="A17" s="3" t="s">
        <v>27</v>
      </c>
      <c r="B17" s="5" t="n">
        <f aca="false">COUNTIF('Blog Content Plan'!$B$2:$B$160,"Published")</f>
        <v>18</v>
      </c>
      <c r="C17" s="3" t="s">
        <v>28</v>
      </c>
    </row>
    <row r="18" customFormat="false" ht="15" hidden="false" customHeight="false" outlineLevel="0" collapsed="false">
      <c r="A18" s="2"/>
      <c r="B18" s="2"/>
      <c r="C18" s="2"/>
    </row>
    <row r="19" customFormat="false" ht="15" hidden="false" customHeight="false" outlineLevel="0" collapsed="false">
      <c r="A19" s="4" t="s">
        <v>29</v>
      </c>
      <c r="B19" s="2"/>
      <c r="C19" s="2"/>
    </row>
    <row r="20" customFormat="false" ht="15" hidden="false" customHeight="true" outlineLevel="0" collapsed="false">
      <c r="A20" s="6" t="s">
        <v>30</v>
      </c>
      <c r="B20" s="7" t="s">
        <v>31</v>
      </c>
      <c r="C20" s="7"/>
    </row>
    <row r="21" customFormat="false" ht="15" hidden="false" customHeight="true" outlineLevel="0" collapsed="false">
      <c r="A21" s="6" t="s">
        <v>32</v>
      </c>
      <c r="B21" s="7" t="s">
        <v>33</v>
      </c>
      <c r="C21" s="7"/>
    </row>
    <row r="22" customFormat="false" ht="15" hidden="false" customHeight="true" outlineLevel="0" collapsed="false">
      <c r="A22" s="6" t="s">
        <v>34</v>
      </c>
      <c r="B22" s="7" t="s">
        <v>35</v>
      </c>
      <c r="C22" s="7"/>
    </row>
    <row r="23" customFormat="false" ht="15" hidden="false" customHeight="true" outlineLevel="0" collapsed="false">
      <c r="A23" s="6" t="s">
        <v>36</v>
      </c>
      <c r="B23" s="7" t="s">
        <v>37</v>
      </c>
      <c r="C23" s="7"/>
    </row>
    <row r="24" customFormat="false" ht="15" hidden="false" customHeight="true" outlineLevel="0" collapsed="false">
      <c r="A24" s="6" t="s">
        <v>38</v>
      </c>
      <c r="B24" s="7" t="s">
        <v>39</v>
      </c>
      <c r="C24" s="7"/>
    </row>
    <row r="25" customFormat="false" ht="15" hidden="false" customHeight="true" outlineLevel="0" collapsed="false">
      <c r="A25" s="6" t="s">
        <v>40</v>
      </c>
      <c r="B25" s="7" t="s">
        <v>41</v>
      </c>
      <c r="C25" s="7"/>
    </row>
    <row r="26" customFormat="false" ht="15" hidden="false" customHeight="true" outlineLevel="0" collapsed="false">
      <c r="A26" s="6" t="s">
        <v>42</v>
      </c>
      <c r="B26" s="7" t="s">
        <v>43</v>
      </c>
      <c r="C26" s="7"/>
    </row>
    <row r="27" customFormat="false" ht="23.85" hidden="false" customHeight="true" outlineLevel="0" collapsed="false">
      <c r="A27" s="6" t="s">
        <v>44</v>
      </c>
      <c r="B27" s="7" t="s">
        <v>45</v>
      </c>
      <c r="C27" s="7"/>
    </row>
    <row r="28" customFormat="false" ht="15" hidden="false" customHeight="false" outlineLevel="0" collapsed="false">
      <c r="A28" s="2"/>
      <c r="B28" s="2"/>
      <c r="C28" s="2"/>
    </row>
    <row r="29" customFormat="false" ht="15" hidden="false" customHeight="false" outlineLevel="0" collapsed="false">
      <c r="A29" s="4" t="s">
        <v>46</v>
      </c>
      <c r="B29" s="2"/>
      <c r="C29" s="2"/>
    </row>
    <row r="30" customFormat="false" ht="15" hidden="false" customHeight="true" outlineLevel="0" collapsed="false">
      <c r="A30" s="8" t="s">
        <v>47</v>
      </c>
      <c r="B30" s="7" t="s">
        <v>48</v>
      </c>
      <c r="C30" s="7"/>
    </row>
    <row r="31" customFormat="false" ht="15" hidden="false" customHeight="true" outlineLevel="0" collapsed="false">
      <c r="A31" s="6" t="s">
        <v>49</v>
      </c>
      <c r="B31" s="7" t="s">
        <v>50</v>
      </c>
      <c r="C31" s="7"/>
    </row>
    <row r="32" customFormat="false" ht="23.85" hidden="false" customHeight="true" outlineLevel="0" collapsed="false">
      <c r="A32" s="6" t="s">
        <v>51</v>
      </c>
      <c r="B32" s="7" t="s">
        <v>52</v>
      </c>
      <c r="C32" s="7"/>
    </row>
    <row r="33" customFormat="false" ht="15" hidden="false" customHeight="true" outlineLevel="0" collapsed="false">
      <c r="A33" s="6" t="s">
        <v>53</v>
      </c>
      <c r="B33" s="7" t="s">
        <v>54</v>
      </c>
      <c r="C33" s="7"/>
    </row>
    <row r="34" customFormat="false" ht="15" hidden="false" customHeight="true" outlineLevel="0" collapsed="false">
      <c r="A34" s="6" t="s">
        <v>55</v>
      </c>
      <c r="B34" s="7" t="s">
        <v>56</v>
      </c>
      <c r="C34" s="7"/>
    </row>
    <row r="35" customFormat="false" ht="23.85" hidden="false" customHeight="true" outlineLevel="0" collapsed="false">
      <c r="A35" s="6" t="s">
        <v>57</v>
      </c>
      <c r="B35" s="7" t="s">
        <v>58</v>
      </c>
      <c r="C35" s="7"/>
    </row>
    <row r="36" customFormat="false" ht="23.85" hidden="false" customHeight="true" outlineLevel="0" collapsed="false">
      <c r="A36" s="6" t="s">
        <v>59</v>
      </c>
      <c r="B36" s="7" t="s">
        <v>60</v>
      </c>
      <c r="C36" s="7"/>
    </row>
    <row r="37" customFormat="false" ht="15" hidden="false" customHeight="true" outlineLevel="0" collapsed="false">
      <c r="A37" s="6" t="s">
        <v>61</v>
      </c>
      <c r="B37" s="7" t="s">
        <v>62</v>
      </c>
      <c r="C37" s="7"/>
    </row>
  </sheetData>
  <mergeCells count="16">
    <mergeCell ref="B20:C20"/>
    <mergeCell ref="B21:C21"/>
    <mergeCell ref="B22:C22"/>
    <mergeCell ref="B23:C23"/>
    <mergeCell ref="B24:C24"/>
    <mergeCell ref="B25:C25"/>
    <mergeCell ref="B26:C26"/>
    <mergeCell ref="B27:C27"/>
    <mergeCell ref="B30:C30"/>
    <mergeCell ref="B31:C31"/>
    <mergeCell ref="B32:C32"/>
    <mergeCell ref="B33:C33"/>
    <mergeCell ref="B34:C34"/>
    <mergeCell ref="B35:C35"/>
    <mergeCell ref="B36:C36"/>
    <mergeCell ref="B37:C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1E33"/>
    <pageSetUpPr fitToPage="false"/>
  </sheetPr>
  <dimension ref="A1:N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14" min="2" style="0" width="13"/>
  </cols>
  <sheetData>
    <row r="1" customFormat="false" ht="45" hidden="false" customHeight="true" outlineLevel="0" collapsed="false">
      <c r="A1" s="9" t="s">
        <v>63</v>
      </c>
      <c r="B1" s="9" t="s">
        <v>64</v>
      </c>
      <c r="C1" s="9" t="s">
        <v>5</v>
      </c>
      <c r="D1" s="9" t="s">
        <v>65</v>
      </c>
      <c r="E1" s="9" t="s">
        <v>66</v>
      </c>
      <c r="F1" s="9" t="s">
        <v>67</v>
      </c>
      <c r="G1" s="9" t="s">
        <v>68</v>
      </c>
      <c r="H1" s="9" t="s">
        <v>69</v>
      </c>
      <c r="I1" s="9" t="s">
        <v>70</v>
      </c>
      <c r="J1" s="9" t="s">
        <v>71</v>
      </c>
      <c r="K1" s="9" t="s">
        <v>72</v>
      </c>
      <c r="L1" s="9" t="s">
        <v>23</v>
      </c>
      <c r="M1" s="9" t="s">
        <v>73</v>
      </c>
      <c r="N1" s="9" t="s">
        <v>27</v>
      </c>
    </row>
    <row r="2" customFormat="false" ht="15" hidden="false" customHeight="false" outlineLevel="0" collapsed="false">
      <c r="A2" s="10" t="s">
        <v>74</v>
      </c>
      <c r="B2" s="11" t="n">
        <f aca="false">COUNTIF(Pages!$D$2:$D$824,$A2)</f>
        <v>125</v>
      </c>
      <c r="C2" s="11" t="n">
        <f aca="false">COUNTIFS(Pages!$D$2:$D$824,$A2,Pages!$I$2:$I$824,"Yes")</f>
        <v>92</v>
      </c>
      <c r="D2" s="11" t="n">
        <f aca="false">COUNTIF('Nationwide KWs'!$B$2:$B$158,$A2)</f>
        <v>31</v>
      </c>
      <c r="E2" s="11" t="n">
        <f aca="false">SUMIF('Nationwide KWs'!$B$2:$B$158,$A2,'Nationwide KWs'!$D$2:$D$158)</f>
        <v>73990</v>
      </c>
      <c r="F2" s="11" t="n">
        <f aca="false">COUNTIF('Provincial KWs'!$B$2:$B$137,$A2)</f>
        <v>16</v>
      </c>
      <c r="G2" s="11" t="n">
        <f aca="false">SUMIF('Provincial KWs'!$B$2:$B$137,$A2,'Provincial KWs'!$E$2:$E$137)</f>
        <v>12416</v>
      </c>
      <c r="H2" s="11" t="n">
        <f aca="false">COUNTIF('City KWs'!$B$2:$B$419,$A2)</f>
        <v>57</v>
      </c>
      <c r="I2" s="11" t="n">
        <f aca="false">SUMIF('City KWs'!$B$2:$B$419,$A2,'City KWs'!$F$2:$F$419)</f>
        <v>8079</v>
      </c>
      <c r="J2" s="11" t="n">
        <f aca="false">E2+G2+I2</f>
        <v>94485</v>
      </c>
      <c r="K2" s="11" t="n">
        <f aca="false">COUNTIF('Backlog (Unmapped)'!$C$2:$C$45,$A2)</f>
        <v>9</v>
      </c>
      <c r="L2" s="11" t="n">
        <f aca="false">COUNTIFS('Blog Content Plan'!$D$2:$D$160,$A2,'Blog Content Plan'!$B$2:$B$160,"&lt;&gt;Published")</f>
        <v>0</v>
      </c>
      <c r="M2" s="11" t="n">
        <f aca="false">COUNTIFS('Blog Content Plan'!$D$2:$D$160,$A2,'Blog Content Plan'!$C$2:$C$160,1,'Blog Content Plan'!$B$2:$B$160,"&lt;&gt;Published")</f>
        <v>0</v>
      </c>
      <c r="N2" s="11" t="n">
        <f aca="false">COUNTIFS('Blog Content Plan'!$D$2:$D$160,$A2,'Blog Content Plan'!$B$2:$B$160,"Published")</f>
        <v>4</v>
      </c>
    </row>
    <row r="3" customFormat="false" ht="15" hidden="false" customHeight="false" outlineLevel="0" collapsed="false">
      <c r="A3" s="10" t="s">
        <v>75</v>
      </c>
      <c r="B3" s="11" t="n">
        <f aca="false">COUNTIF(Pages!$D$2:$D$824,$A3)</f>
        <v>15</v>
      </c>
      <c r="C3" s="11" t="n">
        <f aca="false">COUNTIFS(Pages!$D$2:$D$824,$A3,Pages!$I$2:$I$824,"Yes")</f>
        <v>15</v>
      </c>
      <c r="D3" s="11" t="n">
        <f aca="false">COUNTIF('Nationwide KWs'!$B$2:$B$158,$A3)</f>
        <v>4</v>
      </c>
      <c r="E3" s="11" t="n">
        <f aca="false">SUMIF('Nationwide KWs'!$B$2:$B$158,$A3,'Nationwide KWs'!$D$2:$D$158)</f>
        <v>4960</v>
      </c>
      <c r="F3" s="11" t="n">
        <f aca="false">COUNTIF('Provincial KWs'!$B$2:$B$137,$A3)</f>
        <v>4</v>
      </c>
      <c r="G3" s="11" t="n">
        <f aca="false">SUMIF('Provincial KWs'!$B$2:$B$137,$A3,'Provincial KWs'!$E$2:$E$137)</f>
        <v>312</v>
      </c>
      <c r="H3" s="11" t="n">
        <f aca="false">COUNTIF('City KWs'!$B$2:$B$419,$A3)</f>
        <v>0</v>
      </c>
      <c r="I3" s="11" t="n">
        <f aca="false">SUMIF('City KWs'!$B$2:$B$419,$A3,'City KWs'!$F$2:$F$419)</f>
        <v>0</v>
      </c>
      <c r="J3" s="11" t="n">
        <f aca="false">E3+G3+I3</f>
        <v>5272</v>
      </c>
      <c r="K3" s="11" t="n">
        <f aca="false">COUNTIF('Backlog (Unmapped)'!$C$2:$C$45,$A3)</f>
        <v>0</v>
      </c>
      <c r="L3" s="11" t="n">
        <f aca="false">COUNTIFS('Blog Content Plan'!$D$2:$D$160,$A3,'Blog Content Plan'!$B$2:$B$160,"&lt;&gt;Published")</f>
        <v>0</v>
      </c>
      <c r="M3" s="11" t="n">
        <f aca="false">COUNTIFS('Blog Content Plan'!$D$2:$D$160,$A3,'Blog Content Plan'!$C$2:$C$160,1,'Blog Content Plan'!$B$2:$B$160,"&lt;&gt;Published")</f>
        <v>0</v>
      </c>
      <c r="N3" s="11" t="n">
        <f aca="false">COUNTIFS('Blog Content Plan'!$D$2:$D$160,$A3,'Blog Content Plan'!$B$2:$B$160,"Published")</f>
        <v>1</v>
      </c>
    </row>
    <row r="4" customFormat="false" ht="15" hidden="false" customHeight="false" outlineLevel="0" collapsed="false">
      <c r="A4" s="10" t="s">
        <v>76</v>
      </c>
      <c r="B4" s="11" t="n">
        <f aca="false">COUNTIF(Pages!$D$2:$D$824,$A4)</f>
        <v>15</v>
      </c>
      <c r="C4" s="11" t="n">
        <f aca="false">COUNTIFS(Pages!$D$2:$D$824,$A4,Pages!$I$2:$I$824,"Yes")</f>
        <v>15</v>
      </c>
      <c r="D4" s="11" t="n">
        <f aca="false">COUNTIF('Nationwide KWs'!$B$2:$B$158,$A4)</f>
        <v>4</v>
      </c>
      <c r="E4" s="11" t="n">
        <f aca="false">SUMIF('Nationwide KWs'!$B$2:$B$158,$A4,'Nationwide KWs'!$D$2:$D$158)</f>
        <v>8350</v>
      </c>
      <c r="F4" s="11" t="n">
        <f aca="false">COUNTIF('Provincial KWs'!$B$2:$B$137,$A4)</f>
        <v>7</v>
      </c>
      <c r="G4" s="11" t="n">
        <f aca="false">SUMIF('Provincial KWs'!$B$2:$B$137,$A4,'Provincial KWs'!$E$2:$E$137)</f>
        <v>1745</v>
      </c>
      <c r="H4" s="11" t="n">
        <f aca="false">COUNTIF('City KWs'!$B$2:$B$419,$A4)</f>
        <v>0</v>
      </c>
      <c r="I4" s="11" t="n">
        <f aca="false">SUMIF('City KWs'!$B$2:$B$419,$A4,'City KWs'!$F$2:$F$419)</f>
        <v>0</v>
      </c>
      <c r="J4" s="11" t="n">
        <f aca="false">E4+G4+I4</f>
        <v>10095</v>
      </c>
      <c r="K4" s="11" t="n">
        <f aca="false">COUNTIF('Backlog (Unmapped)'!$C$2:$C$45,$A4)</f>
        <v>2</v>
      </c>
      <c r="L4" s="11" t="n">
        <f aca="false">COUNTIFS('Blog Content Plan'!$D$2:$D$160,$A4,'Blog Content Plan'!$B$2:$B$160,"&lt;&gt;Published")</f>
        <v>17</v>
      </c>
      <c r="M4" s="11" t="n">
        <f aca="false">COUNTIFS('Blog Content Plan'!$D$2:$D$160,$A4,'Blog Content Plan'!$C$2:$C$160,1,'Blog Content Plan'!$B$2:$B$160,"&lt;&gt;Published")</f>
        <v>3</v>
      </c>
      <c r="N4" s="11" t="n">
        <f aca="false">COUNTIFS('Blog Content Plan'!$D$2:$D$160,$A4,'Blog Content Plan'!$B$2:$B$160,"Published")</f>
        <v>1</v>
      </c>
    </row>
    <row r="5" customFormat="false" ht="15" hidden="false" customHeight="false" outlineLevel="0" collapsed="false">
      <c r="A5" s="10" t="s">
        <v>77</v>
      </c>
      <c r="B5" s="11" t="n">
        <f aca="false">COUNTIF(Pages!$D$2:$D$824,$A5)</f>
        <v>15</v>
      </c>
      <c r="C5" s="11" t="n">
        <f aca="false">COUNTIFS(Pages!$D$2:$D$824,$A5,Pages!$I$2:$I$824,"Yes")</f>
        <v>15</v>
      </c>
      <c r="D5" s="11" t="n">
        <f aca="false">COUNTIF('Nationwide KWs'!$B$2:$B$158,$A5)</f>
        <v>3</v>
      </c>
      <c r="E5" s="11" t="n">
        <f aca="false">SUMIF('Nationwide KWs'!$B$2:$B$158,$A5,'Nationwide KWs'!$D$2:$D$158)</f>
        <v>7890</v>
      </c>
      <c r="F5" s="11" t="n">
        <f aca="false">COUNTIF('Provincial KWs'!$B$2:$B$137,$A5)</f>
        <v>8</v>
      </c>
      <c r="G5" s="11" t="n">
        <f aca="false">SUMIF('Provincial KWs'!$B$2:$B$137,$A5,'Provincial KWs'!$E$2:$E$137)</f>
        <v>1567</v>
      </c>
      <c r="H5" s="11" t="n">
        <f aca="false">COUNTIF('City KWs'!$B$2:$B$419,$A5)</f>
        <v>0</v>
      </c>
      <c r="I5" s="11" t="n">
        <f aca="false">SUMIF('City KWs'!$B$2:$B$419,$A5,'City KWs'!$F$2:$F$419)</f>
        <v>0</v>
      </c>
      <c r="J5" s="11" t="n">
        <f aca="false">E5+G5+I5</f>
        <v>9457</v>
      </c>
      <c r="K5" s="11" t="n">
        <f aca="false">COUNTIF('Backlog (Unmapped)'!$C$2:$C$45,$A5)</f>
        <v>1</v>
      </c>
      <c r="L5" s="11" t="n">
        <f aca="false">COUNTIFS('Blog Content Plan'!$D$2:$D$160,$A5,'Blog Content Plan'!$B$2:$B$160,"&lt;&gt;Published")</f>
        <v>19</v>
      </c>
      <c r="M5" s="11" t="n">
        <f aca="false">COUNTIFS('Blog Content Plan'!$D$2:$D$160,$A5,'Blog Content Plan'!$C$2:$C$160,1,'Blog Content Plan'!$B$2:$B$160,"&lt;&gt;Published")</f>
        <v>4</v>
      </c>
      <c r="N5" s="11" t="n">
        <f aca="false">COUNTIFS('Blog Content Plan'!$D$2:$D$160,$A5,'Blog Content Plan'!$B$2:$B$160,"Published")</f>
        <v>0</v>
      </c>
    </row>
    <row r="6" customFormat="false" ht="15" hidden="false" customHeight="false" outlineLevel="0" collapsed="false">
      <c r="A6" s="10" t="s">
        <v>78</v>
      </c>
      <c r="B6" s="11" t="n">
        <f aca="false">COUNTIF(Pages!$D$2:$D$824,$A6)</f>
        <v>16</v>
      </c>
      <c r="C6" s="11" t="n">
        <f aca="false">COUNTIFS(Pages!$D$2:$D$824,$A6,Pages!$I$2:$I$824,"Yes")</f>
        <v>16</v>
      </c>
      <c r="D6" s="11" t="n">
        <f aca="false">COUNTIF('Nationwide KWs'!$B$2:$B$158,$A6)</f>
        <v>6</v>
      </c>
      <c r="E6" s="11" t="n">
        <f aca="false">SUMIF('Nationwide KWs'!$B$2:$B$158,$A6,'Nationwide KWs'!$D$2:$D$158)</f>
        <v>16010</v>
      </c>
      <c r="F6" s="11" t="n">
        <f aca="false">COUNTIF('Provincial KWs'!$B$2:$B$137,$A6)</f>
        <v>10</v>
      </c>
      <c r="G6" s="11" t="n">
        <f aca="false">SUMIF('Provincial KWs'!$B$2:$B$137,$A6,'Provincial KWs'!$E$2:$E$137)</f>
        <v>2958</v>
      </c>
      <c r="H6" s="11" t="n">
        <f aca="false">COUNTIF('City KWs'!$B$2:$B$419,$A6)</f>
        <v>0</v>
      </c>
      <c r="I6" s="11" t="n">
        <f aca="false">SUMIF('City KWs'!$B$2:$B$419,$A6,'City KWs'!$F$2:$F$419)</f>
        <v>0</v>
      </c>
      <c r="J6" s="11" t="n">
        <f aca="false">E6+G6+I6</f>
        <v>18968</v>
      </c>
      <c r="K6" s="11" t="n">
        <f aca="false">COUNTIF('Backlog (Unmapped)'!$C$2:$C$45,$A6)</f>
        <v>0</v>
      </c>
      <c r="L6" s="11" t="n">
        <f aca="false">COUNTIFS('Blog Content Plan'!$D$2:$D$160,$A6,'Blog Content Plan'!$B$2:$B$160,"&lt;&gt;Published")</f>
        <v>29</v>
      </c>
      <c r="M6" s="11" t="n">
        <f aca="false">COUNTIFS('Blog Content Plan'!$D$2:$D$160,$A6,'Blog Content Plan'!$C$2:$C$160,1,'Blog Content Plan'!$B$2:$B$160,"&lt;&gt;Published")</f>
        <v>4</v>
      </c>
      <c r="N6" s="11" t="n">
        <f aca="false">COUNTIFS('Blog Content Plan'!$D$2:$D$160,$A6,'Blog Content Plan'!$B$2:$B$160,"Published")</f>
        <v>1</v>
      </c>
    </row>
    <row r="7" customFormat="false" ht="15" hidden="false" customHeight="false" outlineLevel="0" collapsed="false">
      <c r="A7" s="10" t="s">
        <v>79</v>
      </c>
      <c r="B7" s="11" t="n">
        <f aca="false">COUNTIF(Pages!$D$2:$D$824,$A7)</f>
        <v>14</v>
      </c>
      <c r="C7" s="11" t="n">
        <f aca="false">COUNTIFS(Pages!$D$2:$D$824,$A7,Pages!$I$2:$I$824,"Yes")</f>
        <v>14</v>
      </c>
      <c r="D7" s="11" t="n">
        <f aca="false">COUNTIF('Nationwide KWs'!$B$2:$B$158,$A7)</f>
        <v>2</v>
      </c>
      <c r="E7" s="11" t="n">
        <f aca="false">SUMIF('Nationwide KWs'!$B$2:$B$158,$A7,'Nationwide KWs'!$D$2:$D$158)</f>
        <v>2020</v>
      </c>
      <c r="F7" s="11" t="n">
        <f aca="false">COUNTIF('Provincial KWs'!$B$2:$B$137,$A7)</f>
        <v>4</v>
      </c>
      <c r="G7" s="11" t="n">
        <f aca="false">SUMIF('Provincial KWs'!$B$2:$B$137,$A7,'Provincial KWs'!$E$2:$E$137)</f>
        <v>271</v>
      </c>
      <c r="H7" s="11" t="n">
        <f aca="false">COUNTIF('City KWs'!$B$2:$B$419,$A7)</f>
        <v>0</v>
      </c>
      <c r="I7" s="11" t="n">
        <f aca="false">SUMIF('City KWs'!$B$2:$B$419,$A7,'City KWs'!$F$2:$F$419)</f>
        <v>0</v>
      </c>
      <c r="J7" s="11" t="n">
        <f aca="false">E7+G7+I7</f>
        <v>2291</v>
      </c>
      <c r="K7" s="11" t="n">
        <f aca="false">COUNTIF('Backlog (Unmapped)'!$C$2:$C$45,$A7)</f>
        <v>0</v>
      </c>
      <c r="L7" s="11" t="n">
        <f aca="false">COUNTIFS('Blog Content Plan'!$D$2:$D$160,$A7,'Blog Content Plan'!$B$2:$B$160,"&lt;&gt;Published")</f>
        <v>14</v>
      </c>
      <c r="M7" s="11" t="n">
        <f aca="false">COUNTIFS('Blog Content Plan'!$D$2:$D$160,$A7,'Blog Content Plan'!$C$2:$C$160,1,'Blog Content Plan'!$B$2:$B$160,"&lt;&gt;Published")</f>
        <v>6</v>
      </c>
      <c r="N7" s="11" t="n">
        <f aca="false">COUNTIFS('Blog Content Plan'!$D$2:$D$160,$A7,'Blog Content Plan'!$B$2:$B$160,"Published")</f>
        <v>0</v>
      </c>
    </row>
    <row r="8" customFormat="false" ht="15" hidden="false" customHeight="false" outlineLevel="0" collapsed="false">
      <c r="A8" s="10" t="s">
        <v>80</v>
      </c>
      <c r="B8" s="11" t="n">
        <f aca="false">COUNTIF(Pages!$D$2:$D$824,$A8)</f>
        <v>16</v>
      </c>
      <c r="C8" s="11" t="n">
        <f aca="false">COUNTIFS(Pages!$D$2:$D$824,$A8,Pages!$I$2:$I$824,"Yes")</f>
        <v>16</v>
      </c>
      <c r="D8" s="11" t="n">
        <f aca="false">COUNTIF('Nationwide KWs'!$B$2:$B$158,$A8)</f>
        <v>5</v>
      </c>
      <c r="E8" s="11" t="n">
        <f aca="false">SUMIF('Nationwide KWs'!$B$2:$B$158,$A8,'Nationwide KWs'!$D$2:$D$158)</f>
        <v>43800</v>
      </c>
      <c r="F8" s="11" t="n">
        <f aca="false">COUNTIF('Provincial KWs'!$B$2:$B$137,$A8)</f>
        <v>0</v>
      </c>
      <c r="G8" s="11" t="n">
        <f aca="false">SUMIF('Provincial KWs'!$B$2:$B$137,$A8,'Provincial KWs'!$E$2:$E$137)</f>
        <v>0</v>
      </c>
      <c r="H8" s="11" t="n">
        <f aca="false">COUNTIF('City KWs'!$B$2:$B$419,$A8)</f>
        <v>0</v>
      </c>
      <c r="I8" s="11" t="n">
        <f aca="false">SUMIF('City KWs'!$B$2:$B$419,$A8,'City KWs'!$F$2:$F$419)</f>
        <v>0</v>
      </c>
      <c r="J8" s="11" t="n">
        <f aca="false">E8+G8+I8</f>
        <v>43800</v>
      </c>
      <c r="K8" s="11" t="n">
        <f aca="false">COUNTIF('Backlog (Unmapped)'!$C$2:$C$45,$A8)</f>
        <v>0</v>
      </c>
      <c r="L8" s="11" t="n">
        <f aca="false">COUNTIFS('Blog Content Plan'!$D$2:$D$160,$A8,'Blog Content Plan'!$B$2:$B$160,"&lt;&gt;Published")</f>
        <v>27</v>
      </c>
      <c r="M8" s="11" t="n">
        <f aca="false">COUNTIFS('Blog Content Plan'!$D$2:$D$160,$A8,'Blog Content Plan'!$C$2:$C$160,1,'Blog Content Plan'!$B$2:$B$160,"&lt;&gt;Published")</f>
        <v>6</v>
      </c>
      <c r="N8" s="11" t="n">
        <f aca="false">COUNTIFS('Blog Content Plan'!$D$2:$D$160,$A8,'Blog Content Plan'!$B$2:$B$160,"Published")</f>
        <v>0</v>
      </c>
    </row>
    <row r="9" customFormat="false" ht="15" hidden="false" customHeight="false" outlineLevel="0" collapsed="false">
      <c r="A9" s="10" t="s">
        <v>81</v>
      </c>
      <c r="B9" s="11" t="n">
        <f aca="false">COUNTIF(Pages!$D$2:$D$824,$A9)</f>
        <v>74</v>
      </c>
      <c r="C9" s="11" t="n">
        <f aca="false">COUNTIFS(Pages!$D$2:$D$824,$A9,Pages!$I$2:$I$824,"Yes")</f>
        <v>41</v>
      </c>
      <c r="D9" s="11" t="n">
        <f aca="false">COUNTIF('Nationwide KWs'!$B$2:$B$158,$A9)</f>
        <v>4</v>
      </c>
      <c r="E9" s="11" t="n">
        <f aca="false">SUMIF('Nationwide KWs'!$B$2:$B$158,$A9,'Nationwide KWs'!$D$2:$D$158)</f>
        <v>16780</v>
      </c>
      <c r="F9" s="11" t="n">
        <f aca="false">COUNTIF('Provincial KWs'!$B$2:$B$137,$A9)</f>
        <v>9</v>
      </c>
      <c r="G9" s="11" t="n">
        <f aca="false">SUMIF('Provincial KWs'!$B$2:$B$137,$A9,'Provincial KWs'!$E$2:$E$137)</f>
        <v>1220</v>
      </c>
      <c r="H9" s="11" t="n">
        <f aca="false">COUNTIF('City KWs'!$B$2:$B$419,$A9)</f>
        <v>23</v>
      </c>
      <c r="I9" s="11" t="n">
        <f aca="false">SUMIF('City KWs'!$B$2:$B$419,$A9,'City KWs'!$F$2:$F$419)</f>
        <v>2503</v>
      </c>
      <c r="J9" s="11" t="n">
        <f aca="false">E9+G9+I9</f>
        <v>20503</v>
      </c>
      <c r="K9" s="11" t="n">
        <f aca="false">COUNTIF('Backlog (Unmapped)'!$C$2:$C$45,$A9)</f>
        <v>0</v>
      </c>
      <c r="L9" s="11" t="n">
        <f aca="false">COUNTIFS('Blog Content Plan'!$D$2:$D$160,$A9,'Blog Content Plan'!$B$2:$B$160,"&lt;&gt;Published")</f>
        <v>35</v>
      </c>
      <c r="M9" s="11" t="n">
        <f aca="false">COUNTIFS('Blog Content Plan'!$D$2:$D$160,$A9,'Blog Content Plan'!$C$2:$C$160,1,'Blog Content Plan'!$B$2:$B$160,"&lt;&gt;Published")</f>
        <v>12</v>
      </c>
      <c r="N9" s="11" t="n">
        <f aca="false">COUNTIFS('Blog Content Plan'!$D$2:$D$160,$A9,'Blog Content Plan'!$B$2:$B$160,"Published")</f>
        <v>1</v>
      </c>
    </row>
    <row r="10" customFormat="false" ht="15" hidden="false" customHeight="false" outlineLevel="0" collapsed="false">
      <c r="A10" s="10" t="s">
        <v>82</v>
      </c>
      <c r="B10" s="11" t="n">
        <f aca="false">COUNTIF(Pages!$D$2:$D$824,$A10)</f>
        <v>86</v>
      </c>
      <c r="C10" s="11" t="n">
        <f aca="false">COUNTIFS(Pages!$D$2:$D$824,$A10,Pages!$I$2:$I$824,"Yes")</f>
        <v>70</v>
      </c>
      <c r="D10" s="11" t="n">
        <f aca="false">COUNTIF('Nationwide KWs'!$B$2:$B$158,$A10)</f>
        <v>34</v>
      </c>
      <c r="E10" s="11" t="n">
        <f aca="false">SUMIF('Nationwide KWs'!$B$2:$B$158,$A10,'Nationwide KWs'!$D$2:$D$158)</f>
        <v>161130</v>
      </c>
      <c r="F10" s="11" t="n">
        <f aca="false">COUNTIF('Provincial KWs'!$B$2:$B$137,$A10)</f>
        <v>26</v>
      </c>
      <c r="G10" s="11" t="n">
        <f aca="false">SUMIF('Provincial KWs'!$B$2:$B$137,$A10,'Provincial KWs'!$E$2:$E$137)</f>
        <v>80080</v>
      </c>
      <c r="H10" s="11" t="n">
        <f aca="false">COUNTIF('City KWs'!$B$2:$B$419,$A10)</f>
        <v>91</v>
      </c>
      <c r="I10" s="11" t="n">
        <f aca="false">SUMIF('City KWs'!$B$2:$B$419,$A10,'City KWs'!$F$2:$F$419)</f>
        <v>63070</v>
      </c>
      <c r="J10" s="11" t="n">
        <f aca="false">E10+G10+I10</f>
        <v>304280</v>
      </c>
      <c r="K10" s="11" t="n">
        <f aca="false">COUNTIF('Backlog (Unmapped)'!$C$2:$C$45,$A10)</f>
        <v>26</v>
      </c>
      <c r="L10" s="11" t="n">
        <f aca="false">COUNTIFS('Blog Content Plan'!$D$2:$D$160,$A10,'Blog Content Plan'!$B$2:$B$160,"&lt;&gt;Published")</f>
        <v>0</v>
      </c>
      <c r="M10" s="11" t="n">
        <f aca="false">COUNTIFS('Blog Content Plan'!$D$2:$D$160,$A10,'Blog Content Plan'!$C$2:$C$160,1,'Blog Content Plan'!$B$2:$B$160,"&lt;&gt;Published")</f>
        <v>0</v>
      </c>
      <c r="N10" s="11" t="n">
        <f aca="false">COUNTIFS('Blog Content Plan'!$D$2:$D$160,$A10,'Blog Content Plan'!$B$2:$B$160,"Published")</f>
        <v>5</v>
      </c>
    </row>
    <row r="11" customFormat="false" ht="15" hidden="false" customHeight="false" outlineLevel="0" collapsed="false">
      <c r="A11" s="10" t="s">
        <v>83</v>
      </c>
      <c r="B11" s="11" t="n">
        <f aca="false">COUNTIF(Pages!$D$2:$D$824,$A11)</f>
        <v>4</v>
      </c>
      <c r="C11" s="11" t="n">
        <f aca="false">COUNTIFS(Pages!$D$2:$D$824,$A11,Pages!$I$2:$I$824,"Yes")</f>
        <v>4</v>
      </c>
      <c r="D11" s="11" t="n">
        <f aca="false">COUNTIF('Nationwide KWs'!$B$2:$B$158,$A11)</f>
        <v>5</v>
      </c>
      <c r="E11" s="11" t="n">
        <f aca="false">SUMIF('Nationwide KWs'!$B$2:$B$158,$A11,'Nationwide KWs'!$D$2:$D$158)</f>
        <v>12080</v>
      </c>
      <c r="F11" s="11" t="n">
        <f aca="false">COUNTIF('Provincial KWs'!$B$2:$B$137,$A11)</f>
        <v>0</v>
      </c>
      <c r="G11" s="11" t="n">
        <f aca="false">SUMIF('Provincial KWs'!$B$2:$B$137,$A11,'Provincial KWs'!$E$2:$E$137)</f>
        <v>0</v>
      </c>
      <c r="H11" s="11" t="n">
        <f aca="false">COUNTIF('City KWs'!$B$2:$B$419,$A11)</f>
        <v>0</v>
      </c>
      <c r="I11" s="11" t="n">
        <f aca="false">SUMIF('City KWs'!$B$2:$B$419,$A11,'City KWs'!$F$2:$F$419)</f>
        <v>0</v>
      </c>
      <c r="J11" s="11" t="n">
        <f aca="false">E11+G11+I11</f>
        <v>12080</v>
      </c>
      <c r="K11" s="11" t="n">
        <f aca="false">COUNTIF('Backlog (Unmapped)'!$C$2:$C$45,$A11)</f>
        <v>0</v>
      </c>
      <c r="L11" s="11" t="n">
        <f aca="false">COUNTIFS('Blog Content Plan'!$D$2:$D$160,$A11,'Blog Content Plan'!$B$2:$B$160,"&lt;&gt;Published")</f>
        <v>0</v>
      </c>
      <c r="M11" s="11" t="n">
        <f aca="false">COUNTIFS('Blog Content Plan'!$D$2:$D$160,$A11,'Blog Content Plan'!$C$2:$C$160,1,'Blog Content Plan'!$B$2:$B$160,"&lt;&gt;Published")</f>
        <v>0</v>
      </c>
      <c r="N11" s="11" t="n">
        <f aca="false">COUNTIFS('Blog Content Plan'!$D$2:$D$160,$A11,'Blog Content Plan'!$B$2:$B$160,"Published")</f>
        <v>0</v>
      </c>
    </row>
    <row r="12" customFormat="false" ht="15" hidden="false" customHeight="false" outlineLevel="0" collapsed="false">
      <c r="A12" s="10" t="s">
        <v>84</v>
      </c>
      <c r="B12" s="11" t="n">
        <f aca="false">COUNTIF(Pages!$D$2:$D$824,$A12)</f>
        <v>78</v>
      </c>
      <c r="C12" s="11" t="n">
        <f aca="false">COUNTIFS(Pages!$D$2:$D$824,$A12,Pages!$I$2:$I$824,"Yes")</f>
        <v>65</v>
      </c>
      <c r="D12" s="11" t="n">
        <f aca="false">COUNTIF('Nationwide KWs'!$B$2:$B$158,$A12)</f>
        <v>16</v>
      </c>
      <c r="E12" s="11" t="n">
        <f aca="false">SUMIF('Nationwide KWs'!$B$2:$B$158,$A12,'Nationwide KWs'!$D$2:$D$158)</f>
        <v>53450</v>
      </c>
      <c r="F12" s="11" t="n">
        <f aca="false">COUNTIF('Provincial KWs'!$B$2:$B$137,$A12)</f>
        <v>14</v>
      </c>
      <c r="G12" s="11" t="n">
        <f aca="false">SUMIF('Provincial KWs'!$B$2:$B$137,$A12,'Provincial KWs'!$E$2:$E$137)</f>
        <v>29936</v>
      </c>
      <c r="H12" s="11" t="n">
        <f aca="false">COUNTIF('City KWs'!$B$2:$B$419,$A12)</f>
        <v>61</v>
      </c>
      <c r="I12" s="11" t="n">
        <f aca="false">SUMIF('City KWs'!$B$2:$B$419,$A12,'City KWs'!$F$2:$F$419)</f>
        <v>18880</v>
      </c>
      <c r="J12" s="11" t="n">
        <f aca="false">E12+G12+I12</f>
        <v>102266</v>
      </c>
      <c r="K12" s="11" t="n">
        <f aca="false">COUNTIF('Backlog (Unmapped)'!$C$2:$C$45,$A12)</f>
        <v>5</v>
      </c>
      <c r="L12" s="11" t="n">
        <f aca="false">COUNTIFS('Blog Content Plan'!$D$2:$D$160,$A12,'Blog Content Plan'!$B$2:$B$160,"&lt;&gt;Published")</f>
        <v>0</v>
      </c>
      <c r="M12" s="11" t="n">
        <f aca="false">COUNTIFS('Blog Content Plan'!$D$2:$D$160,$A12,'Blog Content Plan'!$C$2:$C$160,1,'Blog Content Plan'!$B$2:$B$160,"&lt;&gt;Published")</f>
        <v>0</v>
      </c>
      <c r="N12" s="11" t="n">
        <f aca="false">COUNTIFS('Blog Content Plan'!$D$2:$D$160,$A12,'Blog Content Plan'!$B$2:$B$160,"Published")</f>
        <v>2</v>
      </c>
    </row>
    <row r="13" customFormat="false" ht="15" hidden="false" customHeight="false" outlineLevel="0" collapsed="false">
      <c r="A13" s="10" t="s">
        <v>85</v>
      </c>
      <c r="B13" s="11" t="n">
        <f aca="false">COUNTIF(Pages!$D$2:$D$824,$A13)</f>
        <v>73</v>
      </c>
      <c r="C13" s="11" t="n">
        <f aca="false">COUNTIFS(Pages!$D$2:$D$824,$A13,Pages!$I$2:$I$824,"Yes")</f>
        <v>60</v>
      </c>
      <c r="D13" s="11" t="n">
        <f aca="false">COUNTIF('Nationwide KWs'!$B$2:$B$158,$A13)</f>
        <v>3</v>
      </c>
      <c r="E13" s="11" t="n">
        <f aca="false">SUMIF('Nationwide KWs'!$B$2:$B$158,$A13,'Nationwide KWs'!$D$2:$D$158)</f>
        <v>7710</v>
      </c>
      <c r="F13" s="11" t="n">
        <f aca="false">COUNTIF('Provincial KWs'!$B$2:$B$137,$A13)</f>
        <v>10</v>
      </c>
      <c r="G13" s="11" t="n">
        <f aca="false">SUMIF('Provincial KWs'!$B$2:$B$137,$A13,'Provincial KWs'!$E$2:$E$137)</f>
        <v>2104</v>
      </c>
      <c r="H13" s="11" t="n">
        <f aca="false">COUNTIF('City KWs'!$B$2:$B$419,$A13)</f>
        <v>54</v>
      </c>
      <c r="I13" s="11" t="n">
        <f aca="false">SUMIF('City KWs'!$B$2:$B$419,$A13,'City KWs'!$F$2:$F$419)</f>
        <v>5239</v>
      </c>
      <c r="J13" s="11" t="n">
        <f aca="false">E13+G13+I13</f>
        <v>15053</v>
      </c>
      <c r="K13" s="11" t="n">
        <f aca="false">COUNTIF('Backlog (Unmapped)'!$C$2:$C$45,$A13)</f>
        <v>0</v>
      </c>
      <c r="L13" s="11" t="n">
        <f aca="false">COUNTIFS('Blog Content Plan'!$D$2:$D$160,$A13,'Blog Content Plan'!$B$2:$B$160,"&lt;&gt;Published")</f>
        <v>0</v>
      </c>
      <c r="M13" s="11" t="n">
        <f aca="false">COUNTIFS('Blog Content Plan'!$D$2:$D$160,$A13,'Blog Content Plan'!$C$2:$C$160,1,'Blog Content Plan'!$B$2:$B$160,"&lt;&gt;Published")</f>
        <v>0</v>
      </c>
      <c r="N13" s="11" t="n">
        <f aca="false">COUNTIFS('Blog Content Plan'!$D$2:$D$160,$A13,'Blog Content Plan'!$B$2:$B$160,"Published")</f>
        <v>1</v>
      </c>
    </row>
    <row r="14" customFormat="false" ht="15" hidden="false" customHeight="false" outlineLevel="0" collapsed="false">
      <c r="A14" s="10" t="s">
        <v>86</v>
      </c>
      <c r="B14" s="11" t="n">
        <f aca="false">COUNTIF(Pages!$D$2:$D$824,$A14)</f>
        <v>74</v>
      </c>
      <c r="C14" s="11" t="n">
        <f aca="false">COUNTIFS(Pages!$D$2:$D$824,$A14,Pages!$I$2:$I$824,"Yes")</f>
        <v>61</v>
      </c>
      <c r="D14" s="11" t="n">
        <f aca="false">COUNTIF('Nationwide KWs'!$B$2:$B$158,$A14)</f>
        <v>6</v>
      </c>
      <c r="E14" s="11" t="n">
        <f aca="false">SUMIF('Nationwide KWs'!$B$2:$B$158,$A14,'Nationwide KWs'!$D$2:$D$158)</f>
        <v>27850</v>
      </c>
      <c r="F14" s="11" t="n">
        <f aca="false">COUNTIF('Provincial KWs'!$B$2:$B$137,$A14)</f>
        <v>13</v>
      </c>
      <c r="G14" s="11" t="n">
        <f aca="false">SUMIF('Provincial KWs'!$B$2:$B$137,$A14,'Provincial KWs'!$E$2:$E$137)</f>
        <v>9289</v>
      </c>
      <c r="H14" s="11" t="n">
        <f aca="false">COUNTIF('City KWs'!$B$2:$B$419,$A14)</f>
        <v>56</v>
      </c>
      <c r="I14" s="11" t="n">
        <f aca="false">SUMIF('City KWs'!$B$2:$B$419,$A14,'City KWs'!$F$2:$F$419)</f>
        <v>11572</v>
      </c>
      <c r="J14" s="11" t="n">
        <f aca="false">E14+G14+I14</f>
        <v>48711</v>
      </c>
      <c r="K14" s="11" t="n">
        <f aca="false">COUNTIF('Backlog (Unmapped)'!$C$2:$C$45,$A14)</f>
        <v>1</v>
      </c>
      <c r="L14" s="11" t="n">
        <f aca="false">COUNTIFS('Blog Content Plan'!$D$2:$D$160,$A14,'Blog Content Plan'!$B$2:$B$160,"&lt;&gt;Published")</f>
        <v>0</v>
      </c>
      <c r="M14" s="11" t="n">
        <f aca="false">COUNTIFS('Blog Content Plan'!$D$2:$D$160,$A14,'Blog Content Plan'!$C$2:$C$160,1,'Blog Content Plan'!$B$2:$B$160,"&lt;&gt;Published")</f>
        <v>0</v>
      </c>
      <c r="N14" s="11" t="n">
        <f aca="false">COUNTIFS('Blog Content Plan'!$D$2:$D$160,$A14,'Blog Content Plan'!$B$2:$B$160,"Published")</f>
        <v>1</v>
      </c>
    </row>
    <row r="15" customFormat="false" ht="15" hidden="false" customHeight="false" outlineLevel="0" collapsed="false">
      <c r="A15" s="10" t="s">
        <v>87</v>
      </c>
      <c r="B15" s="11" t="n">
        <f aca="false">COUNTIF(Pages!$D$2:$D$824,$A15)</f>
        <v>2</v>
      </c>
      <c r="C15" s="11" t="n">
        <f aca="false">COUNTIFS(Pages!$D$2:$D$824,$A15,Pages!$I$2:$I$824,"Yes")</f>
        <v>2</v>
      </c>
      <c r="D15" s="11" t="n">
        <f aca="false">COUNTIF('Nationwide KWs'!$B$2:$B$158,$A15)</f>
        <v>2</v>
      </c>
      <c r="E15" s="11" t="n">
        <f aca="false">SUMIF('Nationwide KWs'!$B$2:$B$158,$A15,'Nationwide KWs'!$D$2:$D$158)</f>
        <v>3120</v>
      </c>
      <c r="F15" s="11" t="n">
        <f aca="false">COUNTIF('Provincial KWs'!$B$2:$B$137,$A15)</f>
        <v>0</v>
      </c>
      <c r="G15" s="11" t="n">
        <f aca="false">SUMIF('Provincial KWs'!$B$2:$B$137,$A15,'Provincial KWs'!$E$2:$E$137)</f>
        <v>0</v>
      </c>
      <c r="H15" s="11" t="n">
        <f aca="false">COUNTIF('City KWs'!$B$2:$B$419,$A15)</f>
        <v>0</v>
      </c>
      <c r="I15" s="11" t="n">
        <f aca="false">SUMIF('City KWs'!$B$2:$B$419,$A15,'City KWs'!$F$2:$F$419)</f>
        <v>0</v>
      </c>
      <c r="J15" s="11" t="n">
        <f aca="false">E15+G15+I15</f>
        <v>3120</v>
      </c>
      <c r="K15" s="11" t="n">
        <f aca="false">COUNTIF('Backlog (Unmapped)'!$C$2:$C$45,$A15)</f>
        <v>0</v>
      </c>
      <c r="L15" s="11" t="n">
        <f aca="false">COUNTIFS('Blog Content Plan'!$D$2:$D$160,$A15,'Blog Content Plan'!$B$2:$B$160,"&lt;&gt;Published")</f>
        <v>0</v>
      </c>
      <c r="M15" s="11" t="n">
        <f aca="false">COUNTIFS('Blog Content Plan'!$D$2:$D$160,$A15,'Blog Content Plan'!$C$2:$C$160,1,'Blog Content Plan'!$B$2:$B$160,"&lt;&gt;Published")</f>
        <v>0</v>
      </c>
      <c r="N15" s="11" t="n">
        <f aca="false">COUNTIFS('Blog Content Plan'!$D$2:$D$160,$A15,'Blog Content Plan'!$B$2:$B$160,"Published")</f>
        <v>0</v>
      </c>
    </row>
    <row r="16" customFormat="false" ht="15" hidden="false" customHeight="false" outlineLevel="0" collapsed="false">
      <c r="A16" s="10" t="s">
        <v>88</v>
      </c>
      <c r="B16" s="11" t="n">
        <f aca="false">COUNTIF(Pages!$D$2:$D$824,$A16)</f>
        <v>1</v>
      </c>
      <c r="C16" s="11" t="n">
        <f aca="false">COUNTIFS(Pages!$D$2:$D$824,$A16,Pages!$I$2:$I$824,"Yes")</f>
        <v>1</v>
      </c>
      <c r="D16" s="11" t="n">
        <f aca="false">COUNTIF('Nationwide KWs'!$B$2:$B$158,$A16)</f>
        <v>1</v>
      </c>
      <c r="E16" s="11" t="n">
        <f aca="false">SUMIF('Nationwide KWs'!$B$2:$B$158,$A16,'Nationwide KWs'!$D$2:$D$158)</f>
        <v>14000</v>
      </c>
      <c r="F16" s="11" t="n">
        <f aca="false">COUNTIF('Provincial KWs'!$B$2:$B$137,$A16)</f>
        <v>0</v>
      </c>
      <c r="G16" s="11" t="n">
        <f aca="false">SUMIF('Provincial KWs'!$B$2:$B$137,$A16,'Provincial KWs'!$E$2:$E$137)</f>
        <v>0</v>
      </c>
      <c r="H16" s="11" t="n">
        <f aca="false">COUNTIF('City KWs'!$B$2:$B$419,$A16)</f>
        <v>0</v>
      </c>
      <c r="I16" s="11" t="n">
        <f aca="false">SUMIF('City KWs'!$B$2:$B$419,$A16,'City KWs'!$F$2:$F$419)</f>
        <v>0</v>
      </c>
      <c r="J16" s="11" t="n">
        <f aca="false">E16+G16+I16</f>
        <v>14000</v>
      </c>
      <c r="K16" s="11" t="n">
        <f aca="false">COUNTIF('Backlog (Unmapped)'!$C$2:$C$45,$A16)</f>
        <v>0</v>
      </c>
      <c r="L16" s="11" t="n">
        <f aca="false">COUNTIFS('Blog Content Plan'!$D$2:$D$160,$A16,'Blog Content Plan'!$B$2:$B$160,"&lt;&gt;Published")</f>
        <v>0</v>
      </c>
      <c r="M16" s="11" t="n">
        <f aca="false">COUNTIFS('Blog Content Plan'!$D$2:$D$160,$A16,'Blog Content Plan'!$C$2:$C$160,1,'Blog Content Plan'!$B$2:$B$160,"&lt;&gt;Published")</f>
        <v>0</v>
      </c>
      <c r="N16" s="11" t="n">
        <f aca="false">COUNTIFS('Blog Content Plan'!$D$2:$D$160,$A16,'Blog Content Plan'!$B$2:$B$160,"Published")</f>
        <v>0</v>
      </c>
    </row>
    <row r="17" customFormat="false" ht="15" hidden="false" customHeight="false" outlineLevel="0" collapsed="false">
      <c r="A17" s="10" t="s">
        <v>89</v>
      </c>
      <c r="B17" s="11" t="n">
        <f aca="false">COUNTIF(Pages!$D$2:$D$824,$A17)</f>
        <v>79</v>
      </c>
      <c r="C17" s="11" t="n">
        <f aca="false">COUNTIFS(Pages!$D$2:$D$824,$A17,Pages!$I$2:$I$824,"Yes")</f>
        <v>46</v>
      </c>
      <c r="D17" s="11" t="n">
        <f aca="false">COUNTIF('Nationwide KWs'!$B$2:$B$158,$A17)</f>
        <v>13</v>
      </c>
      <c r="E17" s="11" t="n">
        <f aca="false">SUMIF('Nationwide KWs'!$B$2:$B$158,$A17,'Nationwide KWs'!$D$2:$D$158)</f>
        <v>25280</v>
      </c>
      <c r="F17" s="11" t="n">
        <f aca="false">COUNTIF('Provincial KWs'!$B$2:$B$137,$A17)</f>
        <v>9</v>
      </c>
      <c r="G17" s="11" t="n">
        <f aca="false">SUMIF('Provincial KWs'!$B$2:$B$137,$A17,'Provincial KWs'!$E$2:$E$137)</f>
        <v>2682</v>
      </c>
      <c r="H17" s="11" t="n">
        <f aca="false">COUNTIF('City KWs'!$B$2:$B$419,$A17)</f>
        <v>54</v>
      </c>
      <c r="I17" s="11" t="n">
        <f aca="false">SUMIF('City KWs'!$B$2:$B$419,$A17,'City KWs'!$F$2:$F$419)</f>
        <v>5239</v>
      </c>
      <c r="J17" s="11" t="n">
        <f aca="false">E17+G17+I17</f>
        <v>33201</v>
      </c>
      <c r="K17" s="11" t="n">
        <f aca="false">COUNTIF('Backlog (Unmapped)'!$C$2:$C$45,$A17)</f>
        <v>0</v>
      </c>
      <c r="L17" s="11" t="n">
        <f aca="false">COUNTIFS('Blog Content Plan'!$D$2:$D$160,$A17,'Blog Content Plan'!$B$2:$B$160,"&lt;&gt;Published")</f>
        <v>0</v>
      </c>
      <c r="M17" s="11" t="n">
        <f aca="false">COUNTIFS('Blog Content Plan'!$D$2:$D$160,$A17,'Blog Content Plan'!$C$2:$C$160,1,'Blog Content Plan'!$B$2:$B$160,"&lt;&gt;Published")</f>
        <v>0</v>
      </c>
      <c r="N17" s="11" t="n">
        <f aca="false">COUNTIFS('Blog Content Plan'!$D$2:$D$160,$A17,'Blog Content Plan'!$B$2:$B$160,"Published")</f>
        <v>1</v>
      </c>
    </row>
    <row r="18" customFormat="false" ht="15" hidden="false" customHeight="false" outlineLevel="0" collapsed="false">
      <c r="A18" s="10" t="s">
        <v>90</v>
      </c>
      <c r="B18" s="11" t="n">
        <f aca="false">COUNTIF(Pages!$D$2:$D$824,$A18)</f>
        <v>20</v>
      </c>
      <c r="C18" s="11" t="n">
        <f aca="false">COUNTIFS(Pages!$D$2:$D$824,$A18,Pages!$I$2:$I$824,"Yes")</f>
        <v>20</v>
      </c>
      <c r="D18" s="11" t="n">
        <f aca="false">COUNTIF('Nationwide KWs'!$B$2:$B$158,$A18)</f>
        <v>9</v>
      </c>
      <c r="E18" s="11" t="n">
        <f aca="false">SUMIF('Nationwide KWs'!$B$2:$B$158,$A18,'Nationwide KWs'!$D$2:$D$158)</f>
        <v>3740</v>
      </c>
      <c r="F18" s="11" t="n">
        <f aca="false">COUNTIF('Provincial KWs'!$B$2:$B$137,$A18)</f>
        <v>6</v>
      </c>
      <c r="G18" s="11" t="n">
        <f aca="false">SUMIF('Provincial KWs'!$B$2:$B$137,$A18,'Provincial KWs'!$E$2:$E$137)</f>
        <v>490</v>
      </c>
      <c r="H18" s="11" t="n">
        <f aca="false">COUNTIF('City KWs'!$B$2:$B$419,$A18)</f>
        <v>0</v>
      </c>
      <c r="I18" s="11" t="n">
        <f aca="false">SUMIF('City KWs'!$B$2:$B$419,$A18,'City KWs'!$F$2:$F$419)</f>
        <v>0</v>
      </c>
      <c r="J18" s="11" t="n">
        <f aca="false">E18+G18+I18</f>
        <v>4230</v>
      </c>
      <c r="K18" s="11" t="n">
        <f aca="false">COUNTIF('Backlog (Unmapped)'!$C$2:$C$45,$A18)</f>
        <v>0</v>
      </c>
      <c r="L18" s="11" t="n">
        <f aca="false">COUNTIFS('Blog Content Plan'!$D$2:$D$160,$A18,'Blog Content Plan'!$B$2:$B$160,"&lt;&gt;Published")</f>
        <v>0</v>
      </c>
      <c r="M18" s="11" t="n">
        <f aca="false">COUNTIFS('Blog Content Plan'!$D$2:$D$160,$A18,'Blog Content Plan'!$C$2:$C$160,1,'Blog Content Plan'!$B$2:$B$160,"&lt;&gt;Published")</f>
        <v>0</v>
      </c>
      <c r="N18" s="11" t="n">
        <f aca="false">COUNTIFS('Blog Content Plan'!$D$2:$D$160,$A18,'Blog Content Plan'!$B$2:$B$160,"Published")</f>
        <v>0</v>
      </c>
    </row>
    <row r="19" customFormat="false" ht="15" hidden="false" customHeight="false" outlineLevel="0" collapsed="false">
      <c r="A19" s="10" t="s">
        <v>91</v>
      </c>
      <c r="B19" s="11" t="n">
        <f aca="false">COUNTIF(Pages!$D$2:$D$824,$A19)</f>
        <v>14</v>
      </c>
      <c r="C19" s="11" t="n">
        <f aca="false">COUNTIFS(Pages!$D$2:$D$824,$A19,Pages!$I$2:$I$824,"Yes")</f>
        <v>14</v>
      </c>
      <c r="D19" s="11" t="n">
        <f aca="false">COUNTIF('Nationwide KWs'!$B$2:$B$158,$A19)</f>
        <v>2</v>
      </c>
      <c r="E19" s="11" t="n">
        <f aca="false">SUMIF('Nationwide KWs'!$B$2:$B$158,$A19,'Nationwide KWs'!$D$2:$D$158)</f>
        <v>2600</v>
      </c>
      <c r="F19" s="11" t="n">
        <f aca="false">COUNTIF('Provincial KWs'!$B$2:$B$137,$A19)</f>
        <v>0</v>
      </c>
      <c r="G19" s="11" t="n">
        <f aca="false">SUMIF('Provincial KWs'!$B$2:$B$137,$A19,'Provincial KWs'!$E$2:$E$137)</f>
        <v>0</v>
      </c>
      <c r="H19" s="11" t="n">
        <f aca="false">COUNTIF('City KWs'!$B$2:$B$419,$A19)</f>
        <v>0</v>
      </c>
      <c r="I19" s="11" t="n">
        <f aca="false">SUMIF('City KWs'!$B$2:$B$419,$A19,'City KWs'!$F$2:$F$419)</f>
        <v>0</v>
      </c>
      <c r="J19" s="11" t="n">
        <f aca="false">E19+G19+I19</f>
        <v>2600</v>
      </c>
      <c r="K19" s="11" t="n">
        <f aca="false">COUNTIF('Backlog (Unmapped)'!$C$2:$C$45,$A19)</f>
        <v>0</v>
      </c>
      <c r="L19" s="11" t="n">
        <f aca="false">COUNTIFS('Blog Content Plan'!$D$2:$D$160,$A19,'Blog Content Plan'!$B$2:$B$160,"&lt;&gt;Published")</f>
        <v>0</v>
      </c>
      <c r="M19" s="11" t="n">
        <f aca="false">COUNTIFS('Blog Content Plan'!$D$2:$D$160,$A19,'Blog Content Plan'!$C$2:$C$160,1,'Blog Content Plan'!$B$2:$B$160,"&lt;&gt;Published")</f>
        <v>0</v>
      </c>
      <c r="N19" s="11" t="n">
        <f aca="false">COUNTIFS('Blog Content Plan'!$D$2:$D$160,$A19,'Blog Content Plan'!$B$2:$B$160,"Published")</f>
        <v>0</v>
      </c>
    </row>
    <row r="20" customFormat="false" ht="15" hidden="false" customHeight="false" outlineLevel="0" collapsed="false">
      <c r="A20" s="10" t="s">
        <v>92</v>
      </c>
      <c r="B20" s="11" t="n">
        <f aca="false">COUNTIF(Pages!$D$2:$D$824,$A20)</f>
        <v>0</v>
      </c>
      <c r="C20" s="11" t="n">
        <f aca="false">COUNTIFS(Pages!$D$2:$D$824,$A20,Pages!$I$2:$I$824,"Yes")</f>
        <v>0</v>
      </c>
      <c r="D20" s="11" t="n">
        <f aca="false">COUNTIF('Nationwide KWs'!$B$2:$B$158,$A20)</f>
        <v>0</v>
      </c>
      <c r="E20" s="11" t="n">
        <f aca="false">SUMIF('Nationwide KWs'!$B$2:$B$158,$A20,'Nationwide KWs'!$D$2:$D$158)</f>
        <v>0</v>
      </c>
      <c r="F20" s="11" t="n">
        <f aca="false">COUNTIF('Provincial KWs'!$B$2:$B$137,$A20)</f>
        <v>0</v>
      </c>
      <c r="G20" s="11" t="n">
        <f aca="false">SUMIF('Provincial KWs'!$B$2:$B$137,$A20,'Provincial KWs'!$E$2:$E$137)</f>
        <v>0</v>
      </c>
      <c r="H20" s="11" t="n">
        <f aca="false">COUNTIF('City KWs'!$B$2:$B$419,$A20)</f>
        <v>0</v>
      </c>
      <c r="I20" s="11" t="n">
        <f aca="false">SUMIF('City KWs'!$B$2:$B$419,$A20,'City KWs'!$F$2:$F$419)</f>
        <v>0</v>
      </c>
      <c r="J20" s="11" t="n">
        <f aca="false">E20+G20+I20</f>
        <v>0</v>
      </c>
      <c r="K20" s="11" t="n">
        <f aca="false">COUNTIF('Backlog (Unmapped)'!$C$2:$C$45,$A20)</f>
        <v>0</v>
      </c>
      <c r="L20" s="11" t="n">
        <f aca="false">COUNTIFS('Blog Content Plan'!$D$2:$D$160,$A20,'Blog Content Plan'!$B$2:$B$160,"&lt;&gt;Published")</f>
        <v>0</v>
      </c>
      <c r="M20" s="11" t="n">
        <f aca="false">COUNTIFS('Blog Content Plan'!$D$2:$D$160,$A20,'Blog Content Plan'!$C$2:$C$160,1,'Blog Content Plan'!$B$2:$B$160,"&lt;&gt;Published")</f>
        <v>0</v>
      </c>
      <c r="N20" s="11" t="n">
        <f aca="false">COUNTIFS('Blog Content Plan'!$D$2:$D$160,$A20,'Blog Content Plan'!$B$2:$B$160,"Published")</f>
        <v>0</v>
      </c>
    </row>
    <row r="21" customFormat="false" ht="15" hidden="false" customHeight="false" outlineLevel="0" collapsed="false">
      <c r="A21" s="10" t="s">
        <v>93</v>
      </c>
      <c r="B21" s="11" t="n">
        <f aca="false">COUNTIF(Pages!$D$2:$D$824,$A21)</f>
        <v>1</v>
      </c>
      <c r="C21" s="11" t="n">
        <f aca="false">COUNTIFS(Pages!$D$2:$D$824,$A21,Pages!$I$2:$I$824,"Yes")</f>
        <v>1</v>
      </c>
      <c r="D21" s="11" t="n">
        <f aca="false">COUNTIF('Nationwide KWs'!$B$2:$B$158,$A21)</f>
        <v>7</v>
      </c>
      <c r="E21" s="11" t="n">
        <f aca="false">SUMIF('Nationwide KWs'!$B$2:$B$158,$A21,'Nationwide KWs'!$D$2:$D$158)</f>
        <v>17080</v>
      </c>
      <c r="F21" s="11" t="n">
        <f aca="false">COUNTIF('Provincial KWs'!$B$2:$B$137,$A21)</f>
        <v>0</v>
      </c>
      <c r="G21" s="11" t="n">
        <f aca="false">SUMIF('Provincial KWs'!$B$2:$B$137,$A21,'Provincial KWs'!$E$2:$E$137)</f>
        <v>0</v>
      </c>
      <c r="H21" s="11" t="n">
        <f aca="false">COUNTIF('City KWs'!$B$2:$B$419,$A21)</f>
        <v>0</v>
      </c>
      <c r="I21" s="11" t="n">
        <f aca="false">SUMIF('City KWs'!$B$2:$B$419,$A21,'City KWs'!$F$2:$F$419)</f>
        <v>0</v>
      </c>
      <c r="J21" s="11" t="n">
        <f aca="false">E21+G21+I21</f>
        <v>17080</v>
      </c>
      <c r="K21" s="11" t="n">
        <f aca="false">COUNTIF('Backlog (Unmapped)'!$C$2:$C$45,$A21)</f>
        <v>0</v>
      </c>
      <c r="L21" s="11" t="n">
        <f aca="false">COUNTIFS('Blog Content Plan'!$D$2:$D$160,$A21,'Blog Content Plan'!$B$2:$B$160,"&lt;&gt;Published")</f>
        <v>0</v>
      </c>
      <c r="M21" s="11" t="n">
        <f aca="false">COUNTIFS('Blog Content Plan'!$D$2:$D$160,$A21,'Blog Content Plan'!$C$2:$C$160,1,'Blog Content Plan'!$B$2:$B$160,"&lt;&gt;Published")</f>
        <v>0</v>
      </c>
      <c r="N21" s="11" t="n">
        <f aca="false">COUNTIFS('Blog Content Plan'!$D$2:$D$160,$A21,'Blog Content Plan'!$B$2:$B$160,"Published")</f>
        <v>0</v>
      </c>
    </row>
    <row r="22" customFormat="false" ht="15" hidden="false" customHeight="false" outlineLevel="0" collapsed="false">
      <c r="A22" s="10" t="s">
        <v>94</v>
      </c>
      <c r="B22" s="11" t="n">
        <f aca="false">COUNTIF(Pages!$D$2:$D$824,$A22)</f>
        <v>72</v>
      </c>
      <c r="C22" s="11" t="n">
        <f aca="false">COUNTIFS(Pages!$D$2:$D$824,$A22,Pages!$I$2:$I$824,"Yes")</f>
        <v>59</v>
      </c>
      <c r="D22" s="11" t="n">
        <f aca="false">COUNTIF('Nationwide KWs'!$B$2:$B$158,$A22)</f>
        <v>0</v>
      </c>
      <c r="E22" s="11" t="n">
        <f aca="false">SUMIF('Nationwide KWs'!$B$2:$B$158,$A22,'Nationwide KWs'!$D$2:$D$158)</f>
        <v>0</v>
      </c>
      <c r="F22" s="11" t="n">
        <f aca="false">COUNTIF('Provincial KWs'!$B$2:$B$137,$A22)</f>
        <v>0</v>
      </c>
      <c r="G22" s="11" t="n">
        <f aca="false">SUMIF('Provincial KWs'!$B$2:$B$137,$A22,'Provincial KWs'!$E$2:$E$137)</f>
        <v>0</v>
      </c>
      <c r="H22" s="11" t="n">
        <f aca="false">COUNTIF('City KWs'!$B$2:$B$419,$A22)</f>
        <v>22</v>
      </c>
      <c r="I22" s="11" t="n">
        <f aca="false">SUMIF('City KWs'!$B$2:$B$419,$A22,'City KWs'!$F$2:$F$419)</f>
        <v>4132</v>
      </c>
      <c r="J22" s="11" t="n">
        <f aca="false">E22+G22+I22</f>
        <v>4132</v>
      </c>
      <c r="K22" s="11" t="n">
        <f aca="false">COUNTIF('Backlog (Unmapped)'!$C$2:$C$45,$A22)</f>
        <v>0</v>
      </c>
      <c r="L22" s="11" t="n">
        <f aca="false">COUNTIFS('Blog Content Plan'!$D$2:$D$160,$A22,'Blog Content Plan'!$B$2:$B$160,"&lt;&gt;Published")</f>
        <v>0</v>
      </c>
      <c r="M22" s="11" t="n">
        <f aca="false">COUNTIFS('Blog Content Plan'!$D$2:$D$160,$A22,'Blog Content Plan'!$C$2:$C$160,1,'Blog Content Plan'!$B$2:$B$160,"&lt;&gt;Published")</f>
        <v>0</v>
      </c>
      <c r="N22" s="11" t="n">
        <f aca="false">COUNTIFS('Blog Content Plan'!$D$2:$D$160,$A22,'Blog Content Plan'!$B$2:$B$160,"Published")</f>
        <v>0</v>
      </c>
    </row>
    <row r="23" customFormat="false" ht="15" hidden="false" customHeight="false" outlineLevel="0" collapsed="false">
      <c r="A23" s="10" t="s">
        <v>95</v>
      </c>
      <c r="B23" s="11" t="n">
        <f aca="false">COUNTIF(Pages!$D$2:$D$824,$A23)</f>
        <v>29</v>
      </c>
      <c r="C23" s="11" t="n">
        <f aca="false">COUNTIFS(Pages!$D$2:$D$824,$A23,Pages!$I$2:$I$824,"Yes")</f>
        <v>27</v>
      </c>
      <c r="D23" s="11" t="n">
        <f aca="false">COUNTIF('Nationwide KWs'!$B$2:$B$158,$A23)</f>
        <v>0</v>
      </c>
      <c r="E23" s="11" t="n">
        <f aca="false">SUMIF('Nationwide KWs'!$B$2:$B$158,$A23,'Nationwide KWs'!$D$2:$D$158)</f>
        <v>0</v>
      </c>
      <c r="F23" s="11" t="n">
        <f aca="false">COUNTIF('Provincial KWs'!$B$2:$B$137,$A23)</f>
        <v>0</v>
      </c>
      <c r="G23" s="11" t="n">
        <f aca="false">SUMIF('Provincial KWs'!$B$2:$B$137,$A23,'Provincial KWs'!$E$2:$E$137)</f>
        <v>0</v>
      </c>
      <c r="H23" s="11" t="n">
        <f aca="false">COUNTIF('City KWs'!$B$2:$B$419,$A23)</f>
        <v>0</v>
      </c>
      <c r="I23" s="11" t="n">
        <f aca="false">SUMIF('City KWs'!$B$2:$B$419,$A23,'City KWs'!$F$2:$F$419)</f>
        <v>0</v>
      </c>
      <c r="J23" s="11" t="n">
        <f aca="false">E23+G23+I23</f>
        <v>0</v>
      </c>
      <c r="K23" s="11" t="n">
        <f aca="false">COUNTIF('Backlog (Unmapped)'!$C$2:$C$45,$A23)</f>
        <v>0</v>
      </c>
      <c r="L23" s="11" t="n">
        <f aca="false">COUNTIFS('Blog Content Plan'!$D$2:$D$160,$A23,'Blog Content Plan'!$B$2:$B$160,"&lt;&gt;Published")</f>
        <v>0</v>
      </c>
      <c r="M23" s="11" t="n">
        <f aca="false">COUNTIFS('Blog Content Plan'!$D$2:$D$160,$A23,'Blog Content Plan'!$C$2:$C$160,1,'Blog Content Plan'!$B$2:$B$160,"&lt;&gt;Published")</f>
        <v>0</v>
      </c>
      <c r="N23" s="11" t="n">
        <f aca="false">COUNTIFS('Blog Content Plan'!$D$2:$D$160,$A23,'Blog Content Plan'!$B$2:$B$160,"Published")</f>
        <v>0</v>
      </c>
    </row>
    <row r="24" customFormat="false" ht="15" hidden="false" customHeight="false" outlineLevel="0" collapsed="false">
      <c r="A24" s="12" t="s">
        <v>96</v>
      </c>
      <c r="B24" s="13" t="n">
        <f aca="false">SUM(B2:B23)</f>
        <v>823</v>
      </c>
      <c r="C24" s="13" t="n">
        <f aca="false">SUM(C2:C23)</f>
        <v>654</v>
      </c>
      <c r="D24" s="13" t="n">
        <f aca="false">SUM(D2:D23)</f>
        <v>157</v>
      </c>
      <c r="E24" s="13" t="n">
        <f aca="false">SUM(E2:E23)</f>
        <v>501840</v>
      </c>
      <c r="F24" s="13" t="n">
        <f aca="false">SUM(F2:F23)</f>
        <v>136</v>
      </c>
      <c r="G24" s="13" t="n">
        <f aca="false">SUM(G2:G23)</f>
        <v>145070</v>
      </c>
      <c r="H24" s="13" t="n">
        <f aca="false">SUM(H2:H23)</f>
        <v>418</v>
      </c>
      <c r="I24" s="13" t="n">
        <f aca="false">SUM(I2:I23)</f>
        <v>118714</v>
      </c>
      <c r="J24" s="13" t="n">
        <f aca="false">SUM(J2:J23)</f>
        <v>765624</v>
      </c>
      <c r="K24" s="13" t="n">
        <f aca="false">SUM(K2:K23)</f>
        <v>44</v>
      </c>
      <c r="L24" s="13" t="n">
        <f aca="false">SUM(L2:L23)</f>
        <v>141</v>
      </c>
      <c r="M24" s="13" t="n">
        <f aca="false">SUM(M2:M23)</f>
        <v>35</v>
      </c>
      <c r="N24" s="13" t="n">
        <f aca="false">SUM(N2:N23)</f>
        <v>18</v>
      </c>
    </row>
    <row r="26" customFormat="false" ht="15" hidden="false" customHeight="false" outlineLevel="0" collapsed="false">
      <c r="A26" s="14"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AC8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26"/>
    <col collapsed="false" customWidth="true" hidden="false" outlineLevel="0" max="7" min="7" style="0" width="16"/>
    <col collapsed="false" customWidth="true" hidden="false" outlineLevel="0" max="8" min="8" style="0" width="14"/>
    <col collapsed="false" customWidth="true" hidden="false" outlineLevel="0" max="9" min="9" style="0" width="9"/>
    <col collapsed="false" customWidth="true" hidden="false" outlineLevel="0" max="10" min="10" style="0" width="50"/>
    <col collapsed="false" customWidth="true" hidden="false" outlineLevel="0" max="11" min="11" style="0" width="8"/>
    <col collapsed="false" customWidth="true" hidden="false" outlineLevel="0" max="12" min="12" style="0" width="60"/>
    <col collapsed="false" customWidth="true" hidden="false" outlineLevel="0" max="13" min="13" style="0" width="8"/>
    <col collapsed="false" customWidth="true" hidden="false" outlineLevel="0" max="14" min="14" style="0" width="40"/>
    <col collapsed="false" customWidth="true" hidden="false" outlineLevel="0" max="15" min="15" style="0" width="30"/>
    <col collapsed="false" customWidth="true" hidden="false" outlineLevel="0" max="17" min="16" style="0" width="11"/>
    <col collapsed="false" customWidth="true" hidden="false" outlineLevel="0" max="18" min="18" style="0" width="30"/>
    <col collapsed="false" customWidth="true" hidden="false" outlineLevel="0" max="19" min="19" style="0" width="10"/>
    <col collapsed="false" customWidth="true" hidden="false" outlineLevel="0" max="20" min="20" style="0" width="12"/>
    <col collapsed="false" customWidth="true" hidden="false" outlineLevel="0" max="23" min="21" style="0" width="10"/>
    <col collapsed="false" customWidth="true" hidden="false" outlineLevel="0" max="24" min="24" style="0" width="11"/>
    <col collapsed="false" customWidth="true" hidden="false" outlineLevel="0" max="25" min="25" style="0" width="9"/>
    <col collapsed="false" customWidth="true" hidden="false" outlineLevel="0" max="26" min="26" style="0" width="22"/>
    <col collapsed="false" customWidth="true" hidden="false" outlineLevel="0" max="27" min="27" style="0" width="26"/>
    <col collapsed="false" customWidth="true" hidden="false" outlineLevel="0" max="28" min="28" style="0" width="14"/>
    <col collapsed="false" customWidth="true" hidden="false" outlineLevel="0" max="29" min="29" style="0" width="30"/>
  </cols>
  <sheetData>
    <row r="1" customFormat="false" ht="31.5" hidden="false" customHeight="true" outlineLevel="0" collapsed="false">
      <c r="A1" s="9" t="s">
        <v>98</v>
      </c>
      <c r="B1" s="9" t="s">
        <v>99</v>
      </c>
      <c r="C1" s="9" t="s">
        <v>100</v>
      </c>
      <c r="D1" s="9" t="s">
        <v>63</v>
      </c>
      <c r="E1" s="9" t="s">
        <v>101</v>
      </c>
      <c r="F1" s="9" t="s">
        <v>102</v>
      </c>
      <c r="G1" s="9" t="s">
        <v>103</v>
      </c>
      <c r="H1" s="9" t="s">
        <v>104</v>
      </c>
      <c r="I1" s="9" t="s">
        <v>105</v>
      </c>
      <c r="J1" s="9" t="s">
        <v>106</v>
      </c>
      <c r="K1" s="9" t="s">
        <v>107</v>
      </c>
      <c r="L1" s="9" t="s">
        <v>108</v>
      </c>
      <c r="M1" s="9" t="s">
        <v>109</v>
      </c>
      <c r="N1" s="9" t="s">
        <v>110</v>
      </c>
      <c r="O1" s="9" t="s">
        <v>111</v>
      </c>
      <c r="P1" s="9" t="s">
        <v>112</v>
      </c>
      <c r="Q1" s="9" t="s">
        <v>113</v>
      </c>
      <c r="R1" s="9" t="s">
        <v>114</v>
      </c>
      <c r="S1" s="9" t="s">
        <v>115</v>
      </c>
      <c r="T1" s="9" t="s">
        <v>116</v>
      </c>
      <c r="U1" s="9" t="s">
        <v>65</v>
      </c>
      <c r="V1" s="9" t="s">
        <v>67</v>
      </c>
      <c r="W1" s="9" t="s">
        <v>69</v>
      </c>
      <c r="X1" s="9" t="s">
        <v>117</v>
      </c>
      <c r="Y1" s="9" t="s">
        <v>118</v>
      </c>
      <c r="Z1" s="9" t="s">
        <v>119</v>
      </c>
      <c r="AA1" s="9" t="s">
        <v>120</v>
      </c>
      <c r="AB1" s="9" t="s">
        <v>121</v>
      </c>
      <c r="AC1" s="9" t="s">
        <v>122</v>
      </c>
    </row>
    <row r="2" customFormat="false" ht="23.85" hidden="false" customHeight="false" outlineLevel="0" collapsed="false">
      <c r="A2" s="15" t="s">
        <v>123</v>
      </c>
      <c r="B2" s="15" t="s">
        <v>124</v>
      </c>
      <c r="C2" s="15" t="s">
        <v>125</v>
      </c>
      <c r="D2" s="15" t="s">
        <v>95</v>
      </c>
      <c r="E2" s="15"/>
      <c r="F2" s="15"/>
      <c r="G2" s="15"/>
      <c r="H2" s="15"/>
      <c r="I2" s="15" t="s">
        <v>126</v>
      </c>
      <c r="J2" s="3" t="s">
        <v>127</v>
      </c>
      <c r="K2" s="15" t="n">
        <f aca="false">LEN(J2)</f>
        <v>69</v>
      </c>
      <c r="L2" s="3" t="s">
        <v>128</v>
      </c>
      <c r="M2" s="15" t="n">
        <f aca="false">LEN(L2)</f>
        <v>157</v>
      </c>
      <c r="N2" s="3" t="s">
        <v>129</v>
      </c>
      <c r="O2" s="15"/>
      <c r="P2" s="16"/>
      <c r="Q2" s="15"/>
      <c r="R2" s="15"/>
      <c r="S2" s="15" t="n">
        <f aca="false">COUNTIF('Page-Keyword Map'!$A$2:$A$668,B2)</f>
        <v>0</v>
      </c>
      <c r="T2" s="16" t="n">
        <f aca="false">SUMIF('Page-Keyword Map'!$A$2:$A$668,B2,'Page-Keyword Map'!$H$2:$H$668)</f>
        <v>0</v>
      </c>
      <c r="U2" s="15" t="n">
        <f aca="false">COUNTIFS('Page-Keyword Map'!$A$2:$A$668,B2,'Page-Keyword Map'!$E$2:$E$668,"Nationwide")</f>
        <v>0</v>
      </c>
      <c r="V2" s="15" t="n">
        <f aca="false">COUNTIFS('Page-Keyword Map'!$A$2:$A$668,B2,'Page-Keyword Map'!$E$2:$E$668,"Provincial")</f>
        <v>0</v>
      </c>
      <c r="W2" s="15" t="n">
        <f aca="false">COUNTIFS('Page-Keyword Map'!$A$2:$A$668,B2,'Page-Keyword Map'!$E$2:$E$668,"City")</f>
        <v>0</v>
      </c>
      <c r="X2" s="15" t="str">
        <f aca="false">IF(O2="","",IF(ISNUMBER(SEARCH(O2,J2)),"Yes","No"))</f>
        <v/>
      </c>
      <c r="Y2" s="15" t="n">
        <v>1</v>
      </c>
      <c r="Z2" s="15" t="s">
        <v>130</v>
      </c>
      <c r="AA2" s="15" t="s">
        <v>131</v>
      </c>
      <c r="AB2" s="17"/>
      <c r="AC2" s="17"/>
    </row>
    <row r="3" customFormat="false" ht="23.85" hidden="false" customHeight="false" outlineLevel="0" collapsed="false">
      <c r="A3" s="15" t="s">
        <v>132</v>
      </c>
      <c r="B3" s="15" t="s">
        <v>133</v>
      </c>
      <c r="C3" s="15" t="s">
        <v>125</v>
      </c>
      <c r="D3" s="15" t="s">
        <v>95</v>
      </c>
      <c r="E3" s="15"/>
      <c r="F3" s="15"/>
      <c r="G3" s="15"/>
      <c r="H3" s="15"/>
      <c r="I3" s="15" t="s">
        <v>126</v>
      </c>
      <c r="J3" s="3" t="s">
        <v>134</v>
      </c>
      <c r="K3" s="15" t="n">
        <f aca="false">LEN(J3)</f>
        <v>18</v>
      </c>
      <c r="L3" s="3" t="s">
        <v>135</v>
      </c>
      <c r="M3" s="15" t="n">
        <f aca="false">LEN(L3)</f>
        <v>134</v>
      </c>
      <c r="N3" s="3" t="s">
        <v>134</v>
      </c>
      <c r="O3" s="15"/>
      <c r="P3" s="16"/>
      <c r="Q3" s="15"/>
      <c r="R3" s="15"/>
      <c r="S3" s="15" t="n">
        <f aca="false">COUNTIF('Page-Keyword Map'!$A$2:$A$668,B3)</f>
        <v>0</v>
      </c>
      <c r="T3" s="16" t="n">
        <f aca="false">SUMIF('Page-Keyword Map'!$A$2:$A$668,B3,'Page-Keyword Map'!$H$2:$H$668)</f>
        <v>0</v>
      </c>
      <c r="U3" s="15" t="n">
        <f aca="false">COUNTIFS('Page-Keyword Map'!$A$2:$A$668,B3,'Page-Keyword Map'!$E$2:$E$668,"Nationwide")</f>
        <v>0</v>
      </c>
      <c r="V3" s="15" t="n">
        <f aca="false">COUNTIFS('Page-Keyword Map'!$A$2:$A$668,B3,'Page-Keyword Map'!$E$2:$E$668,"Provincial")</f>
        <v>0</v>
      </c>
      <c r="W3" s="15" t="n">
        <f aca="false">COUNTIFS('Page-Keyword Map'!$A$2:$A$668,B3,'Page-Keyword Map'!$E$2:$E$668,"City")</f>
        <v>0</v>
      </c>
      <c r="X3" s="15" t="str">
        <f aca="false">IF(O3="","",IF(ISNUMBER(SEARCH(O3,J3)),"Yes","No"))</f>
        <v/>
      </c>
      <c r="Y3" s="15" t="n">
        <v>0.4</v>
      </c>
      <c r="Z3" s="15" t="s">
        <v>130</v>
      </c>
      <c r="AA3" s="15" t="s">
        <v>131</v>
      </c>
      <c r="AB3" s="17"/>
      <c r="AC3" s="17"/>
    </row>
    <row r="4" customFormat="false" ht="23.85" hidden="false" customHeight="false" outlineLevel="0" collapsed="false">
      <c r="A4" s="15" t="s">
        <v>136</v>
      </c>
      <c r="B4" s="15" t="s">
        <v>137</v>
      </c>
      <c r="C4" s="15" t="s">
        <v>125</v>
      </c>
      <c r="D4" s="15" t="s">
        <v>95</v>
      </c>
      <c r="E4" s="15"/>
      <c r="F4" s="15"/>
      <c r="G4" s="15"/>
      <c r="H4" s="15"/>
      <c r="I4" s="15" t="s">
        <v>126</v>
      </c>
      <c r="J4" s="3" t="s">
        <v>138</v>
      </c>
      <c r="K4" s="15" t="n">
        <f aca="false">LEN(J4)</f>
        <v>28</v>
      </c>
      <c r="L4" s="3" t="s">
        <v>139</v>
      </c>
      <c r="M4" s="15" t="n">
        <f aca="false">LEN(L4)</f>
        <v>111</v>
      </c>
      <c r="N4" s="3" t="s">
        <v>140</v>
      </c>
      <c r="O4" s="15"/>
      <c r="P4" s="16"/>
      <c r="Q4" s="15"/>
      <c r="R4" s="15"/>
      <c r="S4" s="15" t="n">
        <f aca="false">COUNTIF('Page-Keyword Map'!$A$2:$A$668,B4)</f>
        <v>0</v>
      </c>
      <c r="T4" s="16" t="n">
        <f aca="false">SUMIF('Page-Keyword Map'!$A$2:$A$668,B4,'Page-Keyword Map'!$H$2:$H$668)</f>
        <v>0</v>
      </c>
      <c r="U4" s="15" t="n">
        <f aca="false">COUNTIFS('Page-Keyword Map'!$A$2:$A$668,B4,'Page-Keyword Map'!$E$2:$E$668,"Nationwide")</f>
        <v>0</v>
      </c>
      <c r="V4" s="15" t="n">
        <f aca="false">COUNTIFS('Page-Keyword Map'!$A$2:$A$668,B4,'Page-Keyword Map'!$E$2:$E$668,"Provincial")</f>
        <v>0</v>
      </c>
      <c r="W4" s="15" t="n">
        <f aca="false">COUNTIFS('Page-Keyword Map'!$A$2:$A$668,B4,'Page-Keyword Map'!$E$2:$E$668,"City")</f>
        <v>0</v>
      </c>
      <c r="X4" s="15" t="str">
        <f aca="false">IF(O4="","",IF(ISNUMBER(SEARCH(O4,J4)),"Yes","No"))</f>
        <v/>
      </c>
      <c r="Y4" s="15" t="n">
        <v>0.2</v>
      </c>
      <c r="Z4" s="15" t="s">
        <v>130</v>
      </c>
      <c r="AA4" s="15" t="s">
        <v>131</v>
      </c>
      <c r="AB4" s="17"/>
      <c r="AC4" s="17"/>
    </row>
    <row r="5" customFormat="false" ht="23.85" hidden="false" customHeight="false" outlineLevel="0" collapsed="false">
      <c r="A5" s="15" t="s">
        <v>141</v>
      </c>
      <c r="B5" s="15" t="s">
        <v>142</v>
      </c>
      <c r="C5" s="15" t="s">
        <v>125</v>
      </c>
      <c r="D5" s="15" t="s">
        <v>95</v>
      </c>
      <c r="E5" s="15"/>
      <c r="F5" s="15"/>
      <c r="G5" s="15"/>
      <c r="H5" s="15"/>
      <c r="I5" s="15" t="s">
        <v>126</v>
      </c>
      <c r="J5" s="3" t="s">
        <v>143</v>
      </c>
      <c r="K5" s="15" t="n">
        <f aca="false">LEN(J5)</f>
        <v>56</v>
      </c>
      <c r="L5" s="3" t="s">
        <v>144</v>
      </c>
      <c r="M5" s="15" t="n">
        <f aca="false">LEN(L5)</f>
        <v>153</v>
      </c>
      <c r="N5" s="3" t="s">
        <v>145</v>
      </c>
      <c r="O5" s="15" t="s">
        <v>146</v>
      </c>
      <c r="P5" s="16" t="n">
        <v>6600</v>
      </c>
      <c r="Q5" s="15" t="s">
        <v>147</v>
      </c>
      <c r="R5" s="15"/>
      <c r="S5" s="15" t="n">
        <f aca="false">COUNTIF('Page-Keyword Map'!$A$2:$A$668,B5)</f>
        <v>2</v>
      </c>
      <c r="T5" s="16" t="n">
        <f aca="false">SUMIF('Page-Keyword Map'!$A$2:$A$668,B5,'Page-Keyword Map'!$H$2:$H$668)</f>
        <v>7900</v>
      </c>
      <c r="U5" s="15" t="n">
        <f aca="false">COUNTIFS('Page-Keyword Map'!$A$2:$A$668,B5,'Page-Keyword Map'!$E$2:$E$668,"Nationwide")</f>
        <v>2</v>
      </c>
      <c r="V5" s="15" t="n">
        <f aca="false">COUNTIFS('Page-Keyword Map'!$A$2:$A$668,B5,'Page-Keyword Map'!$E$2:$E$668,"Provincial")</f>
        <v>0</v>
      </c>
      <c r="W5" s="15" t="n">
        <f aca="false">COUNTIFS('Page-Keyword Map'!$A$2:$A$668,B5,'Page-Keyword Map'!$E$2:$E$668,"City")</f>
        <v>0</v>
      </c>
      <c r="X5" s="15" t="str">
        <f aca="false">IF(O5="","",IF(ISNUMBER(SEARCH(O5,J5)),"Yes","No"))</f>
        <v>No</v>
      </c>
      <c r="Y5" s="15" t="n">
        <v>0.7</v>
      </c>
      <c r="Z5" s="15" t="s">
        <v>130</v>
      </c>
      <c r="AA5" s="15" t="s">
        <v>131</v>
      </c>
      <c r="AB5" s="17"/>
      <c r="AC5" s="17"/>
    </row>
    <row r="6" customFormat="false" ht="23.85" hidden="false" customHeight="false" outlineLevel="0" collapsed="false">
      <c r="A6" s="15" t="s">
        <v>148</v>
      </c>
      <c r="B6" s="15" t="s">
        <v>149</v>
      </c>
      <c r="C6" s="15" t="s">
        <v>125</v>
      </c>
      <c r="D6" s="15" t="s">
        <v>95</v>
      </c>
      <c r="E6" s="15"/>
      <c r="F6" s="15"/>
      <c r="G6" s="15"/>
      <c r="H6" s="15"/>
      <c r="I6" s="15" t="s">
        <v>126</v>
      </c>
      <c r="J6" s="3" t="s">
        <v>150</v>
      </c>
      <c r="K6" s="15" t="n">
        <f aca="false">LEN(J6)</f>
        <v>55</v>
      </c>
      <c r="L6" s="3" t="s">
        <v>151</v>
      </c>
      <c r="M6" s="15" t="n">
        <f aca="false">LEN(L6)</f>
        <v>164</v>
      </c>
      <c r="N6" s="3" t="s">
        <v>152</v>
      </c>
      <c r="O6" s="15"/>
      <c r="P6" s="16"/>
      <c r="Q6" s="15"/>
      <c r="R6" s="15"/>
      <c r="S6" s="15" t="n">
        <f aca="false">COUNTIF('Page-Keyword Map'!$A$2:$A$668,B6)</f>
        <v>0</v>
      </c>
      <c r="T6" s="16" t="n">
        <f aca="false">SUMIF('Page-Keyword Map'!$A$2:$A$668,B6,'Page-Keyword Map'!$H$2:$H$668)</f>
        <v>0</v>
      </c>
      <c r="U6" s="15" t="n">
        <f aca="false">COUNTIFS('Page-Keyword Map'!$A$2:$A$668,B6,'Page-Keyword Map'!$E$2:$E$668,"Nationwide")</f>
        <v>0</v>
      </c>
      <c r="V6" s="15" t="n">
        <f aca="false">COUNTIFS('Page-Keyword Map'!$A$2:$A$668,B6,'Page-Keyword Map'!$E$2:$E$668,"Provincial")</f>
        <v>0</v>
      </c>
      <c r="W6" s="15" t="n">
        <f aca="false">COUNTIFS('Page-Keyword Map'!$A$2:$A$668,B6,'Page-Keyword Map'!$E$2:$E$668,"City")</f>
        <v>0</v>
      </c>
      <c r="X6" s="15" t="str">
        <f aca="false">IF(O6="","",IF(ISNUMBER(SEARCH(O6,J6)),"Yes","No"))</f>
        <v/>
      </c>
      <c r="Y6" s="15" t="n">
        <v>0.8</v>
      </c>
      <c r="Z6" s="15" t="s">
        <v>130</v>
      </c>
      <c r="AA6" s="15" t="s">
        <v>131</v>
      </c>
      <c r="AB6" s="17"/>
      <c r="AC6" s="17"/>
    </row>
    <row r="7" customFormat="false" ht="23.85" hidden="false" customHeight="false" outlineLevel="0" collapsed="false">
      <c r="A7" s="15" t="s">
        <v>153</v>
      </c>
      <c r="B7" s="15" t="s">
        <v>154</v>
      </c>
      <c r="C7" s="15" t="s">
        <v>125</v>
      </c>
      <c r="D7" s="15" t="s">
        <v>95</v>
      </c>
      <c r="E7" s="15"/>
      <c r="F7" s="15"/>
      <c r="G7" s="15"/>
      <c r="H7" s="15"/>
      <c r="I7" s="15" t="s">
        <v>126</v>
      </c>
      <c r="J7" s="3" t="s">
        <v>155</v>
      </c>
      <c r="K7" s="15" t="n">
        <f aca="false">LEN(J7)</f>
        <v>56</v>
      </c>
      <c r="L7" s="3" t="s">
        <v>156</v>
      </c>
      <c r="M7" s="15" t="n">
        <f aca="false">LEN(L7)</f>
        <v>130</v>
      </c>
      <c r="N7" s="3" t="s">
        <v>157</v>
      </c>
      <c r="O7" s="15" t="s">
        <v>158</v>
      </c>
      <c r="P7" s="16" t="n">
        <v>140</v>
      </c>
      <c r="Q7" s="15" t="s">
        <v>147</v>
      </c>
      <c r="R7" s="15"/>
      <c r="S7" s="15" t="n">
        <f aca="false">COUNTIF('Page-Keyword Map'!$A$2:$A$668,B7)</f>
        <v>1</v>
      </c>
      <c r="T7" s="16" t="n">
        <f aca="false">SUMIF('Page-Keyword Map'!$A$2:$A$668,B7,'Page-Keyword Map'!$H$2:$H$668)</f>
        <v>140</v>
      </c>
      <c r="U7" s="15" t="n">
        <f aca="false">COUNTIFS('Page-Keyword Map'!$A$2:$A$668,B7,'Page-Keyword Map'!$E$2:$E$668,"Nationwide")</f>
        <v>1</v>
      </c>
      <c r="V7" s="15" t="n">
        <f aca="false">COUNTIFS('Page-Keyword Map'!$A$2:$A$668,B7,'Page-Keyword Map'!$E$2:$E$668,"Provincial")</f>
        <v>0</v>
      </c>
      <c r="W7" s="15" t="n">
        <f aca="false">COUNTIFS('Page-Keyword Map'!$A$2:$A$668,B7,'Page-Keyword Map'!$E$2:$E$668,"City")</f>
        <v>0</v>
      </c>
      <c r="X7" s="15" t="str">
        <f aca="false">IF(O7="","",IF(ISNUMBER(SEARCH(O7,J7)),"Yes","No"))</f>
        <v>No</v>
      </c>
      <c r="Y7" s="15" t="n">
        <v>0.6</v>
      </c>
      <c r="Z7" s="15" t="s">
        <v>130</v>
      </c>
      <c r="AA7" s="15" t="s">
        <v>131</v>
      </c>
      <c r="AB7" s="17"/>
      <c r="AC7" s="17"/>
    </row>
    <row r="8" customFormat="false" ht="23.85" hidden="false" customHeight="false" outlineLevel="0" collapsed="false">
      <c r="A8" s="15" t="s">
        <v>159</v>
      </c>
      <c r="B8" s="15" t="s">
        <v>160</v>
      </c>
      <c r="C8" s="15" t="s">
        <v>125</v>
      </c>
      <c r="D8" s="15" t="s">
        <v>95</v>
      </c>
      <c r="E8" s="15"/>
      <c r="F8" s="15"/>
      <c r="G8" s="15"/>
      <c r="H8" s="15"/>
      <c r="I8" s="15" t="s">
        <v>126</v>
      </c>
      <c r="J8" s="3" t="s">
        <v>161</v>
      </c>
      <c r="K8" s="15" t="n">
        <f aca="false">LEN(J8)</f>
        <v>55</v>
      </c>
      <c r="L8" s="3" t="s">
        <v>162</v>
      </c>
      <c r="M8" s="15" t="n">
        <f aca="false">LEN(L8)</f>
        <v>150</v>
      </c>
      <c r="N8" s="3" t="s">
        <v>163</v>
      </c>
      <c r="O8" s="15" t="s">
        <v>164</v>
      </c>
      <c r="P8" s="16" t="n">
        <v>2400</v>
      </c>
      <c r="Q8" s="15" t="s">
        <v>147</v>
      </c>
      <c r="R8" s="15"/>
      <c r="S8" s="15" t="n">
        <f aca="false">COUNTIF('Page-Keyword Map'!$A$2:$A$668,B8)</f>
        <v>2</v>
      </c>
      <c r="T8" s="16" t="n">
        <f aca="false">SUMIF('Page-Keyword Map'!$A$2:$A$668,B8,'Page-Keyword Map'!$H$2:$H$668)</f>
        <v>4300</v>
      </c>
      <c r="U8" s="15" t="n">
        <f aca="false">COUNTIFS('Page-Keyword Map'!$A$2:$A$668,B8,'Page-Keyword Map'!$E$2:$E$668,"Nationwide")</f>
        <v>2</v>
      </c>
      <c r="V8" s="15" t="n">
        <f aca="false">COUNTIFS('Page-Keyword Map'!$A$2:$A$668,B8,'Page-Keyword Map'!$E$2:$E$668,"Provincial")</f>
        <v>0</v>
      </c>
      <c r="W8" s="15" t="n">
        <f aca="false">COUNTIFS('Page-Keyword Map'!$A$2:$A$668,B8,'Page-Keyword Map'!$E$2:$E$668,"City")</f>
        <v>0</v>
      </c>
      <c r="X8" s="15" t="str">
        <f aca="false">IF(O8="","",IF(ISNUMBER(SEARCH(O8,J8)),"Yes","No"))</f>
        <v>No</v>
      </c>
      <c r="Y8" s="15" t="n">
        <v>0.8</v>
      </c>
      <c r="Z8" s="15" t="s">
        <v>130</v>
      </c>
      <c r="AA8" s="15" t="s">
        <v>131</v>
      </c>
      <c r="AB8" s="17"/>
      <c r="AC8" s="17"/>
    </row>
    <row r="9" customFormat="false" ht="23.85" hidden="false" customHeight="false" outlineLevel="0" collapsed="false">
      <c r="A9" s="15" t="s">
        <v>165</v>
      </c>
      <c r="B9" s="15" t="s">
        <v>166</v>
      </c>
      <c r="C9" s="15" t="s">
        <v>125</v>
      </c>
      <c r="D9" s="15" t="s">
        <v>95</v>
      </c>
      <c r="E9" s="15"/>
      <c r="F9" s="15"/>
      <c r="G9" s="15"/>
      <c r="H9" s="15"/>
      <c r="I9" s="15" t="s">
        <v>126</v>
      </c>
      <c r="J9" s="3" t="s">
        <v>167</v>
      </c>
      <c r="K9" s="15" t="n">
        <f aca="false">LEN(J9)</f>
        <v>62</v>
      </c>
      <c r="L9" s="3" t="s">
        <v>168</v>
      </c>
      <c r="M9" s="15" t="n">
        <f aca="false">LEN(L9)</f>
        <v>134</v>
      </c>
      <c r="N9" s="3" t="s">
        <v>169</v>
      </c>
      <c r="O9" s="15" t="s">
        <v>170</v>
      </c>
      <c r="P9" s="16" t="n">
        <v>260</v>
      </c>
      <c r="Q9" s="15" t="s">
        <v>147</v>
      </c>
      <c r="R9" s="15"/>
      <c r="S9" s="15" t="n">
        <f aca="false">COUNTIF('Page-Keyword Map'!$A$2:$A$668,B9)</f>
        <v>1</v>
      </c>
      <c r="T9" s="16" t="n">
        <f aca="false">SUMIF('Page-Keyword Map'!$A$2:$A$668,B9,'Page-Keyword Map'!$H$2:$H$668)</f>
        <v>260</v>
      </c>
      <c r="U9" s="15" t="n">
        <f aca="false">COUNTIFS('Page-Keyword Map'!$A$2:$A$668,B9,'Page-Keyword Map'!$E$2:$E$668,"Nationwide")</f>
        <v>1</v>
      </c>
      <c r="V9" s="15" t="n">
        <f aca="false">COUNTIFS('Page-Keyword Map'!$A$2:$A$668,B9,'Page-Keyword Map'!$E$2:$E$668,"Provincial")</f>
        <v>0</v>
      </c>
      <c r="W9" s="15" t="n">
        <f aca="false">COUNTIFS('Page-Keyword Map'!$A$2:$A$668,B9,'Page-Keyword Map'!$E$2:$E$668,"City")</f>
        <v>0</v>
      </c>
      <c r="X9" s="15" t="str">
        <f aca="false">IF(O9="","",IF(ISNUMBER(SEARCH(O9,J9)),"Yes","No"))</f>
        <v>No</v>
      </c>
      <c r="Y9" s="15" t="n">
        <v>0.6</v>
      </c>
      <c r="Z9" s="15" t="s">
        <v>130</v>
      </c>
      <c r="AA9" s="15" t="s">
        <v>131</v>
      </c>
      <c r="AB9" s="17"/>
      <c r="AC9" s="17"/>
    </row>
    <row r="10" customFormat="false" ht="23.85" hidden="false" customHeight="false" outlineLevel="0" collapsed="false">
      <c r="A10" s="15" t="s">
        <v>171</v>
      </c>
      <c r="B10" s="15" t="s">
        <v>172</v>
      </c>
      <c r="C10" s="15" t="s">
        <v>125</v>
      </c>
      <c r="D10" s="15" t="s">
        <v>95</v>
      </c>
      <c r="E10" s="15"/>
      <c r="F10" s="15"/>
      <c r="G10" s="15"/>
      <c r="H10" s="15"/>
      <c r="I10" s="15" t="s">
        <v>126</v>
      </c>
      <c r="J10" s="3" t="s">
        <v>173</v>
      </c>
      <c r="K10" s="15" t="n">
        <f aca="false">LEN(J10)</f>
        <v>59</v>
      </c>
      <c r="L10" s="3" t="s">
        <v>174</v>
      </c>
      <c r="M10" s="15" t="n">
        <f aca="false">LEN(L10)</f>
        <v>132</v>
      </c>
      <c r="N10" s="3" t="s">
        <v>175</v>
      </c>
      <c r="O10" s="15" t="s">
        <v>176</v>
      </c>
      <c r="P10" s="16" t="n">
        <v>260</v>
      </c>
      <c r="Q10" s="15" t="s">
        <v>147</v>
      </c>
      <c r="R10" s="15"/>
      <c r="S10" s="15" t="n">
        <f aca="false">COUNTIF('Page-Keyword Map'!$A$2:$A$668,B10)</f>
        <v>1</v>
      </c>
      <c r="T10" s="16" t="n">
        <f aca="false">SUMIF('Page-Keyword Map'!$A$2:$A$668,B10,'Page-Keyword Map'!$H$2:$H$668)</f>
        <v>260</v>
      </c>
      <c r="U10" s="15" t="n">
        <f aca="false">COUNTIFS('Page-Keyword Map'!$A$2:$A$668,B10,'Page-Keyword Map'!$E$2:$E$668,"Nationwide")</f>
        <v>1</v>
      </c>
      <c r="V10" s="15" t="n">
        <f aca="false">COUNTIFS('Page-Keyword Map'!$A$2:$A$668,B10,'Page-Keyword Map'!$E$2:$E$668,"Provincial")</f>
        <v>0</v>
      </c>
      <c r="W10" s="15" t="n">
        <f aca="false">COUNTIFS('Page-Keyword Map'!$A$2:$A$668,B10,'Page-Keyword Map'!$E$2:$E$668,"City")</f>
        <v>0</v>
      </c>
      <c r="X10" s="15" t="str">
        <f aca="false">IF(O10="","",IF(ISNUMBER(SEARCH(O10,J10)),"Yes","No"))</f>
        <v>No</v>
      </c>
      <c r="Y10" s="15" t="n">
        <v>0.6</v>
      </c>
      <c r="Z10" s="15" t="s">
        <v>130</v>
      </c>
      <c r="AA10" s="15" t="s">
        <v>131</v>
      </c>
      <c r="AB10" s="17"/>
      <c r="AC10" s="17"/>
    </row>
    <row r="11" customFormat="false" ht="23.85" hidden="false" customHeight="false" outlineLevel="0" collapsed="false">
      <c r="A11" s="15" t="s">
        <v>177</v>
      </c>
      <c r="B11" s="15" t="s">
        <v>178</v>
      </c>
      <c r="C11" s="15" t="s">
        <v>125</v>
      </c>
      <c r="D11" s="15" t="s">
        <v>95</v>
      </c>
      <c r="E11" s="15"/>
      <c r="F11" s="15"/>
      <c r="G11" s="15"/>
      <c r="H11" s="15"/>
      <c r="I11" s="15" t="s">
        <v>126</v>
      </c>
      <c r="J11" s="3" t="s">
        <v>179</v>
      </c>
      <c r="K11" s="15" t="n">
        <f aca="false">LEN(J11)</f>
        <v>62</v>
      </c>
      <c r="L11" s="3" t="s">
        <v>180</v>
      </c>
      <c r="M11" s="15" t="n">
        <f aca="false">LEN(L11)</f>
        <v>161</v>
      </c>
      <c r="N11" s="3" t="s">
        <v>181</v>
      </c>
      <c r="O11" s="15" t="s">
        <v>182</v>
      </c>
      <c r="P11" s="16" t="n">
        <v>1000</v>
      </c>
      <c r="Q11" s="15" t="s">
        <v>147</v>
      </c>
      <c r="R11" s="15"/>
      <c r="S11" s="15" t="n">
        <f aca="false">COUNTIF('Page-Keyword Map'!$A$2:$A$668,B11)</f>
        <v>1</v>
      </c>
      <c r="T11" s="16" t="n">
        <f aca="false">SUMIF('Page-Keyword Map'!$A$2:$A$668,B11,'Page-Keyword Map'!$H$2:$H$668)</f>
        <v>1000</v>
      </c>
      <c r="U11" s="15" t="n">
        <f aca="false">COUNTIFS('Page-Keyword Map'!$A$2:$A$668,B11,'Page-Keyword Map'!$E$2:$E$668,"Nationwide")</f>
        <v>1</v>
      </c>
      <c r="V11" s="15" t="n">
        <f aca="false">COUNTIFS('Page-Keyword Map'!$A$2:$A$668,B11,'Page-Keyword Map'!$E$2:$E$668,"Provincial")</f>
        <v>0</v>
      </c>
      <c r="W11" s="15" t="n">
        <f aca="false">COUNTIFS('Page-Keyword Map'!$A$2:$A$668,B11,'Page-Keyword Map'!$E$2:$E$668,"City")</f>
        <v>0</v>
      </c>
      <c r="X11" s="15" t="str">
        <f aca="false">IF(O11="","",IF(ISNUMBER(SEARCH(O11,J11)),"Yes","No"))</f>
        <v>No</v>
      </c>
      <c r="Y11" s="15" t="n">
        <v>0.7</v>
      </c>
      <c r="Z11" s="15" t="s">
        <v>130</v>
      </c>
      <c r="AA11" s="15" t="s">
        <v>131</v>
      </c>
      <c r="AB11" s="17"/>
      <c r="AC11" s="17"/>
    </row>
    <row r="12" customFormat="false" ht="23.85" hidden="false" customHeight="false" outlineLevel="0" collapsed="false">
      <c r="A12" s="15" t="s">
        <v>183</v>
      </c>
      <c r="B12" s="15" t="s">
        <v>184</v>
      </c>
      <c r="C12" s="15" t="s">
        <v>125</v>
      </c>
      <c r="D12" s="15" t="s">
        <v>95</v>
      </c>
      <c r="E12" s="15"/>
      <c r="F12" s="15"/>
      <c r="G12" s="15"/>
      <c r="H12" s="15"/>
      <c r="I12" s="15" t="s">
        <v>126</v>
      </c>
      <c r="J12" s="3" t="s">
        <v>185</v>
      </c>
      <c r="K12" s="15" t="n">
        <f aca="false">LEN(J12)</f>
        <v>55</v>
      </c>
      <c r="L12" s="3" t="s">
        <v>186</v>
      </c>
      <c r="M12" s="15" t="n">
        <f aca="false">LEN(L12)</f>
        <v>109</v>
      </c>
      <c r="N12" s="3" t="s">
        <v>187</v>
      </c>
      <c r="O12" s="15"/>
      <c r="P12" s="16"/>
      <c r="Q12" s="15"/>
      <c r="R12" s="15"/>
      <c r="S12" s="15" t="n">
        <f aca="false">COUNTIF('Page-Keyword Map'!$A$2:$A$668,B12)</f>
        <v>0</v>
      </c>
      <c r="T12" s="16" t="n">
        <f aca="false">SUMIF('Page-Keyword Map'!$A$2:$A$668,B12,'Page-Keyword Map'!$H$2:$H$668)</f>
        <v>0</v>
      </c>
      <c r="U12" s="15" t="n">
        <f aca="false">COUNTIFS('Page-Keyword Map'!$A$2:$A$668,B12,'Page-Keyword Map'!$E$2:$E$668,"Nationwide")</f>
        <v>0</v>
      </c>
      <c r="V12" s="15" t="n">
        <f aca="false">COUNTIFS('Page-Keyword Map'!$A$2:$A$668,B12,'Page-Keyword Map'!$E$2:$E$668,"Provincial")</f>
        <v>0</v>
      </c>
      <c r="W12" s="15" t="n">
        <f aca="false">COUNTIFS('Page-Keyword Map'!$A$2:$A$668,B12,'Page-Keyword Map'!$E$2:$E$668,"City")</f>
        <v>0</v>
      </c>
      <c r="X12" s="15" t="str">
        <f aca="false">IF(O12="","",IF(ISNUMBER(SEARCH(O12,J12)),"Yes","No"))</f>
        <v/>
      </c>
      <c r="Y12" s="15" t="n">
        <v>0.4</v>
      </c>
      <c r="Z12" s="15" t="s">
        <v>130</v>
      </c>
      <c r="AA12" s="15" t="s">
        <v>131</v>
      </c>
      <c r="AB12" s="17"/>
      <c r="AC12" s="17"/>
    </row>
    <row r="13" customFormat="false" ht="23.85" hidden="false" customHeight="false" outlineLevel="0" collapsed="false">
      <c r="A13" s="15" t="s">
        <v>188</v>
      </c>
      <c r="B13" s="15" t="s">
        <v>189</v>
      </c>
      <c r="C13" s="15" t="s">
        <v>125</v>
      </c>
      <c r="D13" s="15" t="s">
        <v>95</v>
      </c>
      <c r="E13" s="15"/>
      <c r="F13" s="15"/>
      <c r="G13" s="15"/>
      <c r="H13" s="15"/>
      <c r="I13" s="15" t="s">
        <v>126</v>
      </c>
      <c r="J13" s="3" t="s">
        <v>190</v>
      </c>
      <c r="K13" s="15" t="n">
        <f aca="false">LEN(J13)</f>
        <v>35</v>
      </c>
      <c r="L13" s="3" t="s">
        <v>191</v>
      </c>
      <c r="M13" s="15" t="n">
        <f aca="false">LEN(L13)</f>
        <v>133</v>
      </c>
      <c r="N13" s="3" t="s">
        <v>192</v>
      </c>
      <c r="O13" s="15"/>
      <c r="P13" s="16"/>
      <c r="Q13" s="15"/>
      <c r="R13" s="15"/>
      <c r="S13" s="15" t="n">
        <f aca="false">COUNTIF('Page-Keyword Map'!$A$2:$A$668,B13)</f>
        <v>0</v>
      </c>
      <c r="T13" s="16" t="n">
        <f aca="false">SUMIF('Page-Keyword Map'!$A$2:$A$668,B13,'Page-Keyword Map'!$H$2:$H$668)</f>
        <v>0</v>
      </c>
      <c r="U13" s="15" t="n">
        <f aca="false">COUNTIFS('Page-Keyword Map'!$A$2:$A$668,B13,'Page-Keyword Map'!$E$2:$E$668,"Nationwide")</f>
        <v>0</v>
      </c>
      <c r="V13" s="15" t="n">
        <f aca="false">COUNTIFS('Page-Keyword Map'!$A$2:$A$668,B13,'Page-Keyword Map'!$E$2:$E$668,"Provincial")</f>
        <v>0</v>
      </c>
      <c r="W13" s="15" t="n">
        <f aca="false">COUNTIFS('Page-Keyword Map'!$A$2:$A$668,B13,'Page-Keyword Map'!$E$2:$E$668,"City")</f>
        <v>0</v>
      </c>
      <c r="X13" s="15" t="str">
        <f aca="false">IF(O13="","",IF(ISNUMBER(SEARCH(O13,J13)),"Yes","No"))</f>
        <v/>
      </c>
      <c r="Y13" s="15" t="n">
        <v>0.4</v>
      </c>
      <c r="Z13" s="15" t="s">
        <v>130</v>
      </c>
      <c r="AA13" s="15" t="s">
        <v>131</v>
      </c>
      <c r="AB13" s="17"/>
      <c r="AC13" s="17"/>
    </row>
    <row r="14" customFormat="false" ht="23.85" hidden="false" customHeight="false" outlineLevel="0" collapsed="false">
      <c r="A14" s="15" t="s">
        <v>193</v>
      </c>
      <c r="B14" s="15" t="s">
        <v>194</v>
      </c>
      <c r="C14" s="15" t="s">
        <v>125</v>
      </c>
      <c r="D14" s="15" t="s">
        <v>95</v>
      </c>
      <c r="E14" s="15"/>
      <c r="F14" s="15"/>
      <c r="G14" s="15"/>
      <c r="H14" s="15"/>
      <c r="I14" s="15" t="s">
        <v>126</v>
      </c>
      <c r="J14" s="3" t="s">
        <v>195</v>
      </c>
      <c r="K14" s="15" t="n">
        <f aca="false">LEN(J14)</f>
        <v>55</v>
      </c>
      <c r="L14" s="3" t="s">
        <v>196</v>
      </c>
      <c r="M14" s="15" t="n">
        <f aca="false">LEN(L14)</f>
        <v>144</v>
      </c>
      <c r="N14" s="3" t="s">
        <v>197</v>
      </c>
      <c r="O14" s="15" t="s">
        <v>198</v>
      </c>
      <c r="P14" s="16" t="n">
        <v>880</v>
      </c>
      <c r="Q14" s="15" t="s">
        <v>147</v>
      </c>
      <c r="R14" s="15"/>
      <c r="S14" s="15" t="n">
        <f aca="false">COUNTIF('Page-Keyword Map'!$A$2:$A$668,B14)</f>
        <v>2</v>
      </c>
      <c r="T14" s="16" t="n">
        <f aca="false">SUMIF('Page-Keyword Map'!$A$2:$A$668,B14,'Page-Keyword Map'!$H$2:$H$668)</f>
        <v>1140</v>
      </c>
      <c r="U14" s="15" t="n">
        <f aca="false">COUNTIFS('Page-Keyword Map'!$A$2:$A$668,B14,'Page-Keyword Map'!$E$2:$E$668,"Nationwide")</f>
        <v>2</v>
      </c>
      <c r="V14" s="15" t="n">
        <f aca="false">COUNTIFS('Page-Keyword Map'!$A$2:$A$668,B14,'Page-Keyword Map'!$E$2:$E$668,"Provincial")</f>
        <v>0</v>
      </c>
      <c r="W14" s="15" t="n">
        <f aca="false">COUNTIFS('Page-Keyword Map'!$A$2:$A$668,B14,'Page-Keyword Map'!$E$2:$E$668,"City")</f>
        <v>0</v>
      </c>
      <c r="X14" s="15" t="str">
        <f aca="false">IF(O14="","",IF(ISNUMBER(SEARCH(O14,J14)),"Yes","No"))</f>
        <v>No</v>
      </c>
      <c r="Y14" s="15" t="n">
        <v>0.5</v>
      </c>
      <c r="Z14" s="15" t="s">
        <v>130</v>
      </c>
      <c r="AA14" s="15" t="s">
        <v>131</v>
      </c>
      <c r="AB14" s="17"/>
      <c r="AC14" s="17"/>
    </row>
    <row r="15" customFormat="false" ht="23.85" hidden="false" customHeight="false" outlineLevel="0" collapsed="false">
      <c r="A15" s="15" t="s">
        <v>199</v>
      </c>
      <c r="B15" s="15" t="s">
        <v>200</v>
      </c>
      <c r="C15" s="15" t="s">
        <v>125</v>
      </c>
      <c r="D15" s="15" t="s">
        <v>95</v>
      </c>
      <c r="E15" s="15"/>
      <c r="F15" s="15"/>
      <c r="G15" s="15"/>
      <c r="H15" s="15"/>
      <c r="I15" s="15" t="s">
        <v>126</v>
      </c>
      <c r="J15" s="3" t="s">
        <v>201</v>
      </c>
      <c r="K15" s="15" t="n">
        <f aca="false">LEN(J15)</f>
        <v>56</v>
      </c>
      <c r="L15" s="3" t="s">
        <v>202</v>
      </c>
      <c r="M15" s="15" t="n">
        <f aca="false">LEN(L15)</f>
        <v>153</v>
      </c>
      <c r="N15" s="3" t="s">
        <v>203</v>
      </c>
      <c r="O15" s="15"/>
      <c r="P15" s="16"/>
      <c r="Q15" s="15"/>
      <c r="R15" s="15"/>
      <c r="S15" s="15" t="n">
        <f aca="false">COUNTIF('Page-Keyword Map'!$A$2:$A$668,B15)</f>
        <v>0</v>
      </c>
      <c r="T15" s="16" t="n">
        <f aca="false">SUMIF('Page-Keyword Map'!$A$2:$A$668,B15,'Page-Keyword Map'!$H$2:$H$668)</f>
        <v>0</v>
      </c>
      <c r="U15" s="15" t="n">
        <f aca="false">COUNTIFS('Page-Keyword Map'!$A$2:$A$668,B15,'Page-Keyword Map'!$E$2:$E$668,"Nationwide")</f>
        <v>0</v>
      </c>
      <c r="V15" s="15" t="n">
        <f aca="false">COUNTIFS('Page-Keyword Map'!$A$2:$A$668,B15,'Page-Keyword Map'!$E$2:$E$668,"Provincial")</f>
        <v>0</v>
      </c>
      <c r="W15" s="15" t="n">
        <f aca="false">COUNTIFS('Page-Keyword Map'!$A$2:$A$668,B15,'Page-Keyword Map'!$E$2:$E$668,"City")</f>
        <v>0</v>
      </c>
      <c r="X15" s="15" t="str">
        <f aca="false">IF(O15="","",IF(ISNUMBER(SEARCH(O15,J15)),"Yes","No"))</f>
        <v/>
      </c>
      <c r="Y15" s="15" t="n">
        <v>0.8</v>
      </c>
      <c r="Z15" s="15" t="s">
        <v>130</v>
      </c>
      <c r="AA15" s="15" t="s">
        <v>131</v>
      </c>
      <c r="AB15" s="17"/>
      <c r="AC15" s="17"/>
    </row>
    <row r="16" customFormat="false" ht="23.85" hidden="false" customHeight="false" outlineLevel="0" collapsed="false">
      <c r="A16" s="15" t="s">
        <v>204</v>
      </c>
      <c r="B16" s="15" t="s">
        <v>205</v>
      </c>
      <c r="C16" s="15" t="s">
        <v>125</v>
      </c>
      <c r="D16" s="15" t="s">
        <v>95</v>
      </c>
      <c r="E16" s="15"/>
      <c r="F16" s="15"/>
      <c r="G16" s="15"/>
      <c r="H16" s="15"/>
      <c r="I16" s="15" t="s">
        <v>126</v>
      </c>
      <c r="J16" s="3" t="s">
        <v>206</v>
      </c>
      <c r="K16" s="15" t="n">
        <f aca="false">LEN(J16)</f>
        <v>40</v>
      </c>
      <c r="L16" s="3" t="s">
        <v>207</v>
      </c>
      <c r="M16" s="15" t="n">
        <f aca="false">LEN(L16)</f>
        <v>130</v>
      </c>
      <c r="N16" s="3" t="s">
        <v>208</v>
      </c>
      <c r="O16" s="15"/>
      <c r="P16" s="16"/>
      <c r="Q16" s="15"/>
      <c r="R16" s="15"/>
      <c r="S16" s="15" t="n">
        <f aca="false">COUNTIF('Page-Keyword Map'!$A$2:$A$668,B16)</f>
        <v>0</v>
      </c>
      <c r="T16" s="16" t="n">
        <f aca="false">SUMIF('Page-Keyword Map'!$A$2:$A$668,B16,'Page-Keyword Map'!$H$2:$H$668)</f>
        <v>0</v>
      </c>
      <c r="U16" s="15" t="n">
        <f aca="false">COUNTIFS('Page-Keyword Map'!$A$2:$A$668,B16,'Page-Keyword Map'!$E$2:$E$668,"Nationwide")</f>
        <v>0</v>
      </c>
      <c r="V16" s="15" t="n">
        <f aca="false">COUNTIFS('Page-Keyword Map'!$A$2:$A$668,B16,'Page-Keyword Map'!$E$2:$E$668,"Provincial")</f>
        <v>0</v>
      </c>
      <c r="W16" s="15" t="n">
        <f aca="false">COUNTIFS('Page-Keyword Map'!$A$2:$A$668,B16,'Page-Keyword Map'!$E$2:$E$668,"City")</f>
        <v>0</v>
      </c>
      <c r="X16" s="15" t="str">
        <f aca="false">IF(O16="","",IF(ISNUMBER(SEARCH(O16,J16)),"Yes","No"))</f>
        <v/>
      </c>
      <c r="Y16" s="15" t="n">
        <v>0.4</v>
      </c>
      <c r="Z16" s="15" t="s">
        <v>130</v>
      </c>
      <c r="AA16" s="15" t="s">
        <v>131</v>
      </c>
      <c r="AB16" s="17"/>
      <c r="AC16" s="17"/>
    </row>
    <row r="17" customFormat="false" ht="23.85" hidden="false" customHeight="false" outlineLevel="0" collapsed="false">
      <c r="A17" s="15" t="s">
        <v>209</v>
      </c>
      <c r="B17" s="15" t="s">
        <v>210</v>
      </c>
      <c r="C17" s="15" t="s">
        <v>125</v>
      </c>
      <c r="D17" s="15" t="s">
        <v>95</v>
      </c>
      <c r="E17" s="15"/>
      <c r="F17" s="15"/>
      <c r="G17" s="15"/>
      <c r="H17" s="15"/>
      <c r="I17" s="15" t="s">
        <v>211</v>
      </c>
      <c r="J17" s="3" t="s">
        <v>212</v>
      </c>
      <c r="K17" s="15" t="n">
        <f aca="false">LEN(J17)</f>
        <v>66</v>
      </c>
      <c r="L17" s="3" t="s">
        <v>213</v>
      </c>
      <c r="M17" s="15" t="n">
        <f aca="false">LEN(L17)</f>
        <v>126</v>
      </c>
      <c r="N17" s="3" t="s">
        <v>214</v>
      </c>
      <c r="O17" s="15" t="s">
        <v>215</v>
      </c>
      <c r="P17" s="16" t="n">
        <v>2900</v>
      </c>
      <c r="Q17" s="15" t="s">
        <v>147</v>
      </c>
      <c r="R17" s="15"/>
      <c r="S17" s="15" t="n">
        <f aca="false">COUNTIF('Page-Keyword Map'!$A$2:$A$668,B17)</f>
        <v>3</v>
      </c>
      <c r="T17" s="16" t="n">
        <f aca="false">SUMIF('Page-Keyword Map'!$A$2:$A$668,B17,'Page-Keyword Map'!$H$2:$H$668)</f>
        <v>5200</v>
      </c>
      <c r="U17" s="15" t="n">
        <f aca="false">COUNTIFS('Page-Keyword Map'!$A$2:$A$668,B17,'Page-Keyword Map'!$E$2:$E$668,"Nationwide")</f>
        <v>3</v>
      </c>
      <c r="V17" s="15" t="n">
        <f aca="false">COUNTIFS('Page-Keyword Map'!$A$2:$A$668,B17,'Page-Keyword Map'!$E$2:$E$668,"Provincial")</f>
        <v>0</v>
      </c>
      <c r="W17" s="15" t="n">
        <f aca="false">COUNTIFS('Page-Keyword Map'!$A$2:$A$668,B17,'Page-Keyword Map'!$E$2:$E$668,"City")</f>
        <v>0</v>
      </c>
      <c r="X17" s="15" t="str">
        <f aca="false">IF(O17="","",IF(ISNUMBER(SEARCH(O17,J17)),"Yes","No"))</f>
        <v>No</v>
      </c>
      <c r="Y17" s="15" t="n">
        <v>0.7</v>
      </c>
      <c r="Z17" s="15" t="s">
        <v>216</v>
      </c>
      <c r="AA17" s="15" t="s">
        <v>217</v>
      </c>
      <c r="AB17" s="17"/>
      <c r="AC17" s="17"/>
    </row>
    <row r="18" customFormat="false" ht="23.85" hidden="false" customHeight="false" outlineLevel="0" collapsed="false">
      <c r="A18" s="15" t="s">
        <v>218</v>
      </c>
      <c r="B18" s="15" t="s">
        <v>219</v>
      </c>
      <c r="C18" s="15" t="s">
        <v>125</v>
      </c>
      <c r="D18" s="15" t="s">
        <v>93</v>
      </c>
      <c r="E18" s="15"/>
      <c r="F18" s="15"/>
      <c r="G18" s="15"/>
      <c r="H18" s="15"/>
      <c r="I18" s="15" t="s">
        <v>126</v>
      </c>
      <c r="J18" s="3" t="s">
        <v>220</v>
      </c>
      <c r="K18" s="15" t="n">
        <f aca="false">LEN(J18)</f>
        <v>51</v>
      </c>
      <c r="L18" s="3" t="s">
        <v>221</v>
      </c>
      <c r="M18" s="15" t="n">
        <f aca="false">LEN(L18)</f>
        <v>156</v>
      </c>
      <c r="N18" s="3" t="s">
        <v>222</v>
      </c>
      <c r="O18" s="15" t="s">
        <v>223</v>
      </c>
      <c r="P18" s="16" t="n">
        <v>1000</v>
      </c>
      <c r="Q18" s="15" t="s">
        <v>147</v>
      </c>
      <c r="R18" s="15"/>
      <c r="S18" s="15" t="n">
        <f aca="false">COUNTIF('Page-Keyword Map'!$A$2:$A$668,B18)</f>
        <v>1</v>
      </c>
      <c r="T18" s="16" t="n">
        <f aca="false">SUMIF('Page-Keyword Map'!$A$2:$A$668,B18,'Page-Keyword Map'!$H$2:$H$668)</f>
        <v>1000</v>
      </c>
      <c r="U18" s="15" t="n">
        <f aca="false">COUNTIFS('Page-Keyword Map'!$A$2:$A$668,B18,'Page-Keyword Map'!$E$2:$E$668,"Nationwide")</f>
        <v>1</v>
      </c>
      <c r="V18" s="15" t="n">
        <f aca="false">COUNTIFS('Page-Keyword Map'!$A$2:$A$668,B18,'Page-Keyword Map'!$E$2:$E$668,"Provincial")</f>
        <v>0</v>
      </c>
      <c r="W18" s="15" t="n">
        <f aca="false">COUNTIFS('Page-Keyword Map'!$A$2:$A$668,B18,'Page-Keyword Map'!$E$2:$E$668,"City")</f>
        <v>0</v>
      </c>
      <c r="X18" s="15" t="str">
        <f aca="false">IF(O18="","",IF(ISNUMBER(SEARCH(O18,J18)),"Yes","No"))</f>
        <v>No</v>
      </c>
      <c r="Y18" s="15" t="n">
        <v>0.8</v>
      </c>
      <c r="Z18" s="15" t="s">
        <v>130</v>
      </c>
      <c r="AA18" s="15" t="s">
        <v>131</v>
      </c>
      <c r="AB18" s="17"/>
      <c r="AC18" s="17"/>
    </row>
    <row r="19" customFormat="false" ht="23.85" hidden="false" customHeight="false" outlineLevel="0" collapsed="false">
      <c r="A19" s="15" t="s">
        <v>224</v>
      </c>
      <c r="B19" s="15" t="s">
        <v>225</v>
      </c>
      <c r="C19" s="15" t="s">
        <v>125</v>
      </c>
      <c r="D19" s="15" t="s">
        <v>94</v>
      </c>
      <c r="E19" s="15"/>
      <c r="F19" s="15"/>
      <c r="G19" s="15"/>
      <c r="H19" s="15"/>
      <c r="I19" s="15" t="s">
        <v>126</v>
      </c>
      <c r="J19" s="3" t="s">
        <v>226</v>
      </c>
      <c r="K19" s="15" t="n">
        <f aca="false">LEN(J19)</f>
        <v>58</v>
      </c>
      <c r="L19" s="3" t="s">
        <v>227</v>
      </c>
      <c r="M19" s="15" t="n">
        <f aca="false">LEN(L19)</f>
        <v>142</v>
      </c>
      <c r="N19" s="3" t="s">
        <v>228</v>
      </c>
      <c r="O19" s="15"/>
      <c r="P19" s="16"/>
      <c r="Q19" s="15"/>
      <c r="R19" s="15"/>
      <c r="S19" s="15" t="n">
        <f aca="false">COUNTIF('Page-Keyword Map'!$A$2:$A$668,B19)</f>
        <v>0</v>
      </c>
      <c r="T19" s="16" t="n">
        <f aca="false">SUMIF('Page-Keyword Map'!$A$2:$A$668,B19,'Page-Keyword Map'!$H$2:$H$668)</f>
        <v>0</v>
      </c>
      <c r="U19" s="15" t="n">
        <f aca="false">COUNTIFS('Page-Keyword Map'!$A$2:$A$668,B19,'Page-Keyword Map'!$E$2:$E$668,"Nationwide")</f>
        <v>0</v>
      </c>
      <c r="V19" s="15" t="n">
        <f aca="false">COUNTIFS('Page-Keyword Map'!$A$2:$A$668,B19,'Page-Keyword Map'!$E$2:$E$668,"Provincial")</f>
        <v>0</v>
      </c>
      <c r="W19" s="15" t="n">
        <f aca="false">COUNTIFS('Page-Keyword Map'!$A$2:$A$668,B19,'Page-Keyword Map'!$E$2:$E$668,"City")</f>
        <v>0</v>
      </c>
      <c r="X19" s="15" t="str">
        <f aca="false">IF(O19="","",IF(ISNUMBER(SEARCH(O19,J19)),"Yes","No"))</f>
        <v/>
      </c>
      <c r="Y19" s="15" t="n">
        <v>0.7</v>
      </c>
      <c r="Z19" s="15" t="s">
        <v>130</v>
      </c>
      <c r="AA19" s="15" t="s">
        <v>131</v>
      </c>
      <c r="AB19" s="17"/>
      <c r="AC19" s="17"/>
    </row>
    <row r="20" customFormat="false" ht="23.85" hidden="false" customHeight="false" outlineLevel="0" collapsed="false">
      <c r="A20" s="15" t="s">
        <v>229</v>
      </c>
      <c r="B20" s="15" t="s">
        <v>230</v>
      </c>
      <c r="C20" s="15" t="s">
        <v>125</v>
      </c>
      <c r="D20" s="15" t="s">
        <v>95</v>
      </c>
      <c r="E20" s="15"/>
      <c r="F20" s="15"/>
      <c r="G20" s="15"/>
      <c r="H20" s="15"/>
      <c r="I20" s="15" t="s">
        <v>126</v>
      </c>
      <c r="J20" s="3" t="s">
        <v>231</v>
      </c>
      <c r="K20" s="15" t="n">
        <f aca="false">LEN(J20)</f>
        <v>38</v>
      </c>
      <c r="L20" s="3" t="s">
        <v>232</v>
      </c>
      <c r="M20" s="15" t="n">
        <f aca="false">LEN(L20)</f>
        <v>111</v>
      </c>
      <c r="N20" s="3" t="s">
        <v>233</v>
      </c>
      <c r="O20" s="15"/>
      <c r="P20" s="16"/>
      <c r="Q20" s="15"/>
      <c r="R20" s="15"/>
      <c r="S20" s="15" t="n">
        <f aca="false">COUNTIF('Page-Keyword Map'!$A$2:$A$668,B20)</f>
        <v>0</v>
      </c>
      <c r="T20" s="16" t="n">
        <f aca="false">SUMIF('Page-Keyword Map'!$A$2:$A$668,B20,'Page-Keyword Map'!$H$2:$H$668)</f>
        <v>0</v>
      </c>
      <c r="U20" s="15" t="n">
        <f aca="false">COUNTIFS('Page-Keyword Map'!$A$2:$A$668,B20,'Page-Keyword Map'!$E$2:$E$668,"Nationwide")</f>
        <v>0</v>
      </c>
      <c r="V20" s="15" t="n">
        <f aca="false">COUNTIFS('Page-Keyword Map'!$A$2:$A$668,B20,'Page-Keyword Map'!$E$2:$E$668,"Provincial")</f>
        <v>0</v>
      </c>
      <c r="W20" s="15" t="n">
        <f aca="false">COUNTIFS('Page-Keyword Map'!$A$2:$A$668,B20,'Page-Keyword Map'!$E$2:$E$668,"City")</f>
        <v>0</v>
      </c>
      <c r="X20" s="15" t="str">
        <f aca="false">IF(O20="","",IF(ISNUMBER(SEARCH(O20,J20)),"Yes","No"))</f>
        <v/>
      </c>
      <c r="Y20" s="15" t="n">
        <v>0.4</v>
      </c>
      <c r="Z20" s="15" t="s">
        <v>130</v>
      </c>
      <c r="AA20" s="15" t="s">
        <v>131</v>
      </c>
      <c r="AB20" s="17"/>
      <c r="AC20" s="17"/>
    </row>
    <row r="21" customFormat="false" ht="23.85" hidden="false" customHeight="false" outlineLevel="0" collapsed="false">
      <c r="A21" s="15" t="s">
        <v>234</v>
      </c>
      <c r="B21" s="15" t="s">
        <v>235</v>
      </c>
      <c r="C21" s="15" t="s">
        <v>125</v>
      </c>
      <c r="D21" s="15" t="s">
        <v>95</v>
      </c>
      <c r="E21" s="15"/>
      <c r="F21" s="15"/>
      <c r="G21" s="15"/>
      <c r="H21" s="15"/>
      <c r="I21" s="15" t="s">
        <v>126</v>
      </c>
      <c r="J21" s="3" t="s">
        <v>236</v>
      </c>
      <c r="K21" s="15" t="n">
        <f aca="false">LEN(J21)</f>
        <v>29</v>
      </c>
      <c r="L21" s="3" t="s">
        <v>237</v>
      </c>
      <c r="M21" s="15" t="n">
        <f aca="false">LEN(L21)</f>
        <v>153</v>
      </c>
      <c r="N21" s="3" t="s">
        <v>238</v>
      </c>
      <c r="O21" s="15"/>
      <c r="P21" s="16"/>
      <c r="Q21" s="15"/>
      <c r="R21" s="15"/>
      <c r="S21" s="15" t="n">
        <f aca="false">COUNTIF('Page-Keyword Map'!$A$2:$A$668,B21)</f>
        <v>0</v>
      </c>
      <c r="T21" s="16" t="n">
        <f aca="false">SUMIF('Page-Keyword Map'!$A$2:$A$668,B21,'Page-Keyword Map'!$H$2:$H$668)</f>
        <v>0</v>
      </c>
      <c r="U21" s="15" t="n">
        <f aca="false">COUNTIFS('Page-Keyword Map'!$A$2:$A$668,B21,'Page-Keyword Map'!$E$2:$E$668,"Nationwide")</f>
        <v>0</v>
      </c>
      <c r="V21" s="15" t="n">
        <f aca="false">COUNTIFS('Page-Keyword Map'!$A$2:$A$668,B21,'Page-Keyword Map'!$E$2:$E$668,"Provincial")</f>
        <v>0</v>
      </c>
      <c r="W21" s="15" t="n">
        <f aca="false">COUNTIFS('Page-Keyword Map'!$A$2:$A$668,B21,'Page-Keyword Map'!$E$2:$E$668,"City")</f>
        <v>0</v>
      </c>
      <c r="X21" s="15" t="str">
        <f aca="false">IF(O21="","",IF(ISNUMBER(SEARCH(O21,J21)),"Yes","No"))</f>
        <v/>
      </c>
      <c r="Y21" s="15" t="n">
        <v>0.2</v>
      </c>
      <c r="Z21" s="15" t="s">
        <v>130</v>
      </c>
      <c r="AA21" s="15" t="s">
        <v>131</v>
      </c>
      <c r="AB21" s="17"/>
      <c r="AC21" s="17"/>
    </row>
    <row r="22" customFormat="false" ht="23.85" hidden="false" customHeight="false" outlineLevel="0" collapsed="false">
      <c r="A22" s="15" t="s">
        <v>239</v>
      </c>
      <c r="B22" s="15" t="s">
        <v>240</v>
      </c>
      <c r="C22" s="15" t="s">
        <v>125</v>
      </c>
      <c r="D22" s="15" t="s">
        <v>95</v>
      </c>
      <c r="E22" s="15"/>
      <c r="F22" s="15"/>
      <c r="G22" s="15"/>
      <c r="H22" s="15"/>
      <c r="I22" s="15" t="s">
        <v>126</v>
      </c>
      <c r="J22" s="3" t="s">
        <v>241</v>
      </c>
      <c r="K22" s="15" t="n">
        <f aca="false">LEN(J22)</f>
        <v>55</v>
      </c>
      <c r="L22" s="3" t="s">
        <v>242</v>
      </c>
      <c r="M22" s="15" t="n">
        <f aca="false">LEN(L22)</f>
        <v>164</v>
      </c>
      <c r="N22" s="3" t="s">
        <v>243</v>
      </c>
      <c r="O22" s="15" t="s">
        <v>244</v>
      </c>
      <c r="P22" s="16" t="n">
        <v>6600</v>
      </c>
      <c r="Q22" s="15" t="s">
        <v>147</v>
      </c>
      <c r="R22" s="15"/>
      <c r="S22" s="15" t="n">
        <f aca="false">COUNTIF('Page-Keyword Map'!$A$2:$A$668,B22)</f>
        <v>2</v>
      </c>
      <c r="T22" s="16" t="n">
        <f aca="false">SUMIF('Page-Keyword Map'!$A$2:$A$668,B22,'Page-Keyword Map'!$H$2:$H$668)</f>
        <v>6920</v>
      </c>
      <c r="U22" s="15" t="n">
        <f aca="false">COUNTIFS('Page-Keyword Map'!$A$2:$A$668,B22,'Page-Keyword Map'!$E$2:$E$668,"Nationwide")</f>
        <v>2</v>
      </c>
      <c r="V22" s="15" t="n">
        <f aca="false">COUNTIFS('Page-Keyword Map'!$A$2:$A$668,B22,'Page-Keyword Map'!$E$2:$E$668,"Provincial")</f>
        <v>0</v>
      </c>
      <c r="W22" s="15" t="n">
        <f aca="false">COUNTIFS('Page-Keyword Map'!$A$2:$A$668,B22,'Page-Keyword Map'!$E$2:$E$668,"City")</f>
        <v>0</v>
      </c>
      <c r="X22" s="15" t="str">
        <f aca="false">IF(O22="","",IF(ISNUMBER(SEARCH(O22,J22)),"Yes","No"))</f>
        <v>No</v>
      </c>
      <c r="Y22" s="15" t="n">
        <v>0.9</v>
      </c>
      <c r="Z22" s="15" t="s">
        <v>130</v>
      </c>
      <c r="AA22" s="15" t="s">
        <v>131</v>
      </c>
      <c r="AB22" s="17"/>
      <c r="AC22" s="17"/>
    </row>
    <row r="23" customFormat="false" ht="15" hidden="false" customHeight="false" outlineLevel="0" collapsed="false">
      <c r="A23" s="15" t="s">
        <v>245</v>
      </c>
      <c r="B23" s="15" t="s">
        <v>246</v>
      </c>
      <c r="C23" s="15" t="s">
        <v>125</v>
      </c>
      <c r="D23" s="15" t="s">
        <v>95</v>
      </c>
      <c r="E23" s="15"/>
      <c r="F23" s="15"/>
      <c r="G23" s="15"/>
      <c r="H23" s="15"/>
      <c r="I23" s="15" t="s">
        <v>126</v>
      </c>
      <c r="J23" s="3" t="s">
        <v>247</v>
      </c>
      <c r="K23" s="15" t="n">
        <f aca="false">LEN(J23)</f>
        <v>23</v>
      </c>
      <c r="L23" s="3" t="s">
        <v>248</v>
      </c>
      <c r="M23" s="15" t="n">
        <f aca="false">LEN(L23)</f>
        <v>61</v>
      </c>
      <c r="N23" s="3" t="s">
        <v>249</v>
      </c>
      <c r="O23" s="15"/>
      <c r="P23" s="16"/>
      <c r="Q23" s="15"/>
      <c r="R23" s="15"/>
      <c r="S23" s="15" t="n">
        <f aca="false">COUNTIF('Page-Keyword Map'!$A$2:$A$668,B23)</f>
        <v>0</v>
      </c>
      <c r="T23" s="16" t="n">
        <f aca="false">SUMIF('Page-Keyword Map'!$A$2:$A$668,B23,'Page-Keyword Map'!$H$2:$H$668)</f>
        <v>0</v>
      </c>
      <c r="U23" s="15" t="n">
        <f aca="false">COUNTIFS('Page-Keyword Map'!$A$2:$A$668,B23,'Page-Keyword Map'!$E$2:$E$668,"Nationwide")</f>
        <v>0</v>
      </c>
      <c r="V23" s="15" t="n">
        <f aca="false">COUNTIFS('Page-Keyword Map'!$A$2:$A$668,B23,'Page-Keyword Map'!$E$2:$E$668,"Provincial")</f>
        <v>0</v>
      </c>
      <c r="W23" s="15" t="n">
        <f aca="false">COUNTIFS('Page-Keyword Map'!$A$2:$A$668,B23,'Page-Keyword Map'!$E$2:$E$668,"City")</f>
        <v>0</v>
      </c>
      <c r="X23" s="15" t="str">
        <f aca="false">IF(O23="","",IF(ISNUMBER(SEARCH(O23,J23)),"Yes","No"))</f>
        <v/>
      </c>
      <c r="Y23" s="15" t="n">
        <v>0.3</v>
      </c>
      <c r="Z23" s="15" t="s">
        <v>130</v>
      </c>
      <c r="AA23" s="15" t="s">
        <v>131</v>
      </c>
      <c r="AB23" s="17"/>
      <c r="AC23" s="17"/>
    </row>
    <row r="24" customFormat="false" ht="15" hidden="false" customHeight="false" outlineLevel="0" collapsed="false">
      <c r="A24" s="15" t="s">
        <v>250</v>
      </c>
      <c r="B24" s="15" t="s">
        <v>251</v>
      </c>
      <c r="C24" s="15" t="s">
        <v>125</v>
      </c>
      <c r="D24" s="15" t="s">
        <v>95</v>
      </c>
      <c r="E24" s="15"/>
      <c r="F24" s="15"/>
      <c r="G24" s="15"/>
      <c r="H24" s="15"/>
      <c r="I24" s="15" t="s">
        <v>126</v>
      </c>
      <c r="J24" s="3" t="s">
        <v>252</v>
      </c>
      <c r="K24" s="15" t="n">
        <f aca="false">LEN(J24)</f>
        <v>27</v>
      </c>
      <c r="L24" s="3" t="s">
        <v>253</v>
      </c>
      <c r="M24" s="15" t="n">
        <f aca="false">LEN(L24)</f>
        <v>88</v>
      </c>
      <c r="N24" s="3" t="s">
        <v>254</v>
      </c>
      <c r="O24" s="15"/>
      <c r="P24" s="16"/>
      <c r="Q24" s="15"/>
      <c r="R24" s="15"/>
      <c r="S24" s="15" t="n">
        <f aca="false">COUNTIF('Page-Keyword Map'!$A$2:$A$668,B24)</f>
        <v>0</v>
      </c>
      <c r="T24" s="16" t="n">
        <f aca="false">SUMIF('Page-Keyword Map'!$A$2:$A$668,B24,'Page-Keyword Map'!$H$2:$H$668)</f>
        <v>0</v>
      </c>
      <c r="U24" s="15" t="n">
        <f aca="false">COUNTIFS('Page-Keyword Map'!$A$2:$A$668,B24,'Page-Keyword Map'!$E$2:$E$668,"Nationwide")</f>
        <v>0</v>
      </c>
      <c r="V24" s="15" t="n">
        <f aca="false">COUNTIFS('Page-Keyword Map'!$A$2:$A$668,B24,'Page-Keyword Map'!$E$2:$E$668,"Provincial")</f>
        <v>0</v>
      </c>
      <c r="W24" s="15" t="n">
        <f aca="false">COUNTIFS('Page-Keyword Map'!$A$2:$A$668,B24,'Page-Keyword Map'!$E$2:$E$668,"City")</f>
        <v>0</v>
      </c>
      <c r="X24" s="15" t="str">
        <f aca="false">IF(O24="","",IF(ISNUMBER(SEARCH(O24,J24)),"Yes","No"))</f>
        <v/>
      </c>
      <c r="Y24" s="15" t="n">
        <v>0.2</v>
      </c>
      <c r="Z24" s="15" t="s">
        <v>130</v>
      </c>
      <c r="AA24" s="15" t="s">
        <v>131</v>
      </c>
      <c r="AB24" s="17"/>
      <c r="AC24" s="17"/>
    </row>
    <row r="25" customFormat="false" ht="23.85" hidden="false" customHeight="false" outlineLevel="0" collapsed="false">
      <c r="A25" s="15" t="s">
        <v>255</v>
      </c>
      <c r="B25" s="15" t="s">
        <v>256</v>
      </c>
      <c r="C25" s="15" t="s">
        <v>257</v>
      </c>
      <c r="D25" s="15" t="s">
        <v>89</v>
      </c>
      <c r="E25" s="15" t="s">
        <v>258</v>
      </c>
      <c r="F25" s="15"/>
      <c r="G25" s="15"/>
      <c r="H25" s="15"/>
      <c r="I25" s="15" t="s">
        <v>126</v>
      </c>
      <c r="J25" s="3" t="s">
        <v>259</v>
      </c>
      <c r="K25" s="15" t="n">
        <f aca="false">LEN(J25)</f>
        <v>46</v>
      </c>
      <c r="L25" s="3" t="s">
        <v>260</v>
      </c>
      <c r="M25" s="15" t="n">
        <f aca="false">LEN(L25)</f>
        <v>153</v>
      </c>
      <c r="N25" s="3" t="s">
        <v>261</v>
      </c>
      <c r="O25" s="15" t="s">
        <v>262</v>
      </c>
      <c r="P25" s="16" t="n">
        <v>8100</v>
      </c>
      <c r="Q25" s="15" t="s">
        <v>147</v>
      </c>
      <c r="R25" s="15"/>
      <c r="S25" s="15" t="n">
        <f aca="false">COUNTIF('Page-Keyword Map'!$A$2:$A$668,B25)</f>
        <v>4</v>
      </c>
      <c r="T25" s="16" t="n">
        <f aca="false">SUMIF('Page-Keyword Map'!$A$2:$A$668,B25,'Page-Keyword Map'!$H$2:$H$668)</f>
        <v>18800</v>
      </c>
      <c r="U25" s="15" t="n">
        <f aca="false">COUNTIFS('Page-Keyword Map'!$A$2:$A$668,B25,'Page-Keyword Map'!$E$2:$E$668,"Nationwide")</f>
        <v>4</v>
      </c>
      <c r="V25" s="15" t="n">
        <f aca="false">COUNTIFS('Page-Keyword Map'!$A$2:$A$668,B25,'Page-Keyword Map'!$E$2:$E$668,"Provincial")</f>
        <v>0</v>
      </c>
      <c r="W25" s="15" t="n">
        <f aca="false">COUNTIFS('Page-Keyword Map'!$A$2:$A$668,B25,'Page-Keyword Map'!$E$2:$E$668,"City")</f>
        <v>0</v>
      </c>
      <c r="X25" s="15" t="str">
        <f aca="false">IF(O25="","",IF(ISNUMBER(SEARCH(O25,J25)),"Yes","No"))</f>
        <v>Yes</v>
      </c>
      <c r="Y25" s="15" t="n">
        <v>0.9</v>
      </c>
      <c r="Z25" s="15" t="s">
        <v>130</v>
      </c>
      <c r="AA25" s="15" t="s">
        <v>131</v>
      </c>
      <c r="AB25" s="17"/>
      <c r="AC25" s="17"/>
    </row>
    <row r="26" customFormat="false" ht="23.85" hidden="false" customHeight="false" outlineLevel="0" collapsed="false">
      <c r="A26" s="15" t="s">
        <v>263</v>
      </c>
      <c r="B26" s="15" t="s">
        <v>264</v>
      </c>
      <c r="C26" s="15" t="s">
        <v>257</v>
      </c>
      <c r="D26" s="15" t="s">
        <v>82</v>
      </c>
      <c r="E26" s="15" t="s">
        <v>265</v>
      </c>
      <c r="F26" s="15"/>
      <c r="G26" s="15"/>
      <c r="H26" s="15"/>
      <c r="I26" s="15" t="s">
        <v>126</v>
      </c>
      <c r="J26" s="3" t="s">
        <v>266</v>
      </c>
      <c r="K26" s="15" t="n">
        <f aca="false">LEN(J26)</f>
        <v>42</v>
      </c>
      <c r="L26" s="3" t="s">
        <v>267</v>
      </c>
      <c r="M26" s="15" t="n">
        <f aca="false">LEN(L26)</f>
        <v>161</v>
      </c>
      <c r="N26" s="3" t="s">
        <v>268</v>
      </c>
      <c r="O26" s="15" t="s">
        <v>269</v>
      </c>
      <c r="P26" s="16" t="n">
        <v>74000</v>
      </c>
      <c r="Q26" s="15" t="s">
        <v>147</v>
      </c>
      <c r="R26" s="15"/>
      <c r="S26" s="15" t="n">
        <f aca="false">COUNTIF('Page-Keyword Map'!$A$2:$A$668,B26)</f>
        <v>3</v>
      </c>
      <c r="T26" s="16" t="n">
        <f aca="false">SUMIF('Page-Keyword Map'!$A$2:$A$668,B26,'Page-Keyword Map'!$H$2:$H$668)</f>
        <v>116900</v>
      </c>
      <c r="U26" s="15" t="n">
        <f aca="false">COUNTIFS('Page-Keyword Map'!$A$2:$A$668,B26,'Page-Keyword Map'!$E$2:$E$668,"Nationwide")</f>
        <v>3</v>
      </c>
      <c r="V26" s="15" t="n">
        <f aca="false">COUNTIFS('Page-Keyword Map'!$A$2:$A$668,B26,'Page-Keyword Map'!$E$2:$E$668,"Provincial")</f>
        <v>0</v>
      </c>
      <c r="W26" s="15" t="n">
        <f aca="false">COUNTIFS('Page-Keyword Map'!$A$2:$A$668,B26,'Page-Keyword Map'!$E$2:$E$668,"City")</f>
        <v>0</v>
      </c>
      <c r="X26" s="15" t="str">
        <f aca="false">IF(O26="","",IF(ISNUMBER(SEARCH(O26,J26)),"Yes","No"))</f>
        <v>Yes</v>
      </c>
      <c r="Y26" s="15" t="n">
        <v>0.9</v>
      </c>
      <c r="Z26" s="15" t="s">
        <v>130</v>
      </c>
      <c r="AA26" s="15" t="s">
        <v>131</v>
      </c>
      <c r="AB26" s="17"/>
      <c r="AC26" s="17"/>
    </row>
    <row r="27" customFormat="false" ht="23.85" hidden="false" customHeight="false" outlineLevel="0" collapsed="false">
      <c r="A27" s="15" t="s">
        <v>270</v>
      </c>
      <c r="B27" s="15" t="s">
        <v>271</v>
      </c>
      <c r="C27" s="15" t="s">
        <v>257</v>
      </c>
      <c r="D27" s="15" t="s">
        <v>85</v>
      </c>
      <c r="E27" s="15" t="s">
        <v>272</v>
      </c>
      <c r="F27" s="15"/>
      <c r="G27" s="15"/>
      <c r="H27" s="15"/>
      <c r="I27" s="15" t="s">
        <v>126</v>
      </c>
      <c r="J27" s="3" t="s">
        <v>273</v>
      </c>
      <c r="K27" s="15" t="n">
        <f aca="false">LEN(J27)</f>
        <v>37</v>
      </c>
      <c r="L27" s="3" t="s">
        <v>274</v>
      </c>
      <c r="M27" s="15" t="n">
        <f aca="false">LEN(L27)</f>
        <v>159</v>
      </c>
      <c r="N27" s="3" t="s">
        <v>275</v>
      </c>
      <c r="O27" s="15" t="s">
        <v>276</v>
      </c>
      <c r="P27" s="16" t="n">
        <v>6600</v>
      </c>
      <c r="Q27" s="15" t="s">
        <v>147</v>
      </c>
      <c r="R27" s="15"/>
      <c r="S27" s="15" t="n">
        <f aca="false">COUNTIF('Page-Keyword Map'!$A$2:$A$668,B27)</f>
        <v>2</v>
      </c>
      <c r="T27" s="16" t="n">
        <f aca="false">SUMIF('Page-Keyword Map'!$A$2:$A$668,B27,'Page-Keyword Map'!$H$2:$H$668)</f>
        <v>7320</v>
      </c>
      <c r="U27" s="15" t="n">
        <f aca="false">COUNTIFS('Page-Keyword Map'!$A$2:$A$668,B27,'Page-Keyword Map'!$E$2:$E$668,"Nationwide")</f>
        <v>2</v>
      </c>
      <c r="V27" s="15" t="n">
        <f aca="false">COUNTIFS('Page-Keyword Map'!$A$2:$A$668,B27,'Page-Keyword Map'!$E$2:$E$668,"Provincial")</f>
        <v>0</v>
      </c>
      <c r="W27" s="15" t="n">
        <f aca="false">COUNTIFS('Page-Keyword Map'!$A$2:$A$668,B27,'Page-Keyword Map'!$E$2:$E$668,"City")</f>
        <v>0</v>
      </c>
      <c r="X27" s="15" t="str">
        <f aca="false">IF(O27="","",IF(ISNUMBER(SEARCH(O27,J27)),"Yes","No"))</f>
        <v>Yes</v>
      </c>
      <c r="Y27" s="15" t="n">
        <v>0.9</v>
      </c>
      <c r="Z27" s="15" t="s">
        <v>130</v>
      </c>
      <c r="AA27" s="15" t="s">
        <v>131</v>
      </c>
      <c r="AB27" s="17"/>
      <c r="AC27" s="17"/>
    </row>
    <row r="28" customFormat="false" ht="23.85" hidden="false" customHeight="false" outlineLevel="0" collapsed="false">
      <c r="A28" s="15" t="s">
        <v>277</v>
      </c>
      <c r="B28" s="15" t="s">
        <v>278</v>
      </c>
      <c r="C28" s="15" t="s">
        <v>257</v>
      </c>
      <c r="D28" s="15" t="s">
        <v>90</v>
      </c>
      <c r="E28" s="15" t="s">
        <v>279</v>
      </c>
      <c r="F28" s="15"/>
      <c r="G28" s="15"/>
      <c r="H28" s="15"/>
      <c r="I28" s="15" t="s">
        <v>126</v>
      </c>
      <c r="J28" s="3" t="s">
        <v>280</v>
      </c>
      <c r="K28" s="15" t="n">
        <f aca="false">LEN(J28)</f>
        <v>53</v>
      </c>
      <c r="L28" s="3" t="s">
        <v>281</v>
      </c>
      <c r="M28" s="15" t="n">
        <f aca="false">LEN(L28)</f>
        <v>157</v>
      </c>
      <c r="N28" s="3" t="s">
        <v>282</v>
      </c>
      <c r="O28" s="15" t="s">
        <v>283</v>
      </c>
      <c r="P28" s="16" t="n">
        <v>1300</v>
      </c>
      <c r="Q28" s="15" t="s">
        <v>147</v>
      </c>
      <c r="R28" s="15"/>
      <c r="S28" s="15" t="n">
        <f aca="false">COUNTIF('Page-Keyword Map'!$A$2:$A$668,B28)</f>
        <v>3</v>
      </c>
      <c r="T28" s="16" t="n">
        <f aca="false">SUMIF('Page-Keyword Map'!$A$2:$A$668,B28,'Page-Keyword Map'!$H$2:$H$668)</f>
        <v>2040</v>
      </c>
      <c r="U28" s="15" t="n">
        <f aca="false">COUNTIFS('Page-Keyword Map'!$A$2:$A$668,B28,'Page-Keyword Map'!$E$2:$E$668,"Nationwide")</f>
        <v>3</v>
      </c>
      <c r="V28" s="15" t="n">
        <f aca="false">COUNTIFS('Page-Keyword Map'!$A$2:$A$668,B28,'Page-Keyword Map'!$E$2:$E$668,"Provincial")</f>
        <v>0</v>
      </c>
      <c r="W28" s="15" t="n">
        <f aca="false">COUNTIFS('Page-Keyword Map'!$A$2:$A$668,B28,'Page-Keyword Map'!$E$2:$E$668,"City")</f>
        <v>0</v>
      </c>
      <c r="X28" s="15" t="str">
        <f aca="false">IF(O28="","",IF(ISNUMBER(SEARCH(O28,J28)),"Yes","No"))</f>
        <v>Yes</v>
      </c>
      <c r="Y28" s="15" t="n">
        <v>0.9</v>
      </c>
      <c r="Z28" s="15" t="s">
        <v>130</v>
      </c>
      <c r="AA28" s="15" t="s">
        <v>131</v>
      </c>
      <c r="AB28" s="17"/>
      <c r="AC28" s="17"/>
    </row>
    <row r="29" customFormat="false" ht="23.85" hidden="false" customHeight="false" outlineLevel="0" collapsed="false">
      <c r="A29" s="15" t="s">
        <v>284</v>
      </c>
      <c r="B29" s="15" t="s">
        <v>285</v>
      </c>
      <c r="C29" s="15" t="s">
        <v>257</v>
      </c>
      <c r="D29" s="15" t="s">
        <v>76</v>
      </c>
      <c r="E29" s="15" t="s">
        <v>286</v>
      </c>
      <c r="F29" s="15"/>
      <c r="G29" s="15"/>
      <c r="H29" s="15"/>
      <c r="I29" s="15" t="s">
        <v>126</v>
      </c>
      <c r="J29" s="3" t="s">
        <v>287</v>
      </c>
      <c r="K29" s="15" t="n">
        <f aca="false">LEN(J29)</f>
        <v>58</v>
      </c>
      <c r="L29" s="3" t="s">
        <v>288</v>
      </c>
      <c r="M29" s="15" t="n">
        <f aca="false">LEN(L29)</f>
        <v>164</v>
      </c>
      <c r="N29" s="3" t="s">
        <v>289</v>
      </c>
      <c r="O29" s="15" t="s">
        <v>290</v>
      </c>
      <c r="P29" s="16" t="n">
        <v>6600</v>
      </c>
      <c r="Q29" s="15" t="s">
        <v>147</v>
      </c>
      <c r="R29" s="15"/>
      <c r="S29" s="15" t="n">
        <f aca="false">COUNTIF('Page-Keyword Map'!$A$2:$A$668,B29)</f>
        <v>2</v>
      </c>
      <c r="T29" s="16" t="n">
        <f aca="false">SUMIF('Page-Keyword Map'!$A$2:$A$668,B29,'Page-Keyword Map'!$H$2:$H$668)</f>
        <v>7480</v>
      </c>
      <c r="U29" s="15" t="n">
        <f aca="false">COUNTIFS('Page-Keyword Map'!$A$2:$A$668,B29,'Page-Keyword Map'!$E$2:$E$668,"Nationwide")</f>
        <v>2</v>
      </c>
      <c r="V29" s="15" t="n">
        <f aca="false">COUNTIFS('Page-Keyword Map'!$A$2:$A$668,B29,'Page-Keyword Map'!$E$2:$E$668,"Provincial")</f>
        <v>0</v>
      </c>
      <c r="W29" s="15" t="n">
        <f aca="false">COUNTIFS('Page-Keyword Map'!$A$2:$A$668,B29,'Page-Keyword Map'!$E$2:$E$668,"City")</f>
        <v>0</v>
      </c>
      <c r="X29" s="15" t="str">
        <f aca="false">IF(O29="","",IF(ISNUMBER(SEARCH(O29,J29)),"Yes","No"))</f>
        <v>Yes</v>
      </c>
      <c r="Y29" s="15" t="n">
        <v>0.9</v>
      </c>
      <c r="Z29" s="15" t="s">
        <v>130</v>
      </c>
      <c r="AA29" s="15" t="s">
        <v>131</v>
      </c>
      <c r="AB29" s="17"/>
      <c r="AC29" s="17"/>
    </row>
    <row r="30" customFormat="false" ht="23.85" hidden="false" customHeight="false" outlineLevel="0" collapsed="false">
      <c r="A30" s="15" t="s">
        <v>291</v>
      </c>
      <c r="B30" s="15" t="s">
        <v>292</v>
      </c>
      <c r="C30" s="15" t="s">
        <v>257</v>
      </c>
      <c r="D30" s="15" t="s">
        <v>77</v>
      </c>
      <c r="E30" s="15" t="s">
        <v>293</v>
      </c>
      <c r="F30" s="15"/>
      <c r="G30" s="15"/>
      <c r="H30" s="15"/>
      <c r="I30" s="15" t="s">
        <v>126</v>
      </c>
      <c r="J30" s="3" t="s">
        <v>294</v>
      </c>
      <c r="K30" s="15" t="n">
        <f aca="false">LEN(J30)</f>
        <v>52</v>
      </c>
      <c r="L30" s="3" t="s">
        <v>295</v>
      </c>
      <c r="M30" s="15" t="n">
        <f aca="false">LEN(L30)</f>
        <v>153</v>
      </c>
      <c r="N30" s="3" t="s">
        <v>296</v>
      </c>
      <c r="O30" s="15" t="s">
        <v>297</v>
      </c>
      <c r="P30" s="16" t="n">
        <v>4400</v>
      </c>
      <c r="Q30" s="15" t="s">
        <v>147</v>
      </c>
      <c r="R30" s="15"/>
      <c r="S30" s="15" t="n">
        <f aca="false">COUNTIF('Page-Keyword Map'!$A$2:$A$668,B30)</f>
        <v>2</v>
      </c>
      <c r="T30" s="16" t="n">
        <f aca="false">SUMIF('Page-Keyword Map'!$A$2:$A$668,B30,'Page-Keyword Map'!$H$2:$H$668)</f>
        <v>7300</v>
      </c>
      <c r="U30" s="15" t="n">
        <f aca="false">COUNTIFS('Page-Keyword Map'!$A$2:$A$668,B30,'Page-Keyword Map'!$E$2:$E$668,"Nationwide")</f>
        <v>2</v>
      </c>
      <c r="V30" s="15" t="n">
        <f aca="false">COUNTIFS('Page-Keyword Map'!$A$2:$A$668,B30,'Page-Keyword Map'!$E$2:$E$668,"Provincial")</f>
        <v>0</v>
      </c>
      <c r="W30" s="15" t="n">
        <f aca="false">COUNTIFS('Page-Keyword Map'!$A$2:$A$668,B30,'Page-Keyword Map'!$E$2:$E$668,"City")</f>
        <v>0</v>
      </c>
      <c r="X30" s="15" t="str">
        <f aca="false">IF(O30="","",IF(ISNUMBER(SEARCH(O30,J30)),"Yes","No"))</f>
        <v>Yes</v>
      </c>
      <c r="Y30" s="15" t="n">
        <v>0.9</v>
      </c>
      <c r="Z30" s="15" t="s">
        <v>130</v>
      </c>
      <c r="AA30" s="15" t="s">
        <v>131</v>
      </c>
      <c r="AB30" s="17"/>
      <c r="AC30" s="17"/>
    </row>
    <row r="31" customFormat="false" ht="23.85" hidden="false" customHeight="false" outlineLevel="0" collapsed="false">
      <c r="A31" s="15" t="s">
        <v>298</v>
      </c>
      <c r="B31" s="15" t="s">
        <v>299</v>
      </c>
      <c r="C31" s="15" t="s">
        <v>257</v>
      </c>
      <c r="D31" s="15" t="s">
        <v>79</v>
      </c>
      <c r="E31" s="15" t="s">
        <v>300</v>
      </c>
      <c r="F31" s="15"/>
      <c r="G31" s="15"/>
      <c r="H31" s="15"/>
      <c r="I31" s="15" t="s">
        <v>126</v>
      </c>
      <c r="J31" s="3" t="s">
        <v>301</v>
      </c>
      <c r="K31" s="15" t="n">
        <f aca="false">LEN(J31)</f>
        <v>57</v>
      </c>
      <c r="L31" s="3" t="s">
        <v>302</v>
      </c>
      <c r="M31" s="15" t="n">
        <f aca="false">LEN(L31)</f>
        <v>161</v>
      </c>
      <c r="N31" s="3" t="s">
        <v>303</v>
      </c>
      <c r="O31" s="15" t="s">
        <v>304</v>
      </c>
      <c r="P31" s="16" t="n">
        <v>1300</v>
      </c>
      <c r="Q31" s="15" t="s">
        <v>147</v>
      </c>
      <c r="R31" s="15"/>
      <c r="S31" s="15" t="n">
        <f aca="false">COUNTIF('Page-Keyword Map'!$A$2:$A$668,B31)</f>
        <v>2</v>
      </c>
      <c r="T31" s="16" t="n">
        <f aca="false">SUMIF('Page-Keyword Map'!$A$2:$A$668,B31,'Page-Keyword Map'!$H$2:$H$668)</f>
        <v>2020</v>
      </c>
      <c r="U31" s="15" t="n">
        <f aca="false">COUNTIFS('Page-Keyword Map'!$A$2:$A$668,B31,'Page-Keyword Map'!$E$2:$E$668,"Nationwide")</f>
        <v>2</v>
      </c>
      <c r="V31" s="15" t="n">
        <f aca="false">COUNTIFS('Page-Keyword Map'!$A$2:$A$668,B31,'Page-Keyword Map'!$E$2:$E$668,"Provincial")</f>
        <v>0</v>
      </c>
      <c r="W31" s="15" t="n">
        <f aca="false">COUNTIFS('Page-Keyword Map'!$A$2:$A$668,B31,'Page-Keyword Map'!$E$2:$E$668,"City")</f>
        <v>0</v>
      </c>
      <c r="X31" s="15" t="str">
        <f aca="false">IF(O31="","",IF(ISNUMBER(SEARCH(O31,J31)),"Yes","No"))</f>
        <v>Yes</v>
      </c>
      <c r="Y31" s="15" t="n">
        <v>0.9</v>
      </c>
      <c r="Z31" s="15" t="s">
        <v>130</v>
      </c>
      <c r="AA31" s="15" t="s">
        <v>131</v>
      </c>
      <c r="AB31" s="17"/>
      <c r="AC31" s="17"/>
    </row>
    <row r="32" customFormat="false" ht="23.85" hidden="false" customHeight="false" outlineLevel="0" collapsed="false">
      <c r="A32" s="15" t="s">
        <v>305</v>
      </c>
      <c r="B32" s="15" t="s">
        <v>306</v>
      </c>
      <c r="C32" s="15" t="s">
        <v>257</v>
      </c>
      <c r="D32" s="15" t="s">
        <v>78</v>
      </c>
      <c r="E32" s="15" t="s">
        <v>307</v>
      </c>
      <c r="F32" s="15"/>
      <c r="G32" s="15"/>
      <c r="H32" s="15"/>
      <c r="I32" s="15" t="s">
        <v>126</v>
      </c>
      <c r="J32" s="3" t="s">
        <v>308</v>
      </c>
      <c r="K32" s="15" t="n">
        <f aca="false">LEN(J32)</f>
        <v>61</v>
      </c>
      <c r="L32" s="3" t="s">
        <v>309</v>
      </c>
      <c r="M32" s="15" t="n">
        <f aca="false">LEN(L32)</f>
        <v>161</v>
      </c>
      <c r="N32" s="3" t="s">
        <v>310</v>
      </c>
      <c r="O32" s="15" t="s">
        <v>311</v>
      </c>
      <c r="P32" s="16" t="n">
        <v>8100</v>
      </c>
      <c r="Q32" s="15" t="s">
        <v>147</v>
      </c>
      <c r="R32" s="15"/>
      <c r="S32" s="15" t="n">
        <f aca="false">COUNTIF('Page-Keyword Map'!$A$2:$A$668,B32)</f>
        <v>4</v>
      </c>
      <c r="T32" s="16" t="n">
        <f aca="false">SUMIF('Page-Keyword Map'!$A$2:$A$668,B32,'Page-Keyword Map'!$H$2:$H$668)</f>
        <v>13990</v>
      </c>
      <c r="U32" s="15" t="n">
        <f aca="false">COUNTIFS('Page-Keyword Map'!$A$2:$A$668,B32,'Page-Keyword Map'!$E$2:$E$668,"Nationwide")</f>
        <v>4</v>
      </c>
      <c r="V32" s="15" t="n">
        <f aca="false">COUNTIFS('Page-Keyword Map'!$A$2:$A$668,B32,'Page-Keyword Map'!$E$2:$E$668,"Provincial")</f>
        <v>0</v>
      </c>
      <c r="W32" s="15" t="n">
        <f aca="false">COUNTIFS('Page-Keyword Map'!$A$2:$A$668,B32,'Page-Keyword Map'!$E$2:$E$668,"City")</f>
        <v>0</v>
      </c>
      <c r="X32" s="15" t="str">
        <f aca="false">IF(O32="","",IF(ISNUMBER(SEARCH(O32,J32)),"Yes","No"))</f>
        <v>Yes</v>
      </c>
      <c r="Y32" s="15" t="n">
        <v>0.9</v>
      </c>
      <c r="Z32" s="15" t="s">
        <v>130</v>
      </c>
      <c r="AA32" s="15" t="s">
        <v>131</v>
      </c>
      <c r="AB32" s="17"/>
      <c r="AC32" s="17"/>
    </row>
    <row r="33" customFormat="false" ht="23.85" hidden="false" customHeight="false" outlineLevel="0" collapsed="false">
      <c r="A33" s="15" t="s">
        <v>312</v>
      </c>
      <c r="B33" s="15" t="s">
        <v>313</v>
      </c>
      <c r="C33" s="15" t="s">
        <v>257</v>
      </c>
      <c r="D33" s="15" t="s">
        <v>84</v>
      </c>
      <c r="E33" s="15" t="s">
        <v>314</v>
      </c>
      <c r="F33" s="15"/>
      <c r="G33" s="15"/>
      <c r="H33" s="15"/>
      <c r="I33" s="15" t="s">
        <v>126</v>
      </c>
      <c r="J33" s="3" t="s">
        <v>315</v>
      </c>
      <c r="K33" s="15" t="n">
        <f aca="false">LEN(J33)</f>
        <v>43</v>
      </c>
      <c r="L33" s="3" t="s">
        <v>316</v>
      </c>
      <c r="M33" s="15" t="n">
        <f aca="false">LEN(L33)</f>
        <v>156</v>
      </c>
      <c r="N33" s="3" t="s">
        <v>317</v>
      </c>
      <c r="O33" s="15" t="s">
        <v>318</v>
      </c>
      <c r="P33" s="16" t="n">
        <v>27000</v>
      </c>
      <c r="Q33" s="15" t="s">
        <v>147</v>
      </c>
      <c r="R33" s="15"/>
      <c r="S33" s="15" t="n">
        <f aca="false">COUNTIF('Page-Keyword Map'!$A$2:$A$668,B33)</f>
        <v>2</v>
      </c>
      <c r="T33" s="16" t="n">
        <f aca="false">SUMIF('Page-Keyword Map'!$A$2:$A$668,B33,'Page-Keyword Map'!$H$2:$H$668)</f>
        <v>35100</v>
      </c>
      <c r="U33" s="15" t="n">
        <f aca="false">COUNTIFS('Page-Keyword Map'!$A$2:$A$668,B33,'Page-Keyword Map'!$E$2:$E$668,"Nationwide")</f>
        <v>2</v>
      </c>
      <c r="V33" s="15" t="n">
        <f aca="false">COUNTIFS('Page-Keyword Map'!$A$2:$A$668,B33,'Page-Keyword Map'!$E$2:$E$668,"Provincial")</f>
        <v>0</v>
      </c>
      <c r="W33" s="15" t="n">
        <f aca="false">COUNTIFS('Page-Keyword Map'!$A$2:$A$668,B33,'Page-Keyword Map'!$E$2:$E$668,"City")</f>
        <v>0</v>
      </c>
      <c r="X33" s="15" t="str">
        <f aca="false">IF(O33="","",IF(ISNUMBER(SEARCH(O33,J33)),"Yes","No"))</f>
        <v>Yes</v>
      </c>
      <c r="Y33" s="15" t="n">
        <v>0.9</v>
      </c>
      <c r="Z33" s="15" t="s">
        <v>130</v>
      </c>
      <c r="AA33" s="15" t="s">
        <v>131</v>
      </c>
      <c r="AB33" s="17"/>
      <c r="AC33" s="17"/>
    </row>
    <row r="34" customFormat="false" ht="23.85" hidden="false" customHeight="false" outlineLevel="0" collapsed="false">
      <c r="A34" s="15" t="s">
        <v>319</v>
      </c>
      <c r="B34" s="15" t="s">
        <v>320</v>
      </c>
      <c r="C34" s="15" t="s">
        <v>257</v>
      </c>
      <c r="D34" s="15" t="s">
        <v>74</v>
      </c>
      <c r="E34" s="15" t="s">
        <v>321</v>
      </c>
      <c r="F34" s="15"/>
      <c r="G34" s="15"/>
      <c r="H34" s="15"/>
      <c r="I34" s="15" t="s">
        <v>126</v>
      </c>
      <c r="J34" s="3" t="s">
        <v>322</v>
      </c>
      <c r="K34" s="15" t="n">
        <f aca="false">LEN(J34)</f>
        <v>46</v>
      </c>
      <c r="L34" s="3" t="s">
        <v>323</v>
      </c>
      <c r="M34" s="15" t="n">
        <f aca="false">LEN(L34)</f>
        <v>157</v>
      </c>
      <c r="N34" s="3" t="s">
        <v>324</v>
      </c>
      <c r="O34" s="15" t="s">
        <v>325</v>
      </c>
      <c r="P34" s="16" t="n">
        <v>33000</v>
      </c>
      <c r="Q34" s="15" t="s">
        <v>147</v>
      </c>
      <c r="R34" s="15"/>
      <c r="S34" s="15" t="n">
        <f aca="false">COUNTIF('Page-Keyword Map'!$A$2:$A$668,B34)</f>
        <v>1</v>
      </c>
      <c r="T34" s="16" t="n">
        <f aca="false">SUMIF('Page-Keyword Map'!$A$2:$A$668,B34,'Page-Keyword Map'!$H$2:$H$668)</f>
        <v>33000</v>
      </c>
      <c r="U34" s="15" t="n">
        <f aca="false">COUNTIFS('Page-Keyword Map'!$A$2:$A$668,B34,'Page-Keyword Map'!$E$2:$E$668,"Nationwide")</f>
        <v>1</v>
      </c>
      <c r="V34" s="15" t="n">
        <f aca="false">COUNTIFS('Page-Keyword Map'!$A$2:$A$668,B34,'Page-Keyword Map'!$E$2:$E$668,"Provincial")</f>
        <v>0</v>
      </c>
      <c r="W34" s="15" t="n">
        <f aca="false">COUNTIFS('Page-Keyword Map'!$A$2:$A$668,B34,'Page-Keyword Map'!$E$2:$E$668,"City")</f>
        <v>0</v>
      </c>
      <c r="X34" s="15" t="str">
        <f aca="false">IF(O34="","",IF(ISNUMBER(SEARCH(O34,J34)),"Yes","No"))</f>
        <v>Yes</v>
      </c>
      <c r="Y34" s="15" t="n">
        <v>0.9</v>
      </c>
      <c r="Z34" s="15" t="s">
        <v>130</v>
      </c>
      <c r="AA34" s="15" t="s">
        <v>131</v>
      </c>
      <c r="AB34" s="17"/>
      <c r="AC34" s="17"/>
    </row>
    <row r="35" customFormat="false" ht="23.85" hidden="false" customHeight="false" outlineLevel="0" collapsed="false">
      <c r="A35" s="15" t="s">
        <v>326</v>
      </c>
      <c r="B35" s="15" t="s">
        <v>327</v>
      </c>
      <c r="C35" s="15" t="s">
        <v>257</v>
      </c>
      <c r="D35" s="15" t="s">
        <v>75</v>
      </c>
      <c r="E35" s="15" t="s">
        <v>328</v>
      </c>
      <c r="F35" s="15"/>
      <c r="G35" s="15"/>
      <c r="H35" s="15"/>
      <c r="I35" s="15" t="s">
        <v>126</v>
      </c>
      <c r="J35" s="3" t="s">
        <v>329</v>
      </c>
      <c r="K35" s="15" t="n">
        <f aca="false">LEN(J35)</f>
        <v>58</v>
      </c>
      <c r="L35" s="3" t="s">
        <v>330</v>
      </c>
      <c r="M35" s="15" t="n">
        <f aca="false">LEN(L35)</f>
        <v>150</v>
      </c>
      <c r="N35" s="3" t="s">
        <v>331</v>
      </c>
      <c r="O35" s="15" t="s">
        <v>332</v>
      </c>
      <c r="P35" s="16" t="n">
        <v>2400</v>
      </c>
      <c r="Q35" s="15" t="s">
        <v>147</v>
      </c>
      <c r="R35" s="15"/>
      <c r="S35" s="15" t="n">
        <f aca="false">COUNTIF('Page-Keyword Map'!$A$2:$A$668,B35)</f>
        <v>2</v>
      </c>
      <c r="T35" s="16" t="n">
        <f aca="false">SUMIF('Page-Keyword Map'!$A$2:$A$668,B35,'Page-Keyword Map'!$H$2:$H$668)</f>
        <v>3400</v>
      </c>
      <c r="U35" s="15" t="n">
        <f aca="false">COUNTIFS('Page-Keyword Map'!$A$2:$A$668,B35,'Page-Keyword Map'!$E$2:$E$668,"Nationwide")</f>
        <v>2</v>
      </c>
      <c r="V35" s="15" t="n">
        <f aca="false">COUNTIFS('Page-Keyword Map'!$A$2:$A$668,B35,'Page-Keyword Map'!$E$2:$E$668,"Provincial")</f>
        <v>0</v>
      </c>
      <c r="W35" s="15" t="n">
        <f aca="false">COUNTIFS('Page-Keyword Map'!$A$2:$A$668,B35,'Page-Keyword Map'!$E$2:$E$668,"City")</f>
        <v>0</v>
      </c>
      <c r="X35" s="15" t="str">
        <f aca="false">IF(O35="","",IF(ISNUMBER(SEARCH(O35,J35)),"Yes","No"))</f>
        <v>Yes</v>
      </c>
      <c r="Y35" s="15" t="n">
        <v>0.9</v>
      </c>
      <c r="Z35" s="15" t="s">
        <v>130</v>
      </c>
      <c r="AA35" s="15" t="s">
        <v>131</v>
      </c>
      <c r="AB35" s="17"/>
      <c r="AC35" s="17"/>
    </row>
    <row r="36" customFormat="false" ht="23.85" hidden="false" customHeight="false" outlineLevel="0" collapsed="false">
      <c r="A36" s="15" t="s">
        <v>333</v>
      </c>
      <c r="B36" s="15" t="s">
        <v>334</v>
      </c>
      <c r="C36" s="15" t="s">
        <v>257</v>
      </c>
      <c r="D36" s="15" t="s">
        <v>74</v>
      </c>
      <c r="E36" s="15" t="s">
        <v>335</v>
      </c>
      <c r="F36" s="15"/>
      <c r="G36" s="15"/>
      <c r="H36" s="15"/>
      <c r="I36" s="15" t="s">
        <v>126</v>
      </c>
      <c r="J36" s="3" t="s">
        <v>336</v>
      </c>
      <c r="K36" s="15" t="n">
        <f aca="false">LEN(J36)</f>
        <v>57</v>
      </c>
      <c r="L36" s="3" t="s">
        <v>337</v>
      </c>
      <c r="M36" s="15" t="n">
        <f aca="false">LEN(L36)</f>
        <v>162</v>
      </c>
      <c r="N36" s="3" t="s">
        <v>338</v>
      </c>
      <c r="O36" s="15" t="s">
        <v>339</v>
      </c>
      <c r="P36" s="16" t="n">
        <v>1300</v>
      </c>
      <c r="Q36" s="15" t="s">
        <v>147</v>
      </c>
      <c r="R36" s="15"/>
      <c r="S36" s="15" t="n">
        <f aca="false">COUNTIF('Page-Keyword Map'!$A$2:$A$668,B36)</f>
        <v>3</v>
      </c>
      <c r="T36" s="16" t="n">
        <f aca="false">SUMIF('Page-Keyword Map'!$A$2:$A$668,B36,'Page-Keyword Map'!$H$2:$H$668)</f>
        <v>2480</v>
      </c>
      <c r="U36" s="15" t="n">
        <f aca="false">COUNTIFS('Page-Keyword Map'!$A$2:$A$668,B36,'Page-Keyword Map'!$E$2:$E$668,"Nationwide")</f>
        <v>3</v>
      </c>
      <c r="V36" s="15" t="n">
        <f aca="false">COUNTIFS('Page-Keyword Map'!$A$2:$A$668,B36,'Page-Keyword Map'!$E$2:$E$668,"Provincial")</f>
        <v>0</v>
      </c>
      <c r="W36" s="15" t="n">
        <f aca="false">COUNTIFS('Page-Keyword Map'!$A$2:$A$668,B36,'Page-Keyword Map'!$E$2:$E$668,"City")</f>
        <v>0</v>
      </c>
      <c r="X36" s="15" t="str">
        <f aca="false">IF(O36="","",IF(ISNUMBER(SEARCH(O36,J36)),"Yes","No"))</f>
        <v>No</v>
      </c>
      <c r="Y36" s="15" t="n">
        <v>0.9</v>
      </c>
      <c r="Z36" s="15" t="s">
        <v>130</v>
      </c>
      <c r="AA36" s="15" t="s">
        <v>131</v>
      </c>
      <c r="AB36" s="17"/>
      <c r="AC36" s="17"/>
    </row>
    <row r="37" customFormat="false" ht="23.85" hidden="false" customHeight="false" outlineLevel="0" collapsed="false">
      <c r="A37" s="15" t="s">
        <v>340</v>
      </c>
      <c r="B37" s="15" t="s">
        <v>341</v>
      </c>
      <c r="C37" s="15" t="s">
        <v>257</v>
      </c>
      <c r="D37" s="15" t="s">
        <v>91</v>
      </c>
      <c r="E37" s="15" t="s">
        <v>342</v>
      </c>
      <c r="F37" s="15"/>
      <c r="G37" s="15"/>
      <c r="H37" s="15"/>
      <c r="I37" s="15" t="s">
        <v>126</v>
      </c>
      <c r="J37" s="3" t="s">
        <v>343</v>
      </c>
      <c r="K37" s="15" t="n">
        <f aca="false">LEN(J37)</f>
        <v>79</v>
      </c>
      <c r="L37" s="3" t="s">
        <v>344</v>
      </c>
      <c r="M37" s="15" t="n">
        <f aca="false">LEN(L37)</f>
        <v>155</v>
      </c>
      <c r="N37" s="3" t="s">
        <v>345</v>
      </c>
      <c r="O37" s="15" t="s">
        <v>346</v>
      </c>
      <c r="P37" s="16" t="n">
        <v>1600</v>
      </c>
      <c r="Q37" s="15" t="s">
        <v>147</v>
      </c>
      <c r="R37" s="15"/>
      <c r="S37" s="15" t="n">
        <f aca="false">COUNTIF('Page-Keyword Map'!$A$2:$A$668,B37)</f>
        <v>2</v>
      </c>
      <c r="T37" s="16" t="n">
        <f aca="false">SUMIF('Page-Keyword Map'!$A$2:$A$668,B37,'Page-Keyword Map'!$H$2:$H$668)</f>
        <v>2600</v>
      </c>
      <c r="U37" s="15" t="n">
        <f aca="false">COUNTIFS('Page-Keyword Map'!$A$2:$A$668,B37,'Page-Keyword Map'!$E$2:$E$668,"Nationwide")</f>
        <v>2</v>
      </c>
      <c r="V37" s="15" t="n">
        <f aca="false">COUNTIFS('Page-Keyword Map'!$A$2:$A$668,B37,'Page-Keyword Map'!$E$2:$E$668,"Provincial")</f>
        <v>0</v>
      </c>
      <c r="W37" s="15" t="n">
        <f aca="false">COUNTIFS('Page-Keyword Map'!$A$2:$A$668,B37,'Page-Keyword Map'!$E$2:$E$668,"City")</f>
        <v>0</v>
      </c>
      <c r="X37" s="15" t="str">
        <f aca="false">IF(O37="","",IF(ISNUMBER(SEARCH(O37,J37)),"Yes","No"))</f>
        <v>No</v>
      </c>
      <c r="Y37" s="15" t="n">
        <v>0.9</v>
      </c>
      <c r="Z37" s="15" t="s">
        <v>130</v>
      </c>
      <c r="AA37" s="15" t="s">
        <v>131</v>
      </c>
      <c r="AB37" s="17"/>
      <c r="AC37" s="17"/>
    </row>
    <row r="38" customFormat="false" ht="23.85" hidden="false" customHeight="false" outlineLevel="0" collapsed="false">
      <c r="A38" s="15" t="s">
        <v>347</v>
      </c>
      <c r="B38" s="15" t="s">
        <v>348</v>
      </c>
      <c r="C38" s="15" t="s">
        <v>257</v>
      </c>
      <c r="D38" s="15" t="s">
        <v>81</v>
      </c>
      <c r="E38" s="15" t="s">
        <v>349</v>
      </c>
      <c r="F38" s="15"/>
      <c r="G38" s="15"/>
      <c r="H38" s="15"/>
      <c r="I38" s="15" t="s">
        <v>126</v>
      </c>
      <c r="J38" s="3" t="s">
        <v>350</v>
      </c>
      <c r="K38" s="15" t="n">
        <f aca="false">LEN(J38)</f>
        <v>42</v>
      </c>
      <c r="L38" s="3" t="s">
        <v>351</v>
      </c>
      <c r="M38" s="15" t="n">
        <f aca="false">LEN(L38)</f>
        <v>159</v>
      </c>
      <c r="N38" s="3" t="s">
        <v>352</v>
      </c>
      <c r="O38" s="15" t="s">
        <v>353</v>
      </c>
      <c r="P38" s="16" t="n">
        <v>9900</v>
      </c>
      <c r="Q38" s="15" t="s">
        <v>147</v>
      </c>
      <c r="R38" s="15"/>
      <c r="S38" s="15" t="n">
        <f aca="false">COUNTIF('Page-Keyword Map'!$A$2:$A$668,B38)</f>
        <v>1</v>
      </c>
      <c r="T38" s="16" t="n">
        <f aca="false">SUMIF('Page-Keyword Map'!$A$2:$A$668,B38,'Page-Keyword Map'!$H$2:$H$668)</f>
        <v>9900</v>
      </c>
      <c r="U38" s="15" t="n">
        <f aca="false">COUNTIFS('Page-Keyword Map'!$A$2:$A$668,B38,'Page-Keyword Map'!$E$2:$E$668,"Nationwide")</f>
        <v>1</v>
      </c>
      <c r="V38" s="15" t="n">
        <f aca="false">COUNTIFS('Page-Keyword Map'!$A$2:$A$668,B38,'Page-Keyword Map'!$E$2:$E$668,"Provincial")</f>
        <v>0</v>
      </c>
      <c r="W38" s="15" t="n">
        <f aca="false">COUNTIFS('Page-Keyword Map'!$A$2:$A$668,B38,'Page-Keyword Map'!$E$2:$E$668,"City")</f>
        <v>0</v>
      </c>
      <c r="X38" s="15" t="str">
        <f aca="false">IF(O38="","",IF(ISNUMBER(SEARCH(O38,J38)),"Yes","No"))</f>
        <v>Yes</v>
      </c>
      <c r="Y38" s="15" t="n">
        <v>0.9</v>
      </c>
      <c r="Z38" s="15" t="s">
        <v>130</v>
      </c>
      <c r="AA38" s="15" t="s">
        <v>131</v>
      </c>
      <c r="AB38" s="17"/>
      <c r="AC38" s="17"/>
    </row>
    <row r="39" customFormat="false" ht="23.85" hidden="false" customHeight="false" outlineLevel="0" collapsed="false">
      <c r="A39" s="15" t="s">
        <v>354</v>
      </c>
      <c r="B39" s="15" t="s">
        <v>355</v>
      </c>
      <c r="C39" s="15" t="s">
        <v>257</v>
      </c>
      <c r="D39" s="15" t="s">
        <v>86</v>
      </c>
      <c r="E39" s="15" t="s">
        <v>356</v>
      </c>
      <c r="F39" s="15"/>
      <c r="G39" s="15"/>
      <c r="H39" s="15"/>
      <c r="I39" s="15" t="s">
        <v>126</v>
      </c>
      <c r="J39" s="3" t="s">
        <v>357</v>
      </c>
      <c r="K39" s="15" t="n">
        <f aca="false">LEN(J39)</f>
        <v>38</v>
      </c>
      <c r="L39" s="3" t="s">
        <v>358</v>
      </c>
      <c r="M39" s="15" t="n">
        <f aca="false">LEN(L39)</f>
        <v>159</v>
      </c>
      <c r="N39" s="3" t="s">
        <v>359</v>
      </c>
      <c r="O39" s="15" t="s">
        <v>360</v>
      </c>
      <c r="P39" s="16" t="n">
        <v>15000</v>
      </c>
      <c r="Q39" s="15" t="s">
        <v>147</v>
      </c>
      <c r="R39" s="15"/>
      <c r="S39" s="15" t="n">
        <f aca="false">COUNTIF('Page-Keyword Map'!$A$2:$A$668,B39)</f>
        <v>3</v>
      </c>
      <c r="T39" s="16" t="n">
        <f aca="false">SUMIF('Page-Keyword Map'!$A$2:$A$668,B39,'Page-Keyword Map'!$H$2:$H$668)</f>
        <v>26200</v>
      </c>
      <c r="U39" s="15" t="n">
        <f aca="false">COUNTIFS('Page-Keyword Map'!$A$2:$A$668,B39,'Page-Keyword Map'!$E$2:$E$668,"Nationwide")</f>
        <v>3</v>
      </c>
      <c r="V39" s="15" t="n">
        <f aca="false">COUNTIFS('Page-Keyword Map'!$A$2:$A$668,B39,'Page-Keyword Map'!$E$2:$E$668,"Provincial")</f>
        <v>0</v>
      </c>
      <c r="W39" s="15" t="n">
        <f aca="false">COUNTIFS('Page-Keyword Map'!$A$2:$A$668,B39,'Page-Keyword Map'!$E$2:$E$668,"City")</f>
        <v>0</v>
      </c>
      <c r="X39" s="15" t="str">
        <f aca="false">IF(O39="","",IF(ISNUMBER(SEARCH(O39,J39)),"Yes","No"))</f>
        <v>Yes</v>
      </c>
      <c r="Y39" s="15" t="n">
        <v>0.9</v>
      </c>
      <c r="Z39" s="15" t="s">
        <v>130</v>
      </c>
      <c r="AA39" s="15" t="s">
        <v>131</v>
      </c>
      <c r="AB39" s="17"/>
      <c r="AC39" s="17"/>
    </row>
    <row r="40" customFormat="false" ht="23.85" hidden="false" customHeight="false" outlineLevel="0" collapsed="false">
      <c r="A40" s="15" t="s">
        <v>361</v>
      </c>
      <c r="B40" s="15" t="s">
        <v>362</v>
      </c>
      <c r="C40" s="15" t="s">
        <v>257</v>
      </c>
      <c r="D40" s="15" t="s">
        <v>74</v>
      </c>
      <c r="E40" s="15" t="s">
        <v>363</v>
      </c>
      <c r="F40" s="15"/>
      <c r="G40" s="15"/>
      <c r="H40" s="15"/>
      <c r="I40" s="15" t="s">
        <v>126</v>
      </c>
      <c r="J40" s="3" t="s">
        <v>364</v>
      </c>
      <c r="K40" s="15" t="n">
        <f aca="false">LEN(J40)</f>
        <v>48</v>
      </c>
      <c r="L40" s="3" t="s">
        <v>365</v>
      </c>
      <c r="M40" s="15" t="n">
        <f aca="false">LEN(L40)</f>
        <v>160</v>
      </c>
      <c r="N40" s="3" t="s">
        <v>366</v>
      </c>
      <c r="O40" s="15" t="s">
        <v>367</v>
      </c>
      <c r="P40" s="16" t="n">
        <v>6600</v>
      </c>
      <c r="Q40" s="15" t="s">
        <v>147</v>
      </c>
      <c r="R40" s="15"/>
      <c r="S40" s="15" t="n">
        <f aca="false">COUNTIF('Page-Keyword Map'!$A$2:$A$668,B40)</f>
        <v>3</v>
      </c>
      <c r="T40" s="16" t="n">
        <f aca="false">SUMIF('Page-Keyword Map'!$A$2:$A$668,B40,'Page-Keyword Map'!$H$2:$H$668)</f>
        <v>7960</v>
      </c>
      <c r="U40" s="15" t="n">
        <f aca="false">COUNTIFS('Page-Keyword Map'!$A$2:$A$668,B40,'Page-Keyword Map'!$E$2:$E$668,"Nationwide")</f>
        <v>3</v>
      </c>
      <c r="V40" s="15" t="n">
        <f aca="false">COUNTIFS('Page-Keyword Map'!$A$2:$A$668,B40,'Page-Keyword Map'!$E$2:$E$668,"Provincial")</f>
        <v>0</v>
      </c>
      <c r="W40" s="15" t="n">
        <f aca="false">COUNTIFS('Page-Keyword Map'!$A$2:$A$668,B40,'Page-Keyword Map'!$E$2:$E$668,"City")</f>
        <v>0</v>
      </c>
      <c r="X40" s="15" t="str">
        <f aca="false">IF(O40="","",IF(ISNUMBER(SEARCH(O40,J40)),"Yes","No"))</f>
        <v>Yes</v>
      </c>
      <c r="Y40" s="15" t="n">
        <v>0.9</v>
      </c>
      <c r="Z40" s="15" t="s">
        <v>130</v>
      </c>
      <c r="AA40" s="15" t="s">
        <v>131</v>
      </c>
      <c r="AB40" s="17"/>
      <c r="AC40" s="17"/>
    </row>
    <row r="41" customFormat="false" ht="23.85" hidden="false" customHeight="false" outlineLevel="0" collapsed="false">
      <c r="A41" s="15" t="s">
        <v>368</v>
      </c>
      <c r="B41" s="15" t="s">
        <v>369</v>
      </c>
      <c r="C41" s="15" t="s">
        <v>257</v>
      </c>
      <c r="D41" s="15" t="s">
        <v>80</v>
      </c>
      <c r="E41" s="15" t="s">
        <v>370</v>
      </c>
      <c r="F41" s="15"/>
      <c r="G41" s="15"/>
      <c r="H41" s="15"/>
      <c r="I41" s="15" t="s">
        <v>126</v>
      </c>
      <c r="J41" s="3" t="s">
        <v>371</v>
      </c>
      <c r="K41" s="15" t="n">
        <f aca="false">LEN(J41)</f>
        <v>52</v>
      </c>
      <c r="L41" s="3" t="s">
        <v>372</v>
      </c>
      <c r="M41" s="15" t="n">
        <f aca="false">LEN(L41)</f>
        <v>162</v>
      </c>
      <c r="N41" s="3" t="s">
        <v>373</v>
      </c>
      <c r="O41" s="15" t="s">
        <v>374</v>
      </c>
      <c r="P41" s="16" t="n">
        <v>40000</v>
      </c>
      <c r="Q41" s="15" t="s">
        <v>147</v>
      </c>
      <c r="R41" s="15"/>
      <c r="S41" s="15" t="n">
        <f aca="false">COUNTIF('Page-Keyword Map'!$A$2:$A$668,B41)</f>
        <v>2</v>
      </c>
      <c r="T41" s="16" t="n">
        <f aca="false">SUMIF('Page-Keyword Map'!$A$2:$A$668,B41,'Page-Keyword Map'!$H$2:$H$668)</f>
        <v>40480</v>
      </c>
      <c r="U41" s="15" t="n">
        <f aca="false">COUNTIFS('Page-Keyword Map'!$A$2:$A$668,B41,'Page-Keyword Map'!$E$2:$E$668,"Nationwide")</f>
        <v>2</v>
      </c>
      <c r="V41" s="15" t="n">
        <f aca="false">COUNTIFS('Page-Keyword Map'!$A$2:$A$668,B41,'Page-Keyword Map'!$E$2:$E$668,"Provincial")</f>
        <v>0</v>
      </c>
      <c r="W41" s="15" t="n">
        <f aca="false">COUNTIFS('Page-Keyword Map'!$A$2:$A$668,B41,'Page-Keyword Map'!$E$2:$E$668,"City")</f>
        <v>0</v>
      </c>
      <c r="X41" s="15" t="str">
        <f aca="false">IF(O41="","",IF(ISNUMBER(SEARCH(O41,J41)),"Yes","No"))</f>
        <v>Yes</v>
      </c>
      <c r="Y41" s="15" t="n">
        <v>0.9</v>
      </c>
      <c r="Z41" s="15" t="s">
        <v>130</v>
      </c>
      <c r="AA41" s="15" t="s">
        <v>131</v>
      </c>
      <c r="AB41" s="17"/>
      <c r="AC41" s="17"/>
    </row>
    <row r="42" customFormat="false" ht="23.85" hidden="false" customHeight="false" outlineLevel="0" collapsed="false">
      <c r="A42" s="15" t="s">
        <v>375</v>
      </c>
      <c r="B42" s="15" t="s">
        <v>376</v>
      </c>
      <c r="C42" s="15" t="s">
        <v>257</v>
      </c>
      <c r="D42" s="15" t="s">
        <v>74</v>
      </c>
      <c r="E42" s="15" t="s">
        <v>377</v>
      </c>
      <c r="F42" s="15"/>
      <c r="G42" s="15"/>
      <c r="H42" s="15"/>
      <c r="I42" s="15" t="s">
        <v>126</v>
      </c>
      <c r="J42" s="3" t="s">
        <v>378</v>
      </c>
      <c r="K42" s="15" t="n">
        <f aca="false">LEN(J42)</f>
        <v>52</v>
      </c>
      <c r="L42" s="3" t="s">
        <v>379</v>
      </c>
      <c r="M42" s="15" t="n">
        <f aca="false">LEN(L42)</f>
        <v>161</v>
      </c>
      <c r="N42" s="3" t="s">
        <v>380</v>
      </c>
      <c r="O42" s="15" t="s">
        <v>381</v>
      </c>
      <c r="P42" s="16" t="n">
        <v>5400</v>
      </c>
      <c r="Q42" s="15" t="s">
        <v>147</v>
      </c>
      <c r="R42" s="15"/>
      <c r="S42" s="15" t="n">
        <f aca="false">COUNTIF('Page-Keyword Map'!$A$2:$A$668,B42)</f>
        <v>1</v>
      </c>
      <c r="T42" s="16" t="n">
        <f aca="false">SUMIF('Page-Keyword Map'!$A$2:$A$668,B42,'Page-Keyword Map'!$H$2:$H$668)</f>
        <v>5400</v>
      </c>
      <c r="U42" s="15" t="n">
        <f aca="false">COUNTIFS('Page-Keyword Map'!$A$2:$A$668,B42,'Page-Keyword Map'!$E$2:$E$668,"Nationwide")</f>
        <v>1</v>
      </c>
      <c r="V42" s="15" t="n">
        <f aca="false">COUNTIFS('Page-Keyword Map'!$A$2:$A$668,B42,'Page-Keyword Map'!$E$2:$E$668,"Provincial")</f>
        <v>0</v>
      </c>
      <c r="W42" s="15" t="n">
        <f aca="false">COUNTIFS('Page-Keyword Map'!$A$2:$A$668,B42,'Page-Keyword Map'!$E$2:$E$668,"City")</f>
        <v>0</v>
      </c>
      <c r="X42" s="15" t="str">
        <f aca="false">IF(O42="","",IF(ISNUMBER(SEARCH(O42,J42)),"Yes","No"))</f>
        <v>Yes</v>
      </c>
      <c r="Y42" s="15" t="n">
        <v>0.9</v>
      </c>
      <c r="Z42" s="15" t="s">
        <v>130</v>
      </c>
      <c r="AA42" s="15" t="s">
        <v>131</v>
      </c>
      <c r="AB42" s="17"/>
      <c r="AC42" s="17"/>
    </row>
    <row r="43" customFormat="false" ht="23.85" hidden="false" customHeight="false" outlineLevel="0" collapsed="false">
      <c r="A43" s="15" t="s">
        <v>382</v>
      </c>
      <c r="B43" s="15" t="s">
        <v>383</v>
      </c>
      <c r="C43" s="15" t="s">
        <v>384</v>
      </c>
      <c r="D43" s="15" t="s">
        <v>83</v>
      </c>
      <c r="E43" s="15" t="s">
        <v>265</v>
      </c>
      <c r="F43" s="15" t="s">
        <v>385</v>
      </c>
      <c r="G43" s="15"/>
      <c r="H43" s="15"/>
      <c r="I43" s="15" t="s">
        <v>126</v>
      </c>
      <c r="J43" s="3" t="s">
        <v>386</v>
      </c>
      <c r="K43" s="15" t="n">
        <f aca="false">LEN(J43)</f>
        <v>51</v>
      </c>
      <c r="L43" s="3" t="s">
        <v>387</v>
      </c>
      <c r="M43" s="15" t="n">
        <f aca="false">LEN(L43)</f>
        <v>139</v>
      </c>
      <c r="N43" s="3" t="s">
        <v>385</v>
      </c>
      <c r="O43" s="15" t="s">
        <v>388</v>
      </c>
      <c r="P43" s="16" t="n">
        <v>1000</v>
      </c>
      <c r="Q43" s="15" t="s">
        <v>147</v>
      </c>
      <c r="R43" s="15"/>
      <c r="S43" s="15" t="n">
        <f aca="false">COUNTIF('Page-Keyword Map'!$A$2:$A$668,B43)</f>
        <v>2</v>
      </c>
      <c r="T43" s="16" t="n">
        <f aca="false">SUMIF('Page-Keyword Map'!$A$2:$A$668,B43,'Page-Keyword Map'!$H$2:$H$668)</f>
        <v>1880</v>
      </c>
      <c r="U43" s="15" t="n">
        <f aca="false">COUNTIFS('Page-Keyword Map'!$A$2:$A$668,B43,'Page-Keyword Map'!$E$2:$E$668,"Nationwide")</f>
        <v>2</v>
      </c>
      <c r="V43" s="15" t="n">
        <f aca="false">COUNTIFS('Page-Keyword Map'!$A$2:$A$668,B43,'Page-Keyword Map'!$E$2:$E$668,"Provincial")</f>
        <v>0</v>
      </c>
      <c r="W43" s="15" t="n">
        <f aca="false">COUNTIFS('Page-Keyword Map'!$A$2:$A$668,B43,'Page-Keyword Map'!$E$2:$E$668,"City")</f>
        <v>0</v>
      </c>
      <c r="X43" s="15" t="str">
        <f aca="false">IF(O43="","",IF(ISNUMBER(SEARCH(O43,J43)),"Yes","No"))</f>
        <v>Yes</v>
      </c>
      <c r="Y43" s="15" t="n">
        <v>0.7</v>
      </c>
      <c r="Z43" s="15" t="s">
        <v>389</v>
      </c>
      <c r="AA43" s="15" t="s">
        <v>131</v>
      </c>
      <c r="AB43" s="17"/>
      <c r="AC43" s="17"/>
    </row>
    <row r="44" customFormat="false" ht="23.85" hidden="false" customHeight="false" outlineLevel="0" collapsed="false">
      <c r="A44" s="15" t="s">
        <v>390</v>
      </c>
      <c r="B44" s="15" t="s">
        <v>391</v>
      </c>
      <c r="C44" s="15" t="s">
        <v>384</v>
      </c>
      <c r="D44" s="15" t="s">
        <v>83</v>
      </c>
      <c r="E44" s="15" t="s">
        <v>314</v>
      </c>
      <c r="F44" s="15" t="s">
        <v>392</v>
      </c>
      <c r="G44" s="15"/>
      <c r="H44" s="15"/>
      <c r="I44" s="15" t="s">
        <v>126</v>
      </c>
      <c r="J44" s="3" t="s">
        <v>393</v>
      </c>
      <c r="K44" s="15" t="n">
        <f aca="false">LEN(J44)</f>
        <v>55</v>
      </c>
      <c r="L44" s="3" t="s">
        <v>394</v>
      </c>
      <c r="M44" s="15" t="n">
        <f aca="false">LEN(L44)</f>
        <v>140</v>
      </c>
      <c r="N44" s="3" t="s">
        <v>392</v>
      </c>
      <c r="O44" s="15" t="s">
        <v>395</v>
      </c>
      <c r="P44" s="16" t="n">
        <v>2900</v>
      </c>
      <c r="Q44" s="15" t="s">
        <v>147</v>
      </c>
      <c r="R44" s="15"/>
      <c r="S44" s="15" t="n">
        <f aca="false">COUNTIF('Page-Keyword Map'!$A$2:$A$668,B44)</f>
        <v>1</v>
      </c>
      <c r="T44" s="16" t="n">
        <f aca="false">SUMIF('Page-Keyword Map'!$A$2:$A$668,B44,'Page-Keyword Map'!$H$2:$H$668)</f>
        <v>2900</v>
      </c>
      <c r="U44" s="15" t="n">
        <f aca="false">COUNTIFS('Page-Keyword Map'!$A$2:$A$668,B44,'Page-Keyword Map'!$E$2:$E$668,"Nationwide")</f>
        <v>1</v>
      </c>
      <c r="V44" s="15" t="n">
        <f aca="false">COUNTIFS('Page-Keyword Map'!$A$2:$A$668,B44,'Page-Keyword Map'!$E$2:$E$668,"Provincial")</f>
        <v>0</v>
      </c>
      <c r="W44" s="15" t="n">
        <f aca="false">COUNTIFS('Page-Keyword Map'!$A$2:$A$668,B44,'Page-Keyword Map'!$E$2:$E$668,"City")</f>
        <v>0</v>
      </c>
      <c r="X44" s="15" t="str">
        <f aca="false">IF(O44="","",IF(ISNUMBER(SEARCH(O44,J44)),"Yes","No"))</f>
        <v>Yes</v>
      </c>
      <c r="Y44" s="15" t="n">
        <v>0.7</v>
      </c>
      <c r="Z44" s="15" t="s">
        <v>389</v>
      </c>
      <c r="AA44" s="15" t="s">
        <v>131</v>
      </c>
      <c r="AB44" s="17"/>
      <c r="AC44" s="17"/>
    </row>
    <row r="45" customFormat="false" ht="23.85" hidden="false" customHeight="false" outlineLevel="0" collapsed="false">
      <c r="A45" s="15" t="s">
        <v>396</v>
      </c>
      <c r="B45" s="15" t="s">
        <v>397</v>
      </c>
      <c r="C45" s="15" t="s">
        <v>384</v>
      </c>
      <c r="D45" s="15" t="s">
        <v>89</v>
      </c>
      <c r="E45" s="15" t="s">
        <v>258</v>
      </c>
      <c r="F45" s="15" t="s">
        <v>398</v>
      </c>
      <c r="G45" s="15"/>
      <c r="H45" s="15"/>
      <c r="I45" s="15" t="s">
        <v>126</v>
      </c>
      <c r="J45" s="3" t="s">
        <v>399</v>
      </c>
      <c r="K45" s="15" t="n">
        <f aca="false">LEN(J45)</f>
        <v>56</v>
      </c>
      <c r="L45" s="3" t="s">
        <v>400</v>
      </c>
      <c r="M45" s="15" t="n">
        <f aca="false">LEN(L45)</f>
        <v>160</v>
      </c>
      <c r="N45" s="3" t="s">
        <v>398</v>
      </c>
      <c r="O45" s="15" t="s">
        <v>401</v>
      </c>
      <c r="P45" s="16" t="n">
        <v>1300</v>
      </c>
      <c r="Q45" s="15" t="s">
        <v>147</v>
      </c>
      <c r="R45" s="15"/>
      <c r="S45" s="15" t="n">
        <f aca="false">COUNTIF('Page-Keyword Map'!$A$2:$A$668,B45)</f>
        <v>2</v>
      </c>
      <c r="T45" s="16" t="n">
        <f aca="false">SUMIF('Page-Keyword Map'!$A$2:$A$668,B45,'Page-Keyword Map'!$H$2:$H$668)</f>
        <v>2600</v>
      </c>
      <c r="U45" s="15" t="n">
        <f aca="false">COUNTIFS('Page-Keyword Map'!$A$2:$A$668,B45,'Page-Keyword Map'!$E$2:$E$668,"Nationwide")</f>
        <v>2</v>
      </c>
      <c r="V45" s="15" t="n">
        <f aca="false">COUNTIFS('Page-Keyword Map'!$A$2:$A$668,B45,'Page-Keyword Map'!$E$2:$E$668,"Provincial")</f>
        <v>0</v>
      </c>
      <c r="W45" s="15" t="n">
        <f aca="false">COUNTIFS('Page-Keyword Map'!$A$2:$A$668,B45,'Page-Keyword Map'!$E$2:$E$668,"City")</f>
        <v>0</v>
      </c>
      <c r="X45" s="15" t="str">
        <f aca="false">IF(O45="","",IF(ISNUMBER(SEARCH(O45,J45)),"Yes","No"))</f>
        <v>Yes</v>
      </c>
      <c r="Y45" s="15" t="n">
        <v>0.8</v>
      </c>
      <c r="Z45" s="15" t="s">
        <v>389</v>
      </c>
      <c r="AA45" s="15" t="s">
        <v>131</v>
      </c>
      <c r="AB45" s="17"/>
      <c r="AC45" s="17"/>
    </row>
    <row r="46" customFormat="false" ht="23.85" hidden="false" customHeight="false" outlineLevel="0" collapsed="false">
      <c r="A46" s="15" t="s">
        <v>402</v>
      </c>
      <c r="B46" s="15" t="s">
        <v>403</v>
      </c>
      <c r="C46" s="15" t="s">
        <v>384</v>
      </c>
      <c r="D46" s="15" t="s">
        <v>89</v>
      </c>
      <c r="E46" s="15" t="s">
        <v>258</v>
      </c>
      <c r="F46" s="15" t="s">
        <v>404</v>
      </c>
      <c r="G46" s="15"/>
      <c r="H46" s="15"/>
      <c r="I46" s="15" t="s">
        <v>126</v>
      </c>
      <c r="J46" s="3" t="s">
        <v>405</v>
      </c>
      <c r="K46" s="15" t="n">
        <f aca="false">LEN(J46)</f>
        <v>60</v>
      </c>
      <c r="L46" s="3" t="s">
        <v>406</v>
      </c>
      <c r="M46" s="15" t="n">
        <f aca="false">LEN(L46)</f>
        <v>142</v>
      </c>
      <c r="N46" s="3" t="s">
        <v>404</v>
      </c>
      <c r="O46" s="15" t="s">
        <v>407</v>
      </c>
      <c r="P46" s="16" t="n">
        <v>590</v>
      </c>
      <c r="Q46" s="15" t="s">
        <v>147</v>
      </c>
      <c r="R46" s="15"/>
      <c r="S46" s="15" t="n">
        <f aca="false">COUNTIF('Page-Keyword Map'!$A$2:$A$668,B46)</f>
        <v>1</v>
      </c>
      <c r="T46" s="16" t="n">
        <f aca="false">SUMIF('Page-Keyword Map'!$A$2:$A$668,B46,'Page-Keyword Map'!$H$2:$H$668)</f>
        <v>590</v>
      </c>
      <c r="U46" s="15" t="n">
        <f aca="false">COUNTIFS('Page-Keyword Map'!$A$2:$A$668,B46,'Page-Keyword Map'!$E$2:$E$668,"Nationwide")</f>
        <v>1</v>
      </c>
      <c r="V46" s="15" t="n">
        <f aca="false">COUNTIFS('Page-Keyword Map'!$A$2:$A$668,B46,'Page-Keyword Map'!$E$2:$E$668,"Provincial")</f>
        <v>0</v>
      </c>
      <c r="W46" s="15" t="n">
        <f aca="false">COUNTIFS('Page-Keyword Map'!$A$2:$A$668,B46,'Page-Keyword Map'!$E$2:$E$668,"City")</f>
        <v>0</v>
      </c>
      <c r="X46" s="15" t="str">
        <f aca="false">IF(O46="","",IF(ISNUMBER(SEARCH(O46,J46)),"Yes","No"))</f>
        <v>No</v>
      </c>
      <c r="Y46" s="15" t="n">
        <v>0.7</v>
      </c>
      <c r="Z46" s="15" t="s">
        <v>389</v>
      </c>
      <c r="AA46" s="15" t="s">
        <v>131</v>
      </c>
      <c r="AB46" s="17"/>
      <c r="AC46" s="17"/>
    </row>
    <row r="47" customFormat="false" ht="23.85" hidden="false" customHeight="false" outlineLevel="0" collapsed="false">
      <c r="A47" s="15" t="s">
        <v>408</v>
      </c>
      <c r="B47" s="15" t="s">
        <v>409</v>
      </c>
      <c r="C47" s="15" t="s">
        <v>384</v>
      </c>
      <c r="D47" s="15" t="s">
        <v>89</v>
      </c>
      <c r="E47" s="15" t="s">
        <v>258</v>
      </c>
      <c r="F47" s="15" t="s">
        <v>410</v>
      </c>
      <c r="G47" s="15"/>
      <c r="H47" s="15"/>
      <c r="I47" s="15" t="s">
        <v>126</v>
      </c>
      <c r="J47" s="3" t="s">
        <v>411</v>
      </c>
      <c r="K47" s="15" t="n">
        <f aca="false">LEN(J47)</f>
        <v>61</v>
      </c>
      <c r="L47" s="3" t="s">
        <v>412</v>
      </c>
      <c r="M47" s="15" t="n">
        <f aca="false">LEN(L47)</f>
        <v>152</v>
      </c>
      <c r="N47" s="3" t="s">
        <v>410</v>
      </c>
      <c r="O47" s="15" t="s">
        <v>413</v>
      </c>
      <c r="P47" s="16" t="n">
        <v>880</v>
      </c>
      <c r="Q47" s="15" t="s">
        <v>147</v>
      </c>
      <c r="R47" s="15"/>
      <c r="S47" s="15" t="n">
        <f aca="false">COUNTIF('Page-Keyword Map'!$A$2:$A$668,B47)</f>
        <v>1</v>
      </c>
      <c r="T47" s="16" t="n">
        <f aca="false">SUMIF('Page-Keyword Map'!$A$2:$A$668,B47,'Page-Keyword Map'!$H$2:$H$668)</f>
        <v>880</v>
      </c>
      <c r="U47" s="15" t="n">
        <f aca="false">COUNTIFS('Page-Keyword Map'!$A$2:$A$668,B47,'Page-Keyword Map'!$E$2:$E$668,"Nationwide")</f>
        <v>1</v>
      </c>
      <c r="V47" s="15" t="n">
        <f aca="false">COUNTIFS('Page-Keyword Map'!$A$2:$A$668,B47,'Page-Keyword Map'!$E$2:$E$668,"Provincial")</f>
        <v>0</v>
      </c>
      <c r="W47" s="15" t="n">
        <f aca="false">COUNTIFS('Page-Keyword Map'!$A$2:$A$668,B47,'Page-Keyword Map'!$E$2:$E$668,"City")</f>
        <v>0</v>
      </c>
      <c r="X47" s="15" t="str">
        <f aca="false">IF(O47="","",IF(ISNUMBER(SEARCH(O47,J47)),"Yes","No"))</f>
        <v>No</v>
      </c>
      <c r="Y47" s="15" t="n">
        <v>0.7</v>
      </c>
      <c r="Z47" s="15" t="s">
        <v>389</v>
      </c>
      <c r="AA47" s="15" t="s">
        <v>131</v>
      </c>
      <c r="AB47" s="17"/>
      <c r="AC47" s="17"/>
    </row>
    <row r="48" customFormat="false" ht="23.85" hidden="false" customHeight="false" outlineLevel="0" collapsed="false">
      <c r="A48" s="15" t="s">
        <v>414</v>
      </c>
      <c r="B48" s="15" t="s">
        <v>415</v>
      </c>
      <c r="C48" s="15" t="s">
        <v>384</v>
      </c>
      <c r="D48" s="15" t="s">
        <v>89</v>
      </c>
      <c r="E48" s="15" t="s">
        <v>258</v>
      </c>
      <c r="F48" s="15" t="s">
        <v>416</v>
      </c>
      <c r="G48" s="15"/>
      <c r="H48" s="15"/>
      <c r="I48" s="15" t="s">
        <v>126</v>
      </c>
      <c r="J48" s="3" t="s">
        <v>417</v>
      </c>
      <c r="K48" s="15" t="n">
        <f aca="false">LEN(J48)</f>
        <v>54</v>
      </c>
      <c r="L48" s="3" t="s">
        <v>418</v>
      </c>
      <c r="M48" s="15" t="n">
        <f aca="false">LEN(L48)</f>
        <v>145</v>
      </c>
      <c r="N48" s="3" t="s">
        <v>416</v>
      </c>
      <c r="O48" s="15" t="s">
        <v>419</v>
      </c>
      <c r="P48" s="16" t="n">
        <v>480</v>
      </c>
      <c r="Q48" s="15" t="s">
        <v>147</v>
      </c>
      <c r="R48" s="15"/>
      <c r="S48" s="15" t="n">
        <f aca="false">COUNTIF('Page-Keyword Map'!$A$2:$A$668,B48)</f>
        <v>1</v>
      </c>
      <c r="T48" s="16" t="n">
        <f aca="false">SUMIF('Page-Keyword Map'!$A$2:$A$668,B48,'Page-Keyword Map'!$H$2:$H$668)</f>
        <v>480</v>
      </c>
      <c r="U48" s="15" t="n">
        <f aca="false">COUNTIFS('Page-Keyword Map'!$A$2:$A$668,B48,'Page-Keyword Map'!$E$2:$E$668,"Nationwide")</f>
        <v>1</v>
      </c>
      <c r="V48" s="15" t="n">
        <f aca="false">COUNTIFS('Page-Keyword Map'!$A$2:$A$668,B48,'Page-Keyword Map'!$E$2:$E$668,"Provincial")</f>
        <v>0</v>
      </c>
      <c r="W48" s="15" t="n">
        <f aca="false">COUNTIFS('Page-Keyword Map'!$A$2:$A$668,B48,'Page-Keyword Map'!$E$2:$E$668,"City")</f>
        <v>0</v>
      </c>
      <c r="X48" s="15" t="str">
        <f aca="false">IF(O48="","",IF(ISNUMBER(SEARCH(O48,J48)),"Yes","No"))</f>
        <v>No</v>
      </c>
      <c r="Y48" s="15" t="n">
        <v>0.7</v>
      </c>
      <c r="Z48" s="15" t="s">
        <v>389</v>
      </c>
      <c r="AA48" s="15" t="s">
        <v>131</v>
      </c>
      <c r="AB48" s="17"/>
      <c r="AC48" s="17"/>
    </row>
    <row r="49" customFormat="false" ht="23.85" hidden="false" customHeight="false" outlineLevel="0" collapsed="false">
      <c r="A49" s="15" t="s">
        <v>420</v>
      </c>
      <c r="B49" s="15" t="s">
        <v>421</v>
      </c>
      <c r="C49" s="15" t="s">
        <v>384</v>
      </c>
      <c r="D49" s="15" t="s">
        <v>89</v>
      </c>
      <c r="E49" s="15" t="s">
        <v>321</v>
      </c>
      <c r="F49" s="15" t="s">
        <v>422</v>
      </c>
      <c r="G49" s="15"/>
      <c r="H49" s="15"/>
      <c r="I49" s="15" t="s">
        <v>126</v>
      </c>
      <c r="J49" s="3" t="s">
        <v>423</v>
      </c>
      <c r="K49" s="15" t="n">
        <f aca="false">LEN(J49)</f>
        <v>55</v>
      </c>
      <c r="L49" s="3" t="s">
        <v>424</v>
      </c>
      <c r="M49" s="15" t="n">
        <f aca="false">LEN(L49)</f>
        <v>158</v>
      </c>
      <c r="N49" s="3" t="s">
        <v>422</v>
      </c>
      <c r="O49" s="15" t="s">
        <v>425</v>
      </c>
      <c r="P49" s="16" t="n">
        <v>480</v>
      </c>
      <c r="Q49" s="15" t="s">
        <v>147</v>
      </c>
      <c r="R49" s="15"/>
      <c r="S49" s="15" t="n">
        <f aca="false">COUNTIF('Page-Keyword Map'!$A$2:$A$668,B49)</f>
        <v>1</v>
      </c>
      <c r="T49" s="16" t="n">
        <f aca="false">SUMIF('Page-Keyword Map'!$A$2:$A$668,B49,'Page-Keyword Map'!$H$2:$H$668)</f>
        <v>480</v>
      </c>
      <c r="U49" s="15" t="n">
        <f aca="false">COUNTIFS('Page-Keyword Map'!$A$2:$A$668,B49,'Page-Keyword Map'!$E$2:$E$668,"Nationwide")</f>
        <v>1</v>
      </c>
      <c r="V49" s="15" t="n">
        <f aca="false">COUNTIFS('Page-Keyword Map'!$A$2:$A$668,B49,'Page-Keyword Map'!$E$2:$E$668,"Provincial")</f>
        <v>0</v>
      </c>
      <c r="W49" s="15" t="n">
        <f aca="false">COUNTIFS('Page-Keyword Map'!$A$2:$A$668,B49,'Page-Keyword Map'!$E$2:$E$668,"City")</f>
        <v>0</v>
      </c>
      <c r="X49" s="15" t="str">
        <f aca="false">IF(O49="","",IF(ISNUMBER(SEARCH(O49,J49)),"Yes","No"))</f>
        <v>No</v>
      </c>
      <c r="Y49" s="15" t="n">
        <v>0.7</v>
      </c>
      <c r="Z49" s="15" t="s">
        <v>389</v>
      </c>
      <c r="AA49" s="15" t="s">
        <v>131</v>
      </c>
      <c r="AB49" s="17"/>
      <c r="AC49" s="17"/>
    </row>
    <row r="50" customFormat="false" ht="23.85" hidden="false" customHeight="false" outlineLevel="0" collapsed="false">
      <c r="A50" s="15" t="s">
        <v>426</v>
      </c>
      <c r="B50" s="15" t="s">
        <v>427</v>
      </c>
      <c r="C50" s="15" t="s">
        <v>384</v>
      </c>
      <c r="D50" s="15" t="s">
        <v>89</v>
      </c>
      <c r="E50" s="15" t="s">
        <v>258</v>
      </c>
      <c r="F50" s="15" t="s">
        <v>428</v>
      </c>
      <c r="G50" s="15"/>
      <c r="H50" s="15"/>
      <c r="I50" s="15" t="s">
        <v>126</v>
      </c>
      <c r="J50" s="3" t="s">
        <v>429</v>
      </c>
      <c r="K50" s="15" t="n">
        <f aca="false">LEN(J50)</f>
        <v>60</v>
      </c>
      <c r="L50" s="3" t="s">
        <v>430</v>
      </c>
      <c r="M50" s="15" t="n">
        <f aca="false">LEN(L50)</f>
        <v>159</v>
      </c>
      <c r="N50" s="3" t="s">
        <v>428</v>
      </c>
      <c r="O50" s="15" t="s">
        <v>431</v>
      </c>
      <c r="P50" s="16" t="n">
        <v>590</v>
      </c>
      <c r="Q50" s="15" t="s">
        <v>147</v>
      </c>
      <c r="R50" s="15"/>
      <c r="S50" s="15" t="n">
        <f aca="false">COUNTIF('Page-Keyword Map'!$A$2:$A$668,B50)</f>
        <v>1</v>
      </c>
      <c r="T50" s="16" t="n">
        <f aca="false">SUMIF('Page-Keyword Map'!$A$2:$A$668,B50,'Page-Keyword Map'!$H$2:$H$668)</f>
        <v>590</v>
      </c>
      <c r="U50" s="15" t="n">
        <f aca="false">COUNTIFS('Page-Keyword Map'!$A$2:$A$668,B50,'Page-Keyword Map'!$E$2:$E$668,"Nationwide")</f>
        <v>1</v>
      </c>
      <c r="V50" s="15" t="n">
        <f aca="false">COUNTIFS('Page-Keyword Map'!$A$2:$A$668,B50,'Page-Keyword Map'!$E$2:$E$668,"Provincial")</f>
        <v>0</v>
      </c>
      <c r="W50" s="15" t="n">
        <f aca="false">COUNTIFS('Page-Keyword Map'!$A$2:$A$668,B50,'Page-Keyword Map'!$E$2:$E$668,"City")</f>
        <v>0</v>
      </c>
      <c r="X50" s="15" t="str">
        <f aca="false">IF(O50="","",IF(ISNUMBER(SEARCH(O50,J50)),"Yes","No"))</f>
        <v>No</v>
      </c>
      <c r="Y50" s="15" t="n">
        <v>0.7</v>
      </c>
      <c r="Z50" s="15" t="s">
        <v>389</v>
      </c>
      <c r="AA50" s="15" t="s">
        <v>131</v>
      </c>
      <c r="AB50" s="17"/>
      <c r="AC50" s="17"/>
    </row>
    <row r="51" customFormat="false" ht="23.85" hidden="false" customHeight="false" outlineLevel="0" collapsed="false">
      <c r="A51" s="15" t="s">
        <v>432</v>
      </c>
      <c r="B51" s="15" t="s">
        <v>433</v>
      </c>
      <c r="C51" s="15" t="s">
        <v>384</v>
      </c>
      <c r="D51" s="15" t="s">
        <v>82</v>
      </c>
      <c r="E51" s="15" t="s">
        <v>265</v>
      </c>
      <c r="F51" s="15" t="s">
        <v>434</v>
      </c>
      <c r="G51" s="15"/>
      <c r="H51" s="15"/>
      <c r="I51" s="15" t="s">
        <v>126</v>
      </c>
      <c r="J51" s="3" t="s">
        <v>435</v>
      </c>
      <c r="K51" s="15" t="n">
        <f aca="false">LEN(J51)</f>
        <v>62</v>
      </c>
      <c r="L51" s="3" t="s">
        <v>436</v>
      </c>
      <c r="M51" s="15" t="n">
        <f aca="false">LEN(L51)</f>
        <v>157</v>
      </c>
      <c r="N51" s="3" t="s">
        <v>434</v>
      </c>
      <c r="O51" s="15" t="s">
        <v>437</v>
      </c>
      <c r="P51" s="16" t="n">
        <v>210</v>
      </c>
      <c r="Q51" s="15" t="s">
        <v>147</v>
      </c>
      <c r="R51" s="15"/>
      <c r="S51" s="15" t="n">
        <f aca="false">COUNTIF('Page-Keyword Map'!$A$2:$A$668,B51)</f>
        <v>1</v>
      </c>
      <c r="T51" s="16" t="n">
        <f aca="false">SUMIF('Page-Keyword Map'!$A$2:$A$668,B51,'Page-Keyword Map'!$H$2:$H$668)</f>
        <v>210</v>
      </c>
      <c r="U51" s="15" t="n">
        <f aca="false">COUNTIFS('Page-Keyword Map'!$A$2:$A$668,B51,'Page-Keyword Map'!$E$2:$E$668,"Nationwide")</f>
        <v>1</v>
      </c>
      <c r="V51" s="15" t="n">
        <f aca="false">COUNTIFS('Page-Keyword Map'!$A$2:$A$668,B51,'Page-Keyword Map'!$E$2:$E$668,"Provincial")</f>
        <v>0</v>
      </c>
      <c r="W51" s="15" t="n">
        <f aca="false">COUNTIFS('Page-Keyword Map'!$A$2:$A$668,B51,'Page-Keyword Map'!$E$2:$E$668,"City")</f>
        <v>0</v>
      </c>
      <c r="X51" s="15" t="str">
        <f aca="false">IF(O51="","",IF(ISNUMBER(SEARCH(O51,J51)),"Yes","No"))</f>
        <v>No</v>
      </c>
      <c r="Y51" s="15" t="n">
        <v>0.8</v>
      </c>
      <c r="Z51" s="15" t="s">
        <v>389</v>
      </c>
      <c r="AA51" s="15" t="s">
        <v>131</v>
      </c>
      <c r="AB51" s="17"/>
      <c r="AC51" s="17"/>
    </row>
    <row r="52" customFormat="false" ht="23.85" hidden="false" customHeight="false" outlineLevel="0" collapsed="false">
      <c r="A52" s="15" t="s">
        <v>438</v>
      </c>
      <c r="B52" s="15" t="s">
        <v>439</v>
      </c>
      <c r="C52" s="15" t="s">
        <v>384</v>
      </c>
      <c r="D52" s="15" t="s">
        <v>82</v>
      </c>
      <c r="E52" s="15" t="s">
        <v>265</v>
      </c>
      <c r="F52" s="15" t="s">
        <v>440</v>
      </c>
      <c r="G52" s="15"/>
      <c r="H52" s="15"/>
      <c r="I52" s="15" t="s">
        <v>126</v>
      </c>
      <c r="J52" s="3" t="s">
        <v>441</v>
      </c>
      <c r="K52" s="15" t="n">
        <f aca="false">LEN(J52)</f>
        <v>58</v>
      </c>
      <c r="L52" s="3" t="s">
        <v>442</v>
      </c>
      <c r="M52" s="15" t="n">
        <f aca="false">LEN(L52)</f>
        <v>132</v>
      </c>
      <c r="N52" s="3" t="s">
        <v>440</v>
      </c>
      <c r="O52" s="15" t="s">
        <v>443</v>
      </c>
      <c r="P52" s="16" t="n">
        <v>1300</v>
      </c>
      <c r="Q52" s="15" t="s">
        <v>147</v>
      </c>
      <c r="R52" s="15"/>
      <c r="S52" s="15" t="n">
        <f aca="false">COUNTIF('Page-Keyword Map'!$A$2:$A$668,B52)</f>
        <v>1</v>
      </c>
      <c r="T52" s="16" t="n">
        <f aca="false">SUMIF('Page-Keyword Map'!$A$2:$A$668,B52,'Page-Keyword Map'!$H$2:$H$668)</f>
        <v>1300</v>
      </c>
      <c r="U52" s="15" t="n">
        <f aca="false">COUNTIFS('Page-Keyword Map'!$A$2:$A$668,B52,'Page-Keyword Map'!$E$2:$E$668,"Nationwide")</f>
        <v>1</v>
      </c>
      <c r="V52" s="15" t="n">
        <f aca="false">COUNTIFS('Page-Keyword Map'!$A$2:$A$668,B52,'Page-Keyword Map'!$E$2:$E$668,"Provincial")</f>
        <v>0</v>
      </c>
      <c r="W52" s="15" t="n">
        <f aca="false">COUNTIFS('Page-Keyword Map'!$A$2:$A$668,B52,'Page-Keyword Map'!$E$2:$E$668,"City")</f>
        <v>0</v>
      </c>
      <c r="X52" s="15" t="str">
        <f aca="false">IF(O52="","",IF(ISNUMBER(SEARCH(O52,J52)),"Yes","No"))</f>
        <v>No</v>
      </c>
      <c r="Y52" s="15" t="n">
        <v>0.7</v>
      </c>
      <c r="Z52" s="15" t="s">
        <v>389</v>
      </c>
      <c r="AA52" s="15" t="s">
        <v>131</v>
      </c>
      <c r="AB52" s="17"/>
      <c r="AC52" s="17"/>
    </row>
    <row r="53" customFormat="false" ht="23.85" hidden="false" customHeight="false" outlineLevel="0" collapsed="false">
      <c r="A53" s="15" t="s">
        <v>444</v>
      </c>
      <c r="B53" s="15" t="s">
        <v>445</v>
      </c>
      <c r="C53" s="15" t="s">
        <v>384</v>
      </c>
      <c r="D53" s="15" t="s">
        <v>82</v>
      </c>
      <c r="E53" s="15" t="s">
        <v>265</v>
      </c>
      <c r="F53" s="15" t="s">
        <v>446</v>
      </c>
      <c r="G53" s="15"/>
      <c r="H53" s="15"/>
      <c r="I53" s="15" t="s">
        <v>126</v>
      </c>
      <c r="J53" s="3" t="s">
        <v>447</v>
      </c>
      <c r="K53" s="15" t="n">
        <f aca="false">LEN(J53)</f>
        <v>56</v>
      </c>
      <c r="L53" s="3" t="s">
        <v>448</v>
      </c>
      <c r="M53" s="15" t="n">
        <f aca="false">LEN(L53)</f>
        <v>145</v>
      </c>
      <c r="N53" s="3" t="s">
        <v>446</v>
      </c>
      <c r="O53" s="15" t="s">
        <v>449</v>
      </c>
      <c r="P53" s="16" t="n">
        <v>880</v>
      </c>
      <c r="Q53" s="15" t="s">
        <v>147</v>
      </c>
      <c r="R53" s="15"/>
      <c r="S53" s="15" t="n">
        <f aca="false">COUNTIF('Page-Keyword Map'!$A$2:$A$668,B53)</f>
        <v>1</v>
      </c>
      <c r="T53" s="16" t="n">
        <f aca="false">SUMIF('Page-Keyword Map'!$A$2:$A$668,B53,'Page-Keyword Map'!$H$2:$H$668)</f>
        <v>880</v>
      </c>
      <c r="U53" s="15" t="n">
        <f aca="false">COUNTIFS('Page-Keyword Map'!$A$2:$A$668,B53,'Page-Keyword Map'!$E$2:$E$668,"Nationwide")</f>
        <v>1</v>
      </c>
      <c r="V53" s="15" t="n">
        <f aca="false">COUNTIFS('Page-Keyword Map'!$A$2:$A$668,B53,'Page-Keyword Map'!$E$2:$E$668,"Provincial")</f>
        <v>0</v>
      </c>
      <c r="W53" s="15" t="n">
        <f aca="false">COUNTIFS('Page-Keyword Map'!$A$2:$A$668,B53,'Page-Keyword Map'!$E$2:$E$668,"City")</f>
        <v>0</v>
      </c>
      <c r="X53" s="15" t="str">
        <f aca="false">IF(O53="","",IF(ISNUMBER(SEARCH(O53,J53)),"Yes","No"))</f>
        <v>No</v>
      </c>
      <c r="Y53" s="15" t="n">
        <v>0.7</v>
      </c>
      <c r="Z53" s="15" t="s">
        <v>389</v>
      </c>
      <c r="AA53" s="15" t="s">
        <v>131</v>
      </c>
      <c r="AB53" s="17"/>
      <c r="AC53" s="17"/>
    </row>
    <row r="54" customFormat="false" ht="23.85" hidden="false" customHeight="false" outlineLevel="0" collapsed="false">
      <c r="A54" s="15" t="s">
        <v>450</v>
      </c>
      <c r="B54" s="15" t="s">
        <v>451</v>
      </c>
      <c r="C54" s="15" t="s">
        <v>384</v>
      </c>
      <c r="D54" s="15" t="s">
        <v>82</v>
      </c>
      <c r="E54" s="15" t="s">
        <v>265</v>
      </c>
      <c r="F54" s="15" t="s">
        <v>452</v>
      </c>
      <c r="G54" s="15"/>
      <c r="H54" s="15"/>
      <c r="I54" s="15" t="s">
        <v>126</v>
      </c>
      <c r="J54" s="3" t="s">
        <v>453</v>
      </c>
      <c r="K54" s="15" t="n">
        <f aca="false">LEN(J54)</f>
        <v>57</v>
      </c>
      <c r="L54" s="3" t="s">
        <v>454</v>
      </c>
      <c r="M54" s="15" t="n">
        <f aca="false">LEN(L54)</f>
        <v>152</v>
      </c>
      <c r="N54" s="3" t="s">
        <v>452</v>
      </c>
      <c r="O54" s="15" t="s">
        <v>455</v>
      </c>
      <c r="P54" s="16" t="n">
        <v>1600</v>
      </c>
      <c r="Q54" s="15" t="s">
        <v>147</v>
      </c>
      <c r="R54" s="15"/>
      <c r="S54" s="15" t="n">
        <f aca="false">COUNTIF('Page-Keyword Map'!$A$2:$A$668,B54)</f>
        <v>2</v>
      </c>
      <c r="T54" s="16" t="n">
        <f aca="false">SUMIF('Page-Keyword Map'!$A$2:$A$668,B54,'Page-Keyword Map'!$H$2:$H$668)</f>
        <v>2900</v>
      </c>
      <c r="U54" s="15" t="n">
        <f aca="false">COUNTIFS('Page-Keyword Map'!$A$2:$A$668,B54,'Page-Keyword Map'!$E$2:$E$668,"Nationwide")</f>
        <v>2</v>
      </c>
      <c r="V54" s="15" t="n">
        <f aca="false">COUNTIFS('Page-Keyword Map'!$A$2:$A$668,B54,'Page-Keyword Map'!$E$2:$E$668,"Provincial")</f>
        <v>0</v>
      </c>
      <c r="W54" s="15" t="n">
        <f aca="false">COUNTIFS('Page-Keyword Map'!$A$2:$A$668,B54,'Page-Keyword Map'!$E$2:$E$668,"City")</f>
        <v>0</v>
      </c>
      <c r="X54" s="15" t="str">
        <f aca="false">IF(O54="","",IF(ISNUMBER(SEARCH(O54,J54)),"Yes","No"))</f>
        <v>No</v>
      </c>
      <c r="Y54" s="15" t="n">
        <v>0.8</v>
      </c>
      <c r="Z54" s="15" t="s">
        <v>389</v>
      </c>
      <c r="AA54" s="15" t="s">
        <v>131</v>
      </c>
      <c r="AB54" s="17"/>
      <c r="AC54" s="17"/>
    </row>
    <row r="55" customFormat="false" ht="23.85" hidden="false" customHeight="false" outlineLevel="0" collapsed="false">
      <c r="A55" s="15" t="s">
        <v>456</v>
      </c>
      <c r="B55" s="15" t="s">
        <v>457</v>
      </c>
      <c r="C55" s="15" t="s">
        <v>384</v>
      </c>
      <c r="D55" s="15" t="s">
        <v>82</v>
      </c>
      <c r="E55" s="15" t="s">
        <v>265</v>
      </c>
      <c r="F55" s="15" t="s">
        <v>458</v>
      </c>
      <c r="G55" s="15"/>
      <c r="H55" s="15"/>
      <c r="I55" s="15" t="s">
        <v>126</v>
      </c>
      <c r="J55" s="3" t="s">
        <v>459</v>
      </c>
      <c r="K55" s="15" t="n">
        <f aca="false">LEN(J55)</f>
        <v>65</v>
      </c>
      <c r="L55" s="3" t="s">
        <v>460</v>
      </c>
      <c r="M55" s="15" t="n">
        <f aca="false">LEN(L55)</f>
        <v>144</v>
      </c>
      <c r="N55" s="3" t="s">
        <v>458</v>
      </c>
      <c r="O55" s="15" t="s">
        <v>461</v>
      </c>
      <c r="P55" s="16" t="n">
        <v>880</v>
      </c>
      <c r="Q55" s="15" t="s">
        <v>147</v>
      </c>
      <c r="R55" s="15"/>
      <c r="S55" s="15" t="n">
        <f aca="false">COUNTIF('Page-Keyword Map'!$A$2:$A$668,B55)</f>
        <v>1</v>
      </c>
      <c r="T55" s="16" t="n">
        <f aca="false">SUMIF('Page-Keyword Map'!$A$2:$A$668,B55,'Page-Keyword Map'!$H$2:$H$668)</f>
        <v>880</v>
      </c>
      <c r="U55" s="15" t="n">
        <f aca="false">COUNTIFS('Page-Keyword Map'!$A$2:$A$668,B55,'Page-Keyword Map'!$E$2:$E$668,"Nationwide")</f>
        <v>1</v>
      </c>
      <c r="V55" s="15" t="n">
        <f aca="false">COUNTIFS('Page-Keyword Map'!$A$2:$A$668,B55,'Page-Keyword Map'!$E$2:$E$668,"Provincial")</f>
        <v>0</v>
      </c>
      <c r="W55" s="15" t="n">
        <f aca="false">COUNTIFS('Page-Keyword Map'!$A$2:$A$668,B55,'Page-Keyword Map'!$E$2:$E$668,"City")</f>
        <v>0</v>
      </c>
      <c r="X55" s="15" t="str">
        <f aca="false">IF(O55="","",IF(ISNUMBER(SEARCH(O55,J55)),"Yes","No"))</f>
        <v>No</v>
      </c>
      <c r="Y55" s="15" t="n">
        <v>0.7</v>
      </c>
      <c r="Z55" s="15" t="s">
        <v>389</v>
      </c>
      <c r="AA55" s="15" t="s">
        <v>131</v>
      </c>
      <c r="AB55" s="17"/>
      <c r="AC55" s="17"/>
    </row>
    <row r="56" customFormat="false" ht="23.85" hidden="false" customHeight="false" outlineLevel="0" collapsed="false">
      <c r="A56" s="15" t="s">
        <v>462</v>
      </c>
      <c r="B56" s="15" t="s">
        <v>463</v>
      </c>
      <c r="C56" s="15" t="s">
        <v>384</v>
      </c>
      <c r="D56" s="15" t="s">
        <v>82</v>
      </c>
      <c r="E56" s="15" t="s">
        <v>265</v>
      </c>
      <c r="F56" s="15" t="s">
        <v>464</v>
      </c>
      <c r="G56" s="15"/>
      <c r="H56" s="15"/>
      <c r="I56" s="15" t="s">
        <v>126</v>
      </c>
      <c r="J56" s="3" t="s">
        <v>465</v>
      </c>
      <c r="K56" s="15" t="n">
        <f aca="false">LEN(J56)</f>
        <v>54</v>
      </c>
      <c r="L56" s="3" t="s">
        <v>466</v>
      </c>
      <c r="M56" s="15" t="n">
        <f aca="false">LEN(L56)</f>
        <v>144</v>
      </c>
      <c r="N56" s="3" t="s">
        <v>464</v>
      </c>
      <c r="O56" s="15" t="s">
        <v>467</v>
      </c>
      <c r="P56" s="16" t="n">
        <v>1900</v>
      </c>
      <c r="Q56" s="15" t="s">
        <v>147</v>
      </c>
      <c r="R56" s="15"/>
      <c r="S56" s="15" t="n">
        <f aca="false">COUNTIF('Page-Keyword Map'!$A$2:$A$668,B56)</f>
        <v>2</v>
      </c>
      <c r="T56" s="16" t="n">
        <f aca="false">SUMIF('Page-Keyword Map'!$A$2:$A$668,B56,'Page-Keyword Map'!$H$2:$H$668)</f>
        <v>2780</v>
      </c>
      <c r="U56" s="15" t="n">
        <f aca="false">COUNTIFS('Page-Keyword Map'!$A$2:$A$668,B56,'Page-Keyword Map'!$E$2:$E$668,"Nationwide")</f>
        <v>1</v>
      </c>
      <c r="V56" s="15" t="n">
        <f aca="false">COUNTIFS('Page-Keyword Map'!$A$2:$A$668,B56,'Page-Keyword Map'!$E$2:$E$668,"Provincial")</f>
        <v>1</v>
      </c>
      <c r="W56" s="15" t="n">
        <f aca="false">COUNTIFS('Page-Keyword Map'!$A$2:$A$668,B56,'Page-Keyword Map'!$E$2:$E$668,"City")</f>
        <v>0</v>
      </c>
      <c r="X56" s="15" t="str">
        <f aca="false">IF(O56="","",IF(ISNUMBER(SEARCH(O56,J56)),"Yes","No"))</f>
        <v>Yes</v>
      </c>
      <c r="Y56" s="15" t="n">
        <v>0.7</v>
      </c>
      <c r="Z56" s="15" t="s">
        <v>389</v>
      </c>
      <c r="AA56" s="15" t="s">
        <v>131</v>
      </c>
      <c r="AB56" s="17"/>
      <c r="AC56" s="17"/>
    </row>
    <row r="57" customFormat="false" ht="23.85" hidden="false" customHeight="false" outlineLevel="0" collapsed="false">
      <c r="A57" s="15" t="s">
        <v>468</v>
      </c>
      <c r="B57" s="15" t="s">
        <v>469</v>
      </c>
      <c r="C57" s="15" t="s">
        <v>384</v>
      </c>
      <c r="D57" s="15" t="s">
        <v>82</v>
      </c>
      <c r="E57" s="15" t="s">
        <v>265</v>
      </c>
      <c r="F57" s="15" t="s">
        <v>470</v>
      </c>
      <c r="G57" s="15"/>
      <c r="H57" s="15"/>
      <c r="I57" s="15" t="s">
        <v>126</v>
      </c>
      <c r="J57" s="3" t="s">
        <v>471</v>
      </c>
      <c r="K57" s="15" t="n">
        <f aca="false">LEN(J57)</f>
        <v>60</v>
      </c>
      <c r="L57" s="3" t="s">
        <v>472</v>
      </c>
      <c r="M57" s="15" t="n">
        <f aca="false">LEN(L57)</f>
        <v>140</v>
      </c>
      <c r="N57" s="3" t="s">
        <v>470</v>
      </c>
      <c r="O57" s="15" t="s">
        <v>473</v>
      </c>
      <c r="P57" s="16" t="n">
        <v>1000</v>
      </c>
      <c r="Q57" s="15" t="s">
        <v>147</v>
      </c>
      <c r="R57" s="15"/>
      <c r="S57" s="15" t="n">
        <f aca="false">COUNTIF('Page-Keyword Map'!$A$2:$A$668,B57)</f>
        <v>1</v>
      </c>
      <c r="T57" s="16" t="n">
        <f aca="false">SUMIF('Page-Keyword Map'!$A$2:$A$668,B57,'Page-Keyword Map'!$H$2:$H$668)</f>
        <v>1000</v>
      </c>
      <c r="U57" s="15" t="n">
        <f aca="false">COUNTIFS('Page-Keyword Map'!$A$2:$A$668,B57,'Page-Keyword Map'!$E$2:$E$668,"Nationwide")</f>
        <v>1</v>
      </c>
      <c r="V57" s="15" t="n">
        <f aca="false">COUNTIFS('Page-Keyword Map'!$A$2:$A$668,B57,'Page-Keyword Map'!$E$2:$E$668,"Provincial")</f>
        <v>0</v>
      </c>
      <c r="W57" s="15" t="n">
        <f aca="false">COUNTIFS('Page-Keyword Map'!$A$2:$A$668,B57,'Page-Keyword Map'!$E$2:$E$668,"City")</f>
        <v>0</v>
      </c>
      <c r="X57" s="15" t="str">
        <f aca="false">IF(O57="","",IF(ISNUMBER(SEARCH(O57,J57)),"Yes","No"))</f>
        <v>Yes</v>
      </c>
      <c r="Y57" s="15" t="n">
        <v>0.8</v>
      </c>
      <c r="Z57" s="15" t="s">
        <v>389</v>
      </c>
      <c r="AA57" s="15" t="s">
        <v>131</v>
      </c>
      <c r="AB57" s="17"/>
      <c r="AC57" s="17"/>
    </row>
    <row r="58" customFormat="false" ht="23.85" hidden="false" customHeight="false" outlineLevel="0" collapsed="false">
      <c r="A58" s="15" t="s">
        <v>474</v>
      </c>
      <c r="B58" s="15" t="s">
        <v>475</v>
      </c>
      <c r="C58" s="15" t="s">
        <v>384</v>
      </c>
      <c r="D58" s="15" t="s">
        <v>82</v>
      </c>
      <c r="E58" s="15" t="s">
        <v>265</v>
      </c>
      <c r="F58" s="15" t="s">
        <v>476</v>
      </c>
      <c r="G58" s="15"/>
      <c r="H58" s="15"/>
      <c r="I58" s="15" t="s">
        <v>126</v>
      </c>
      <c r="J58" s="3" t="s">
        <v>477</v>
      </c>
      <c r="K58" s="15" t="n">
        <f aca="false">LEN(J58)</f>
        <v>52</v>
      </c>
      <c r="L58" s="3" t="s">
        <v>478</v>
      </c>
      <c r="M58" s="15" t="n">
        <f aca="false">LEN(L58)</f>
        <v>149</v>
      </c>
      <c r="N58" s="3" t="s">
        <v>476</v>
      </c>
      <c r="O58" s="15" t="s">
        <v>479</v>
      </c>
      <c r="P58" s="16" t="n">
        <v>1000</v>
      </c>
      <c r="Q58" s="15" t="s">
        <v>147</v>
      </c>
      <c r="R58" s="15"/>
      <c r="S58" s="15" t="n">
        <f aca="false">COUNTIF('Page-Keyword Map'!$A$2:$A$668,B58)</f>
        <v>2</v>
      </c>
      <c r="T58" s="16" t="n">
        <f aca="false">SUMIF('Page-Keyword Map'!$A$2:$A$668,B58,'Page-Keyword Map'!$H$2:$H$668)</f>
        <v>1480</v>
      </c>
      <c r="U58" s="15" t="n">
        <f aca="false">COUNTIFS('Page-Keyword Map'!$A$2:$A$668,B58,'Page-Keyword Map'!$E$2:$E$668,"Nationwide")</f>
        <v>2</v>
      </c>
      <c r="V58" s="15" t="n">
        <f aca="false">COUNTIFS('Page-Keyword Map'!$A$2:$A$668,B58,'Page-Keyword Map'!$E$2:$E$668,"Provincial")</f>
        <v>0</v>
      </c>
      <c r="W58" s="15" t="n">
        <f aca="false">COUNTIFS('Page-Keyword Map'!$A$2:$A$668,B58,'Page-Keyword Map'!$E$2:$E$668,"City")</f>
        <v>0</v>
      </c>
      <c r="X58" s="15" t="str">
        <f aca="false">IF(O58="","",IF(ISNUMBER(SEARCH(O58,J58)),"Yes","No"))</f>
        <v>No</v>
      </c>
      <c r="Y58" s="15" t="n">
        <v>0.8</v>
      </c>
      <c r="Z58" s="15" t="s">
        <v>389</v>
      </c>
      <c r="AA58" s="15" t="s">
        <v>131</v>
      </c>
      <c r="AB58" s="17"/>
      <c r="AC58" s="17"/>
    </row>
    <row r="59" customFormat="false" ht="23.85" hidden="false" customHeight="false" outlineLevel="0" collapsed="false">
      <c r="A59" s="15" t="s">
        <v>480</v>
      </c>
      <c r="B59" s="15" t="s">
        <v>481</v>
      </c>
      <c r="C59" s="15" t="s">
        <v>384</v>
      </c>
      <c r="D59" s="15" t="s">
        <v>82</v>
      </c>
      <c r="E59" s="15" t="s">
        <v>265</v>
      </c>
      <c r="F59" s="15" t="s">
        <v>482</v>
      </c>
      <c r="G59" s="15"/>
      <c r="H59" s="15"/>
      <c r="I59" s="15" t="s">
        <v>126</v>
      </c>
      <c r="J59" s="3" t="s">
        <v>483</v>
      </c>
      <c r="K59" s="15" t="n">
        <f aca="false">LEN(J59)</f>
        <v>57</v>
      </c>
      <c r="L59" s="3" t="s">
        <v>484</v>
      </c>
      <c r="M59" s="15" t="n">
        <f aca="false">LEN(L59)</f>
        <v>130</v>
      </c>
      <c r="N59" s="3" t="s">
        <v>482</v>
      </c>
      <c r="O59" s="15" t="s">
        <v>485</v>
      </c>
      <c r="P59" s="16" t="n">
        <v>590</v>
      </c>
      <c r="Q59" s="15" t="s">
        <v>147</v>
      </c>
      <c r="R59" s="15"/>
      <c r="S59" s="15" t="n">
        <f aca="false">COUNTIF('Page-Keyword Map'!$A$2:$A$668,B59)</f>
        <v>1</v>
      </c>
      <c r="T59" s="16" t="n">
        <f aca="false">SUMIF('Page-Keyword Map'!$A$2:$A$668,B59,'Page-Keyword Map'!$H$2:$H$668)</f>
        <v>590</v>
      </c>
      <c r="U59" s="15" t="n">
        <f aca="false">COUNTIFS('Page-Keyword Map'!$A$2:$A$668,B59,'Page-Keyword Map'!$E$2:$E$668,"Nationwide")</f>
        <v>1</v>
      </c>
      <c r="V59" s="15" t="n">
        <f aca="false">COUNTIFS('Page-Keyword Map'!$A$2:$A$668,B59,'Page-Keyword Map'!$E$2:$E$668,"Provincial")</f>
        <v>0</v>
      </c>
      <c r="W59" s="15" t="n">
        <f aca="false">COUNTIFS('Page-Keyword Map'!$A$2:$A$668,B59,'Page-Keyword Map'!$E$2:$E$668,"City")</f>
        <v>0</v>
      </c>
      <c r="X59" s="15" t="str">
        <f aca="false">IF(O59="","",IF(ISNUMBER(SEARCH(O59,J59)),"Yes","No"))</f>
        <v>No</v>
      </c>
      <c r="Y59" s="15" t="n">
        <v>0.7</v>
      </c>
      <c r="Z59" s="15" t="s">
        <v>389</v>
      </c>
      <c r="AA59" s="15" t="s">
        <v>131</v>
      </c>
      <c r="AB59" s="17"/>
      <c r="AC59" s="17"/>
    </row>
    <row r="60" customFormat="false" ht="23.85" hidden="false" customHeight="false" outlineLevel="0" collapsed="false">
      <c r="A60" s="15" t="s">
        <v>486</v>
      </c>
      <c r="B60" s="15" t="s">
        <v>487</v>
      </c>
      <c r="C60" s="15" t="s">
        <v>384</v>
      </c>
      <c r="D60" s="15" t="s">
        <v>90</v>
      </c>
      <c r="E60" s="15" t="s">
        <v>279</v>
      </c>
      <c r="F60" s="15" t="s">
        <v>488</v>
      </c>
      <c r="G60" s="15"/>
      <c r="H60" s="15"/>
      <c r="I60" s="15" t="s">
        <v>126</v>
      </c>
      <c r="J60" s="3" t="s">
        <v>489</v>
      </c>
      <c r="K60" s="15" t="n">
        <f aca="false">LEN(J60)</f>
        <v>58</v>
      </c>
      <c r="L60" s="3" t="s">
        <v>490</v>
      </c>
      <c r="M60" s="15" t="n">
        <f aca="false">LEN(L60)</f>
        <v>151</v>
      </c>
      <c r="N60" s="3" t="s">
        <v>488</v>
      </c>
      <c r="O60" s="15" t="s">
        <v>491</v>
      </c>
      <c r="P60" s="16" t="n">
        <v>390</v>
      </c>
      <c r="Q60" s="15" t="s">
        <v>147</v>
      </c>
      <c r="R60" s="15"/>
      <c r="S60" s="15" t="n">
        <f aca="false">COUNTIF('Page-Keyword Map'!$A$2:$A$668,B60)</f>
        <v>1</v>
      </c>
      <c r="T60" s="16" t="n">
        <f aca="false">SUMIF('Page-Keyword Map'!$A$2:$A$668,B60,'Page-Keyword Map'!$H$2:$H$668)</f>
        <v>390</v>
      </c>
      <c r="U60" s="15" t="n">
        <f aca="false">COUNTIFS('Page-Keyword Map'!$A$2:$A$668,B60,'Page-Keyword Map'!$E$2:$E$668,"Nationwide")</f>
        <v>1</v>
      </c>
      <c r="V60" s="15" t="n">
        <f aca="false">COUNTIFS('Page-Keyword Map'!$A$2:$A$668,B60,'Page-Keyword Map'!$E$2:$E$668,"Provincial")</f>
        <v>0</v>
      </c>
      <c r="W60" s="15" t="n">
        <f aca="false">COUNTIFS('Page-Keyword Map'!$A$2:$A$668,B60,'Page-Keyword Map'!$E$2:$E$668,"City")</f>
        <v>0</v>
      </c>
      <c r="X60" s="15" t="str">
        <f aca="false">IF(O60="","",IF(ISNUMBER(SEARCH(O60,J60)),"Yes","No"))</f>
        <v>Yes</v>
      </c>
      <c r="Y60" s="15" t="n">
        <v>0.7</v>
      </c>
      <c r="Z60" s="15" t="s">
        <v>389</v>
      </c>
      <c r="AA60" s="15" t="s">
        <v>131</v>
      </c>
      <c r="AB60" s="17"/>
      <c r="AC60" s="17"/>
    </row>
    <row r="61" customFormat="false" ht="23.85" hidden="false" customHeight="false" outlineLevel="0" collapsed="false">
      <c r="A61" s="15" t="s">
        <v>492</v>
      </c>
      <c r="B61" s="15" t="s">
        <v>493</v>
      </c>
      <c r="C61" s="15" t="s">
        <v>384</v>
      </c>
      <c r="D61" s="15" t="s">
        <v>90</v>
      </c>
      <c r="E61" s="15" t="s">
        <v>279</v>
      </c>
      <c r="F61" s="15" t="s">
        <v>494</v>
      </c>
      <c r="G61" s="15"/>
      <c r="H61" s="15"/>
      <c r="I61" s="15" t="s">
        <v>126</v>
      </c>
      <c r="J61" s="3" t="s">
        <v>495</v>
      </c>
      <c r="K61" s="15" t="n">
        <f aca="false">LEN(J61)</f>
        <v>52</v>
      </c>
      <c r="L61" s="3" t="s">
        <v>496</v>
      </c>
      <c r="M61" s="15" t="n">
        <f aca="false">LEN(L61)</f>
        <v>144</v>
      </c>
      <c r="N61" s="3" t="s">
        <v>494</v>
      </c>
      <c r="O61" s="15" t="s">
        <v>497</v>
      </c>
      <c r="P61" s="16" t="n">
        <v>260</v>
      </c>
      <c r="Q61" s="15" t="s">
        <v>147</v>
      </c>
      <c r="R61" s="15"/>
      <c r="S61" s="15" t="n">
        <f aca="false">COUNTIF('Page-Keyword Map'!$A$2:$A$668,B61)</f>
        <v>1</v>
      </c>
      <c r="T61" s="16" t="n">
        <f aca="false">SUMIF('Page-Keyword Map'!$A$2:$A$668,B61,'Page-Keyword Map'!$H$2:$H$668)</f>
        <v>260</v>
      </c>
      <c r="U61" s="15" t="n">
        <f aca="false">COUNTIFS('Page-Keyword Map'!$A$2:$A$668,B61,'Page-Keyword Map'!$E$2:$E$668,"Nationwide")</f>
        <v>1</v>
      </c>
      <c r="V61" s="15" t="n">
        <f aca="false">COUNTIFS('Page-Keyword Map'!$A$2:$A$668,B61,'Page-Keyword Map'!$E$2:$E$668,"Provincial")</f>
        <v>0</v>
      </c>
      <c r="W61" s="15" t="n">
        <f aca="false">COUNTIFS('Page-Keyword Map'!$A$2:$A$668,B61,'Page-Keyword Map'!$E$2:$E$668,"City")</f>
        <v>0</v>
      </c>
      <c r="X61" s="15" t="str">
        <f aca="false">IF(O61="","",IF(ISNUMBER(SEARCH(O61,J61)),"Yes","No"))</f>
        <v>Yes</v>
      </c>
      <c r="Y61" s="15" t="n">
        <v>0.7</v>
      </c>
      <c r="Z61" s="15" t="s">
        <v>389</v>
      </c>
      <c r="AA61" s="15" t="s">
        <v>131</v>
      </c>
      <c r="AB61" s="17"/>
      <c r="AC61" s="17"/>
    </row>
    <row r="62" customFormat="false" ht="23.85" hidden="false" customHeight="false" outlineLevel="0" collapsed="false">
      <c r="A62" s="15" t="s">
        <v>498</v>
      </c>
      <c r="B62" s="15" t="s">
        <v>499</v>
      </c>
      <c r="C62" s="15" t="s">
        <v>384</v>
      </c>
      <c r="D62" s="15" t="s">
        <v>90</v>
      </c>
      <c r="E62" s="15" t="s">
        <v>279</v>
      </c>
      <c r="F62" s="15" t="s">
        <v>500</v>
      </c>
      <c r="G62" s="15"/>
      <c r="H62" s="15"/>
      <c r="I62" s="15" t="s">
        <v>126</v>
      </c>
      <c r="J62" s="3" t="s">
        <v>501</v>
      </c>
      <c r="K62" s="15" t="n">
        <f aca="false">LEN(J62)</f>
        <v>56</v>
      </c>
      <c r="L62" s="3" t="s">
        <v>502</v>
      </c>
      <c r="M62" s="15" t="n">
        <f aca="false">LEN(L62)</f>
        <v>148</v>
      </c>
      <c r="N62" s="3" t="s">
        <v>500</v>
      </c>
      <c r="O62" s="15" t="s">
        <v>503</v>
      </c>
      <c r="P62" s="16" t="n">
        <v>210</v>
      </c>
      <c r="Q62" s="15" t="s">
        <v>147</v>
      </c>
      <c r="R62" s="15"/>
      <c r="S62" s="15" t="n">
        <f aca="false">COUNTIF('Page-Keyword Map'!$A$2:$A$668,B62)</f>
        <v>1</v>
      </c>
      <c r="T62" s="16" t="n">
        <f aca="false">SUMIF('Page-Keyword Map'!$A$2:$A$668,B62,'Page-Keyword Map'!$H$2:$H$668)</f>
        <v>210</v>
      </c>
      <c r="U62" s="15" t="n">
        <f aca="false">COUNTIFS('Page-Keyword Map'!$A$2:$A$668,B62,'Page-Keyword Map'!$E$2:$E$668,"Nationwide")</f>
        <v>1</v>
      </c>
      <c r="V62" s="15" t="n">
        <f aca="false">COUNTIFS('Page-Keyword Map'!$A$2:$A$668,B62,'Page-Keyword Map'!$E$2:$E$668,"Provincial")</f>
        <v>0</v>
      </c>
      <c r="W62" s="15" t="n">
        <f aca="false">COUNTIFS('Page-Keyword Map'!$A$2:$A$668,B62,'Page-Keyword Map'!$E$2:$E$668,"City")</f>
        <v>0</v>
      </c>
      <c r="X62" s="15" t="str">
        <f aca="false">IF(O62="","",IF(ISNUMBER(SEARCH(O62,J62)),"Yes","No"))</f>
        <v>No</v>
      </c>
      <c r="Y62" s="15" t="n">
        <v>0.7</v>
      </c>
      <c r="Z62" s="15" t="s">
        <v>389</v>
      </c>
      <c r="AA62" s="15" t="s">
        <v>131</v>
      </c>
      <c r="AB62" s="17"/>
      <c r="AC62" s="17"/>
    </row>
    <row r="63" customFormat="false" ht="23.85" hidden="false" customHeight="false" outlineLevel="0" collapsed="false">
      <c r="A63" s="15" t="s">
        <v>504</v>
      </c>
      <c r="B63" s="15" t="s">
        <v>505</v>
      </c>
      <c r="C63" s="15" t="s">
        <v>384</v>
      </c>
      <c r="D63" s="15" t="s">
        <v>90</v>
      </c>
      <c r="E63" s="15" t="s">
        <v>279</v>
      </c>
      <c r="F63" s="15" t="s">
        <v>506</v>
      </c>
      <c r="G63" s="15"/>
      <c r="H63" s="15"/>
      <c r="I63" s="15" t="s">
        <v>126</v>
      </c>
      <c r="J63" s="3" t="s">
        <v>507</v>
      </c>
      <c r="K63" s="15" t="n">
        <f aca="false">LEN(J63)</f>
        <v>51</v>
      </c>
      <c r="L63" s="3" t="s">
        <v>508</v>
      </c>
      <c r="M63" s="15" t="n">
        <f aca="false">LEN(L63)</f>
        <v>143</v>
      </c>
      <c r="N63" s="3" t="s">
        <v>506</v>
      </c>
      <c r="O63" s="15" t="s">
        <v>509</v>
      </c>
      <c r="P63" s="16" t="n">
        <v>320</v>
      </c>
      <c r="Q63" s="15" t="s">
        <v>147</v>
      </c>
      <c r="R63" s="15"/>
      <c r="S63" s="15" t="n">
        <f aca="false">COUNTIF('Page-Keyword Map'!$A$2:$A$668,B63)</f>
        <v>1</v>
      </c>
      <c r="T63" s="16" t="n">
        <f aca="false">SUMIF('Page-Keyword Map'!$A$2:$A$668,B63,'Page-Keyword Map'!$H$2:$H$668)</f>
        <v>320</v>
      </c>
      <c r="U63" s="15" t="n">
        <f aca="false">COUNTIFS('Page-Keyword Map'!$A$2:$A$668,B63,'Page-Keyword Map'!$E$2:$E$668,"Nationwide")</f>
        <v>1</v>
      </c>
      <c r="V63" s="15" t="n">
        <f aca="false">COUNTIFS('Page-Keyword Map'!$A$2:$A$668,B63,'Page-Keyword Map'!$E$2:$E$668,"Provincial")</f>
        <v>0</v>
      </c>
      <c r="W63" s="15" t="n">
        <f aca="false">COUNTIFS('Page-Keyword Map'!$A$2:$A$668,B63,'Page-Keyword Map'!$E$2:$E$668,"City")</f>
        <v>0</v>
      </c>
      <c r="X63" s="15" t="str">
        <f aca="false">IF(O63="","",IF(ISNUMBER(SEARCH(O63,J63)),"Yes","No"))</f>
        <v>No</v>
      </c>
      <c r="Y63" s="15" t="n">
        <v>0.7</v>
      </c>
      <c r="Z63" s="15" t="s">
        <v>389</v>
      </c>
      <c r="AA63" s="15" t="s">
        <v>131</v>
      </c>
      <c r="AB63" s="17"/>
      <c r="AC63" s="17"/>
    </row>
    <row r="64" customFormat="false" ht="23.85" hidden="false" customHeight="false" outlineLevel="0" collapsed="false">
      <c r="A64" s="15" t="s">
        <v>510</v>
      </c>
      <c r="B64" s="15" t="s">
        <v>511</v>
      </c>
      <c r="C64" s="15" t="s">
        <v>384</v>
      </c>
      <c r="D64" s="15" t="s">
        <v>90</v>
      </c>
      <c r="E64" s="15" t="s">
        <v>279</v>
      </c>
      <c r="F64" s="15" t="s">
        <v>512</v>
      </c>
      <c r="G64" s="15"/>
      <c r="H64" s="15"/>
      <c r="I64" s="15" t="s">
        <v>126</v>
      </c>
      <c r="J64" s="3" t="s">
        <v>513</v>
      </c>
      <c r="K64" s="15" t="n">
        <f aca="false">LEN(J64)</f>
        <v>63</v>
      </c>
      <c r="L64" s="3" t="s">
        <v>514</v>
      </c>
      <c r="M64" s="15" t="n">
        <f aca="false">LEN(L64)</f>
        <v>140</v>
      </c>
      <c r="N64" s="3" t="s">
        <v>512</v>
      </c>
      <c r="O64" s="15" t="s">
        <v>515</v>
      </c>
      <c r="P64" s="16" t="n">
        <v>260</v>
      </c>
      <c r="Q64" s="15" t="s">
        <v>147</v>
      </c>
      <c r="R64" s="15"/>
      <c r="S64" s="15" t="n">
        <f aca="false">COUNTIF('Page-Keyword Map'!$A$2:$A$668,B64)</f>
        <v>1</v>
      </c>
      <c r="T64" s="16" t="n">
        <f aca="false">SUMIF('Page-Keyword Map'!$A$2:$A$668,B64,'Page-Keyword Map'!$H$2:$H$668)</f>
        <v>260</v>
      </c>
      <c r="U64" s="15" t="n">
        <f aca="false">COUNTIFS('Page-Keyword Map'!$A$2:$A$668,B64,'Page-Keyword Map'!$E$2:$E$668,"Nationwide")</f>
        <v>1</v>
      </c>
      <c r="V64" s="15" t="n">
        <f aca="false">COUNTIFS('Page-Keyword Map'!$A$2:$A$668,B64,'Page-Keyword Map'!$E$2:$E$668,"Provincial")</f>
        <v>0</v>
      </c>
      <c r="W64" s="15" t="n">
        <f aca="false">COUNTIFS('Page-Keyword Map'!$A$2:$A$668,B64,'Page-Keyword Map'!$E$2:$E$668,"City")</f>
        <v>0</v>
      </c>
      <c r="X64" s="15" t="str">
        <f aca="false">IF(O64="","",IF(ISNUMBER(SEARCH(O64,J64)),"Yes","No"))</f>
        <v>Yes</v>
      </c>
      <c r="Y64" s="15" t="n">
        <v>0.7</v>
      </c>
      <c r="Z64" s="15" t="s">
        <v>389</v>
      </c>
      <c r="AA64" s="15" t="s">
        <v>131</v>
      </c>
      <c r="AB64" s="17"/>
      <c r="AC64" s="17"/>
    </row>
    <row r="65" customFormat="false" ht="23.85" hidden="false" customHeight="false" outlineLevel="0" collapsed="false">
      <c r="A65" s="15" t="s">
        <v>516</v>
      </c>
      <c r="B65" s="15" t="s">
        <v>517</v>
      </c>
      <c r="C65" s="15" t="s">
        <v>384</v>
      </c>
      <c r="D65" s="15" t="s">
        <v>90</v>
      </c>
      <c r="E65" s="15" t="s">
        <v>279</v>
      </c>
      <c r="F65" s="15" t="s">
        <v>518</v>
      </c>
      <c r="G65" s="15"/>
      <c r="H65" s="15"/>
      <c r="I65" s="15" t="s">
        <v>126</v>
      </c>
      <c r="J65" s="3" t="s">
        <v>519</v>
      </c>
      <c r="K65" s="15" t="n">
        <f aca="false">LEN(J65)</f>
        <v>62</v>
      </c>
      <c r="L65" s="3" t="s">
        <v>520</v>
      </c>
      <c r="M65" s="15" t="n">
        <f aca="false">LEN(L65)</f>
        <v>139</v>
      </c>
      <c r="N65" s="3" t="s">
        <v>518</v>
      </c>
      <c r="O65" s="15" t="s">
        <v>521</v>
      </c>
      <c r="P65" s="16" t="n">
        <v>260</v>
      </c>
      <c r="Q65" s="15" t="s">
        <v>147</v>
      </c>
      <c r="R65" s="15"/>
      <c r="S65" s="15" t="n">
        <f aca="false">COUNTIF('Page-Keyword Map'!$A$2:$A$668,B65)</f>
        <v>1</v>
      </c>
      <c r="T65" s="16" t="n">
        <f aca="false">SUMIF('Page-Keyword Map'!$A$2:$A$668,B65,'Page-Keyword Map'!$H$2:$H$668)</f>
        <v>260</v>
      </c>
      <c r="U65" s="15" t="n">
        <f aca="false">COUNTIFS('Page-Keyword Map'!$A$2:$A$668,B65,'Page-Keyword Map'!$E$2:$E$668,"Nationwide")</f>
        <v>1</v>
      </c>
      <c r="V65" s="15" t="n">
        <f aca="false">COUNTIFS('Page-Keyword Map'!$A$2:$A$668,B65,'Page-Keyword Map'!$E$2:$E$668,"Provincial")</f>
        <v>0</v>
      </c>
      <c r="W65" s="15" t="n">
        <f aca="false">COUNTIFS('Page-Keyword Map'!$A$2:$A$668,B65,'Page-Keyword Map'!$E$2:$E$668,"City")</f>
        <v>0</v>
      </c>
      <c r="X65" s="15" t="str">
        <f aca="false">IF(O65="","",IF(ISNUMBER(SEARCH(O65,J65)),"Yes","No"))</f>
        <v>No</v>
      </c>
      <c r="Y65" s="15" t="n">
        <v>0.7</v>
      </c>
      <c r="Z65" s="15" t="s">
        <v>389</v>
      </c>
      <c r="AA65" s="15" t="s">
        <v>131</v>
      </c>
      <c r="AB65" s="17"/>
      <c r="AC65" s="17"/>
    </row>
    <row r="66" customFormat="false" ht="23.85" hidden="false" customHeight="false" outlineLevel="0" collapsed="false">
      <c r="A66" s="15" t="s">
        <v>522</v>
      </c>
      <c r="B66" s="15" t="s">
        <v>523</v>
      </c>
      <c r="C66" s="15" t="s">
        <v>384</v>
      </c>
      <c r="D66" s="15" t="s">
        <v>77</v>
      </c>
      <c r="E66" s="15" t="s">
        <v>293</v>
      </c>
      <c r="F66" s="15" t="s">
        <v>524</v>
      </c>
      <c r="G66" s="15"/>
      <c r="H66" s="15"/>
      <c r="I66" s="15" t="s">
        <v>126</v>
      </c>
      <c r="J66" s="3" t="s">
        <v>525</v>
      </c>
      <c r="K66" s="15" t="n">
        <f aca="false">LEN(J66)</f>
        <v>58</v>
      </c>
      <c r="L66" s="3" t="s">
        <v>526</v>
      </c>
      <c r="M66" s="15" t="n">
        <f aca="false">LEN(L66)</f>
        <v>158</v>
      </c>
      <c r="N66" s="3" t="s">
        <v>524</v>
      </c>
      <c r="O66" s="15" t="s">
        <v>527</v>
      </c>
      <c r="P66" s="16" t="n">
        <v>590</v>
      </c>
      <c r="Q66" s="15" t="s">
        <v>147</v>
      </c>
      <c r="R66" s="15"/>
      <c r="S66" s="15" t="n">
        <f aca="false">COUNTIF('Page-Keyword Map'!$A$2:$A$668,B66)</f>
        <v>1</v>
      </c>
      <c r="T66" s="16" t="n">
        <f aca="false">SUMIF('Page-Keyword Map'!$A$2:$A$668,B66,'Page-Keyword Map'!$H$2:$H$668)</f>
        <v>590</v>
      </c>
      <c r="U66" s="15" t="n">
        <f aca="false">COUNTIFS('Page-Keyword Map'!$A$2:$A$668,B66,'Page-Keyword Map'!$E$2:$E$668,"Nationwide")</f>
        <v>1</v>
      </c>
      <c r="V66" s="15" t="n">
        <f aca="false">COUNTIFS('Page-Keyword Map'!$A$2:$A$668,B66,'Page-Keyword Map'!$E$2:$E$668,"Provincial")</f>
        <v>0</v>
      </c>
      <c r="W66" s="15" t="n">
        <f aca="false">COUNTIFS('Page-Keyword Map'!$A$2:$A$668,B66,'Page-Keyword Map'!$E$2:$E$668,"City")</f>
        <v>0</v>
      </c>
      <c r="X66" s="15" t="str">
        <f aca="false">IF(O66="","",IF(ISNUMBER(SEARCH(O66,J66)),"Yes","No"))</f>
        <v>No</v>
      </c>
      <c r="Y66" s="15" t="n">
        <v>0.8</v>
      </c>
      <c r="Z66" s="15" t="s">
        <v>389</v>
      </c>
      <c r="AA66" s="15" t="s">
        <v>131</v>
      </c>
      <c r="AB66" s="17"/>
      <c r="AC66" s="17"/>
    </row>
    <row r="67" customFormat="false" ht="23.85" hidden="false" customHeight="false" outlineLevel="0" collapsed="false">
      <c r="A67" s="15" t="s">
        <v>528</v>
      </c>
      <c r="B67" s="15" t="s">
        <v>529</v>
      </c>
      <c r="C67" s="15" t="s">
        <v>384</v>
      </c>
      <c r="D67" s="15" t="s">
        <v>84</v>
      </c>
      <c r="E67" s="15" t="s">
        <v>314</v>
      </c>
      <c r="F67" s="15" t="s">
        <v>530</v>
      </c>
      <c r="G67" s="15"/>
      <c r="H67" s="15"/>
      <c r="I67" s="15" t="s">
        <v>126</v>
      </c>
      <c r="J67" s="3" t="s">
        <v>531</v>
      </c>
      <c r="K67" s="15" t="n">
        <f aca="false">LEN(J67)</f>
        <v>58</v>
      </c>
      <c r="L67" s="3" t="s">
        <v>532</v>
      </c>
      <c r="M67" s="15" t="n">
        <f aca="false">LEN(L67)</f>
        <v>147</v>
      </c>
      <c r="N67" s="3" t="s">
        <v>530</v>
      </c>
      <c r="O67" s="15" t="s">
        <v>533</v>
      </c>
      <c r="P67" s="16" t="n">
        <v>880</v>
      </c>
      <c r="Q67" s="15" t="s">
        <v>147</v>
      </c>
      <c r="R67" s="15"/>
      <c r="S67" s="15" t="n">
        <f aca="false">COUNTIF('Page-Keyword Map'!$A$2:$A$668,B67)</f>
        <v>1</v>
      </c>
      <c r="T67" s="16" t="n">
        <f aca="false">SUMIF('Page-Keyword Map'!$A$2:$A$668,B67,'Page-Keyword Map'!$H$2:$H$668)</f>
        <v>880</v>
      </c>
      <c r="U67" s="15" t="n">
        <f aca="false">COUNTIFS('Page-Keyword Map'!$A$2:$A$668,B67,'Page-Keyword Map'!$E$2:$E$668,"Nationwide")</f>
        <v>1</v>
      </c>
      <c r="V67" s="15" t="n">
        <f aca="false">COUNTIFS('Page-Keyword Map'!$A$2:$A$668,B67,'Page-Keyword Map'!$E$2:$E$668,"Provincial")</f>
        <v>0</v>
      </c>
      <c r="W67" s="15" t="n">
        <f aca="false">COUNTIFS('Page-Keyword Map'!$A$2:$A$668,B67,'Page-Keyword Map'!$E$2:$E$668,"City")</f>
        <v>0</v>
      </c>
      <c r="X67" s="15" t="str">
        <f aca="false">IF(O67="","",IF(ISNUMBER(SEARCH(O67,J67)),"Yes","No"))</f>
        <v>No</v>
      </c>
      <c r="Y67" s="15" t="n">
        <v>0.8</v>
      </c>
      <c r="Z67" s="15" t="s">
        <v>389</v>
      </c>
      <c r="AA67" s="15" t="s">
        <v>131</v>
      </c>
      <c r="AB67" s="17"/>
      <c r="AC67" s="17"/>
    </row>
    <row r="68" customFormat="false" ht="23.85" hidden="false" customHeight="false" outlineLevel="0" collapsed="false">
      <c r="A68" s="15" t="s">
        <v>534</v>
      </c>
      <c r="B68" s="15" t="s">
        <v>535</v>
      </c>
      <c r="C68" s="15" t="s">
        <v>384</v>
      </c>
      <c r="D68" s="15" t="s">
        <v>84</v>
      </c>
      <c r="E68" s="15" t="s">
        <v>314</v>
      </c>
      <c r="F68" s="15" t="s">
        <v>536</v>
      </c>
      <c r="G68" s="15"/>
      <c r="H68" s="15"/>
      <c r="I68" s="15" t="s">
        <v>126</v>
      </c>
      <c r="J68" s="3" t="s">
        <v>537</v>
      </c>
      <c r="K68" s="15" t="n">
        <f aca="false">LEN(J68)</f>
        <v>56</v>
      </c>
      <c r="L68" s="3" t="s">
        <v>538</v>
      </c>
      <c r="M68" s="15" t="n">
        <f aca="false">LEN(L68)</f>
        <v>148</v>
      </c>
      <c r="N68" s="3" t="s">
        <v>536</v>
      </c>
      <c r="O68" s="15" t="s">
        <v>539</v>
      </c>
      <c r="P68" s="16" t="n">
        <v>480</v>
      </c>
      <c r="Q68" s="15" t="s">
        <v>147</v>
      </c>
      <c r="R68" s="15"/>
      <c r="S68" s="15" t="n">
        <f aca="false">COUNTIF('Page-Keyword Map'!$A$2:$A$668,B68)</f>
        <v>2</v>
      </c>
      <c r="T68" s="16" t="n">
        <f aca="false">SUMIF('Page-Keyword Map'!$A$2:$A$668,B68,'Page-Keyword Map'!$H$2:$H$668)</f>
        <v>870</v>
      </c>
      <c r="U68" s="15" t="n">
        <f aca="false">COUNTIFS('Page-Keyword Map'!$A$2:$A$668,B68,'Page-Keyword Map'!$E$2:$E$668,"Nationwide")</f>
        <v>2</v>
      </c>
      <c r="V68" s="15" t="n">
        <f aca="false">COUNTIFS('Page-Keyword Map'!$A$2:$A$668,B68,'Page-Keyword Map'!$E$2:$E$668,"Provincial")</f>
        <v>0</v>
      </c>
      <c r="W68" s="15" t="n">
        <f aca="false">COUNTIFS('Page-Keyword Map'!$A$2:$A$668,B68,'Page-Keyword Map'!$E$2:$E$668,"City")</f>
        <v>0</v>
      </c>
      <c r="X68" s="15" t="str">
        <f aca="false">IF(O68="","",IF(ISNUMBER(SEARCH(O68,J68)),"Yes","No"))</f>
        <v>No</v>
      </c>
      <c r="Y68" s="15" t="n">
        <v>0.8</v>
      </c>
      <c r="Z68" s="15" t="s">
        <v>389</v>
      </c>
      <c r="AA68" s="15" t="s">
        <v>131</v>
      </c>
      <c r="AB68" s="17"/>
      <c r="AC68" s="17"/>
    </row>
    <row r="69" customFormat="false" ht="23.85" hidden="false" customHeight="false" outlineLevel="0" collapsed="false">
      <c r="A69" s="15" t="s">
        <v>540</v>
      </c>
      <c r="B69" s="15" t="s">
        <v>541</v>
      </c>
      <c r="C69" s="15" t="s">
        <v>384</v>
      </c>
      <c r="D69" s="15" t="s">
        <v>84</v>
      </c>
      <c r="E69" s="15" t="s">
        <v>314</v>
      </c>
      <c r="F69" s="15" t="s">
        <v>542</v>
      </c>
      <c r="G69" s="15"/>
      <c r="H69" s="15"/>
      <c r="I69" s="15" t="s">
        <v>126</v>
      </c>
      <c r="J69" s="3" t="s">
        <v>543</v>
      </c>
      <c r="K69" s="15" t="n">
        <f aca="false">LEN(J69)</f>
        <v>61</v>
      </c>
      <c r="L69" s="3" t="s">
        <v>544</v>
      </c>
      <c r="M69" s="15" t="n">
        <f aca="false">LEN(L69)</f>
        <v>140</v>
      </c>
      <c r="N69" s="3" t="s">
        <v>542</v>
      </c>
      <c r="O69" s="15" t="s">
        <v>545</v>
      </c>
      <c r="P69" s="16" t="n">
        <v>720</v>
      </c>
      <c r="Q69" s="15" t="s">
        <v>147</v>
      </c>
      <c r="R69" s="15"/>
      <c r="S69" s="15" t="n">
        <f aca="false">COUNTIF('Page-Keyword Map'!$A$2:$A$668,B69)</f>
        <v>1</v>
      </c>
      <c r="T69" s="16" t="n">
        <f aca="false">SUMIF('Page-Keyword Map'!$A$2:$A$668,B69,'Page-Keyword Map'!$H$2:$H$668)</f>
        <v>720</v>
      </c>
      <c r="U69" s="15" t="n">
        <f aca="false">COUNTIFS('Page-Keyword Map'!$A$2:$A$668,B69,'Page-Keyword Map'!$E$2:$E$668,"Nationwide")</f>
        <v>1</v>
      </c>
      <c r="V69" s="15" t="n">
        <f aca="false">COUNTIFS('Page-Keyword Map'!$A$2:$A$668,B69,'Page-Keyword Map'!$E$2:$E$668,"Provincial")</f>
        <v>0</v>
      </c>
      <c r="W69" s="15" t="n">
        <f aca="false">COUNTIFS('Page-Keyword Map'!$A$2:$A$668,B69,'Page-Keyword Map'!$E$2:$E$668,"City")</f>
        <v>0</v>
      </c>
      <c r="X69" s="15" t="str">
        <f aca="false">IF(O69="","",IF(ISNUMBER(SEARCH(O69,J69)),"Yes","No"))</f>
        <v>No</v>
      </c>
      <c r="Y69" s="15" t="n">
        <v>0.7</v>
      </c>
      <c r="Z69" s="15" t="s">
        <v>389</v>
      </c>
      <c r="AA69" s="15" t="s">
        <v>131</v>
      </c>
      <c r="AB69" s="17"/>
      <c r="AC69" s="17"/>
    </row>
    <row r="70" customFormat="false" ht="23.85" hidden="false" customHeight="false" outlineLevel="0" collapsed="false">
      <c r="A70" s="15" t="s">
        <v>546</v>
      </c>
      <c r="B70" s="15" t="s">
        <v>547</v>
      </c>
      <c r="C70" s="15" t="s">
        <v>384</v>
      </c>
      <c r="D70" s="15" t="s">
        <v>87</v>
      </c>
      <c r="E70" s="15" t="s">
        <v>314</v>
      </c>
      <c r="F70" s="15" t="s">
        <v>548</v>
      </c>
      <c r="G70" s="15"/>
      <c r="H70" s="15"/>
      <c r="I70" s="15" t="s">
        <v>126</v>
      </c>
      <c r="J70" s="3" t="s">
        <v>549</v>
      </c>
      <c r="K70" s="15" t="n">
        <f aca="false">LEN(J70)</f>
        <v>60</v>
      </c>
      <c r="L70" s="3" t="s">
        <v>550</v>
      </c>
      <c r="M70" s="15" t="n">
        <f aca="false">LEN(L70)</f>
        <v>156</v>
      </c>
      <c r="N70" s="3" t="s">
        <v>548</v>
      </c>
      <c r="O70" s="15" t="s">
        <v>551</v>
      </c>
      <c r="P70" s="16" t="n">
        <v>720</v>
      </c>
      <c r="Q70" s="15" t="s">
        <v>147</v>
      </c>
      <c r="R70" s="15"/>
      <c r="S70" s="15" t="n">
        <f aca="false">COUNTIF('Page-Keyword Map'!$A$2:$A$668,B70)</f>
        <v>1</v>
      </c>
      <c r="T70" s="16" t="n">
        <f aca="false">SUMIF('Page-Keyword Map'!$A$2:$A$668,B70,'Page-Keyword Map'!$H$2:$H$668)</f>
        <v>720</v>
      </c>
      <c r="U70" s="15" t="n">
        <f aca="false">COUNTIFS('Page-Keyword Map'!$A$2:$A$668,B70,'Page-Keyword Map'!$E$2:$E$668,"Nationwide")</f>
        <v>1</v>
      </c>
      <c r="V70" s="15" t="n">
        <f aca="false">COUNTIFS('Page-Keyword Map'!$A$2:$A$668,B70,'Page-Keyword Map'!$E$2:$E$668,"Provincial")</f>
        <v>0</v>
      </c>
      <c r="W70" s="15" t="n">
        <f aca="false">COUNTIFS('Page-Keyword Map'!$A$2:$A$668,B70,'Page-Keyword Map'!$E$2:$E$668,"City")</f>
        <v>0</v>
      </c>
      <c r="X70" s="15" t="str">
        <f aca="false">IF(O70="","",IF(ISNUMBER(SEARCH(O70,J70)),"Yes","No"))</f>
        <v>No</v>
      </c>
      <c r="Y70" s="15" t="n">
        <v>0.8</v>
      </c>
      <c r="Z70" s="15" t="s">
        <v>389</v>
      </c>
      <c r="AA70" s="15" t="s">
        <v>131</v>
      </c>
      <c r="AB70" s="17"/>
      <c r="AC70" s="17"/>
    </row>
    <row r="71" customFormat="false" ht="23.85" hidden="false" customHeight="false" outlineLevel="0" collapsed="false">
      <c r="A71" s="15" t="s">
        <v>552</v>
      </c>
      <c r="B71" s="15" t="s">
        <v>553</v>
      </c>
      <c r="C71" s="15" t="s">
        <v>384</v>
      </c>
      <c r="D71" s="15" t="s">
        <v>87</v>
      </c>
      <c r="E71" s="15" t="s">
        <v>314</v>
      </c>
      <c r="F71" s="15" t="s">
        <v>554</v>
      </c>
      <c r="G71" s="15"/>
      <c r="H71" s="15"/>
      <c r="I71" s="15" t="s">
        <v>126</v>
      </c>
      <c r="J71" s="3" t="s">
        <v>555</v>
      </c>
      <c r="K71" s="15" t="n">
        <f aca="false">LEN(J71)</f>
        <v>61</v>
      </c>
      <c r="L71" s="3" t="s">
        <v>556</v>
      </c>
      <c r="M71" s="15" t="n">
        <f aca="false">LEN(L71)</f>
        <v>158</v>
      </c>
      <c r="N71" s="3" t="s">
        <v>554</v>
      </c>
      <c r="O71" s="15" t="s">
        <v>557</v>
      </c>
      <c r="P71" s="16" t="n">
        <v>2400</v>
      </c>
      <c r="Q71" s="15" t="s">
        <v>147</v>
      </c>
      <c r="R71" s="15"/>
      <c r="S71" s="15" t="n">
        <f aca="false">COUNTIF('Page-Keyword Map'!$A$2:$A$668,B71)</f>
        <v>1</v>
      </c>
      <c r="T71" s="16" t="n">
        <f aca="false">SUMIF('Page-Keyword Map'!$A$2:$A$668,B71,'Page-Keyword Map'!$H$2:$H$668)</f>
        <v>2400</v>
      </c>
      <c r="U71" s="15" t="n">
        <f aca="false">COUNTIFS('Page-Keyword Map'!$A$2:$A$668,B71,'Page-Keyword Map'!$E$2:$E$668,"Nationwide")</f>
        <v>1</v>
      </c>
      <c r="V71" s="15" t="n">
        <f aca="false">COUNTIFS('Page-Keyword Map'!$A$2:$A$668,B71,'Page-Keyword Map'!$E$2:$E$668,"Provincial")</f>
        <v>0</v>
      </c>
      <c r="W71" s="15" t="n">
        <f aca="false">COUNTIFS('Page-Keyword Map'!$A$2:$A$668,B71,'Page-Keyword Map'!$E$2:$E$668,"City")</f>
        <v>0</v>
      </c>
      <c r="X71" s="15" t="str">
        <f aca="false">IF(O71="","",IF(ISNUMBER(SEARCH(O71,J71)),"Yes","No"))</f>
        <v>Yes</v>
      </c>
      <c r="Y71" s="15" t="n">
        <v>0.7</v>
      </c>
      <c r="Z71" s="15" t="s">
        <v>389</v>
      </c>
      <c r="AA71" s="15" t="s">
        <v>131</v>
      </c>
      <c r="AB71" s="17"/>
      <c r="AC71" s="17"/>
    </row>
    <row r="72" customFormat="false" ht="23.85" hidden="false" customHeight="false" outlineLevel="0" collapsed="false">
      <c r="A72" s="15" t="s">
        <v>558</v>
      </c>
      <c r="B72" s="15" t="s">
        <v>559</v>
      </c>
      <c r="C72" s="15" t="s">
        <v>384</v>
      </c>
      <c r="D72" s="15" t="s">
        <v>74</v>
      </c>
      <c r="E72" s="15" t="s">
        <v>377</v>
      </c>
      <c r="F72" s="15" t="s">
        <v>560</v>
      </c>
      <c r="G72" s="15"/>
      <c r="H72" s="15"/>
      <c r="I72" s="15" t="s">
        <v>126</v>
      </c>
      <c r="J72" s="3" t="s">
        <v>561</v>
      </c>
      <c r="K72" s="15" t="n">
        <f aca="false">LEN(J72)</f>
        <v>65</v>
      </c>
      <c r="L72" s="3" t="s">
        <v>562</v>
      </c>
      <c r="M72" s="15" t="n">
        <f aca="false">LEN(L72)</f>
        <v>132</v>
      </c>
      <c r="N72" s="3" t="s">
        <v>560</v>
      </c>
      <c r="O72" s="15"/>
      <c r="P72" s="16"/>
      <c r="Q72" s="15"/>
      <c r="R72" s="15" t="s">
        <v>563</v>
      </c>
      <c r="S72" s="15" t="n">
        <f aca="false">COUNTIF('Page-Keyword Map'!$A$2:$A$668,B72)</f>
        <v>0</v>
      </c>
      <c r="T72" s="16" t="n">
        <f aca="false">SUMIF('Page-Keyword Map'!$A$2:$A$668,B72,'Page-Keyword Map'!$H$2:$H$668)</f>
        <v>0</v>
      </c>
      <c r="U72" s="15" t="n">
        <f aca="false">COUNTIFS('Page-Keyword Map'!$A$2:$A$668,B72,'Page-Keyword Map'!$E$2:$E$668,"Nationwide")</f>
        <v>0</v>
      </c>
      <c r="V72" s="15" t="n">
        <f aca="false">COUNTIFS('Page-Keyword Map'!$A$2:$A$668,B72,'Page-Keyword Map'!$E$2:$E$668,"Provincial")</f>
        <v>0</v>
      </c>
      <c r="W72" s="15" t="n">
        <f aca="false">COUNTIFS('Page-Keyword Map'!$A$2:$A$668,B72,'Page-Keyword Map'!$E$2:$E$668,"City")</f>
        <v>0</v>
      </c>
      <c r="X72" s="15" t="str">
        <f aca="false">IF(O72="","",IF(ISNUMBER(SEARCH(O72,J72)),"Yes","No"))</f>
        <v/>
      </c>
      <c r="Y72" s="15" t="n">
        <v>0.7</v>
      </c>
      <c r="Z72" s="15" t="s">
        <v>389</v>
      </c>
      <c r="AA72" s="15" t="s">
        <v>131</v>
      </c>
      <c r="AB72" s="17"/>
      <c r="AC72" s="17"/>
    </row>
    <row r="73" customFormat="false" ht="23.85" hidden="false" customHeight="false" outlineLevel="0" collapsed="false">
      <c r="A73" s="15" t="s">
        <v>564</v>
      </c>
      <c r="B73" s="15" t="s">
        <v>565</v>
      </c>
      <c r="C73" s="15" t="s">
        <v>384</v>
      </c>
      <c r="D73" s="15" t="s">
        <v>74</v>
      </c>
      <c r="E73" s="15" t="s">
        <v>377</v>
      </c>
      <c r="F73" s="15" t="s">
        <v>566</v>
      </c>
      <c r="G73" s="15"/>
      <c r="H73" s="15"/>
      <c r="I73" s="15" t="s">
        <v>126</v>
      </c>
      <c r="J73" s="3" t="s">
        <v>567</v>
      </c>
      <c r="K73" s="15" t="n">
        <f aca="false">LEN(J73)</f>
        <v>58</v>
      </c>
      <c r="L73" s="3" t="s">
        <v>568</v>
      </c>
      <c r="M73" s="15" t="n">
        <f aca="false">LEN(L73)</f>
        <v>148</v>
      </c>
      <c r="N73" s="3" t="s">
        <v>566</v>
      </c>
      <c r="O73" s="15" t="s">
        <v>569</v>
      </c>
      <c r="P73" s="16" t="n">
        <v>1000</v>
      </c>
      <c r="Q73" s="15" t="s">
        <v>147</v>
      </c>
      <c r="R73" s="15"/>
      <c r="S73" s="15" t="n">
        <f aca="false">COUNTIF('Page-Keyword Map'!$A$2:$A$668,B73)</f>
        <v>1</v>
      </c>
      <c r="T73" s="16" t="n">
        <f aca="false">SUMIF('Page-Keyword Map'!$A$2:$A$668,B73,'Page-Keyword Map'!$H$2:$H$668)</f>
        <v>1000</v>
      </c>
      <c r="U73" s="15" t="n">
        <f aca="false">COUNTIFS('Page-Keyword Map'!$A$2:$A$668,B73,'Page-Keyword Map'!$E$2:$E$668,"Nationwide")</f>
        <v>1</v>
      </c>
      <c r="V73" s="15" t="n">
        <f aca="false">COUNTIFS('Page-Keyword Map'!$A$2:$A$668,B73,'Page-Keyword Map'!$E$2:$E$668,"Provincial")</f>
        <v>0</v>
      </c>
      <c r="W73" s="15" t="n">
        <f aca="false">COUNTIFS('Page-Keyword Map'!$A$2:$A$668,B73,'Page-Keyword Map'!$E$2:$E$668,"City")</f>
        <v>0</v>
      </c>
      <c r="X73" s="15" t="str">
        <f aca="false">IF(O73="","",IF(ISNUMBER(SEARCH(O73,J73)),"Yes","No"))</f>
        <v>No</v>
      </c>
      <c r="Y73" s="15" t="n">
        <v>0.7</v>
      </c>
      <c r="Z73" s="15" t="s">
        <v>389</v>
      </c>
      <c r="AA73" s="15" t="s">
        <v>131</v>
      </c>
      <c r="AB73" s="17"/>
      <c r="AC73" s="17"/>
    </row>
    <row r="74" customFormat="false" ht="23.85" hidden="false" customHeight="false" outlineLevel="0" collapsed="false">
      <c r="A74" s="15" t="s">
        <v>570</v>
      </c>
      <c r="B74" s="15" t="s">
        <v>571</v>
      </c>
      <c r="C74" s="15" t="s">
        <v>384</v>
      </c>
      <c r="D74" s="15" t="s">
        <v>74</v>
      </c>
      <c r="E74" s="15" t="s">
        <v>321</v>
      </c>
      <c r="F74" s="15" t="s">
        <v>572</v>
      </c>
      <c r="G74" s="15"/>
      <c r="H74" s="15"/>
      <c r="I74" s="15" t="s">
        <v>126</v>
      </c>
      <c r="J74" s="3" t="s">
        <v>573</v>
      </c>
      <c r="K74" s="15" t="n">
        <f aca="false">LEN(J74)</f>
        <v>64</v>
      </c>
      <c r="L74" s="3" t="s">
        <v>574</v>
      </c>
      <c r="M74" s="15" t="n">
        <f aca="false">LEN(L74)</f>
        <v>151</v>
      </c>
      <c r="N74" s="3" t="s">
        <v>572</v>
      </c>
      <c r="O74" s="15" t="s">
        <v>575</v>
      </c>
      <c r="P74" s="16" t="n">
        <v>590</v>
      </c>
      <c r="Q74" s="15" t="s">
        <v>147</v>
      </c>
      <c r="R74" s="15"/>
      <c r="S74" s="15" t="n">
        <f aca="false">COUNTIF('Page-Keyword Map'!$A$2:$A$668,B74)</f>
        <v>1</v>
      </c>
      <c r="T74" s="16" t="n">
        <f aca="false">SUMIF('Page-Keyword Map'!$A$2:$A$668,B74,'Page-Keyword Map'!$H$2:$H$668)</f>
        <v>590</v>
      </c>
      <c r="U74" s="15" t="n">
        <f aca="false">COUNTIFS('Page-Keyword Map'!$A$2:$A$668,B74,'Page-Keyword Map'!$E$2:$E$668,"Nationwide")</f>
        <v>1</v>
      </c>
      <c r="V74" s="15" t="n">
        <f aca="false">COUNTIFS('Page-Keyword Map'!$A$2:$A$668,B74,'Page-Keyword Map'!$E$2:$E$668,"Provincial")</f>
        <v>0</v>
      </c>
      <c r="W74" s="15" t="n">
        <f aca="false">COUNTIFS('Page-Keyword Map'!$A$2:$A$668,B74,'Page-Keyword Map'!$E$2:$E$668,"City")</f>
        <v>0</v>
      </c>
      <c r="X74" s="15" t="str">
        <f aca="false">IF(O74="","",IF(ISNUMBER(SEARCH(O74,J74)),"Yes","No"))</f>
        <v>Yes</v>
      </c>
      <c r="Y74" s="15" t="n">
        <v>0.7</v>
      </c>
      <c r="Z74" s="15" t="s">
        <v>389</v>
      </c>
      <c r="AA74" s="15" t="s">
        <v>131</v>
      </c>
      <c r="AB74" s="17"/>
      <c r="AC74" s="17"/>
    </row>
    <row r="75" customFormat="false" ht="23.85" hidden="false" customHeight="false" outlineLevel="0" collapsed="false">
      <c r="A75" s="15" t="s">
        <v>576</v>
      </c>
      <c r="B75" s="15" t="s">
        <v>577</v>
      </c>
      <c r="C75" s="15" t="s">
        <v>384</v>
      </c>
      <c r="D75" s="15" t="s">
        <v>74</v>
      </c>
      <c r="E75" s="15" t="s">
        <v>321</v>
      </c>
      <c r="F75" s="15" t="s">
        <v>578</v>
      </c>
      <c r="G75" s="15"/>
      <c r="H75" s="15"/>
      <c r="I75" s="15" t="s">
        <v>126</v>
      </c>
      <c r="J75" s="3" t="s">
        <v>579</v>
      </c>
      <c r="K75" s="15" t="n">
        <f aca="false">LEN(J75)</f>
        <v>55</v>
      </c>
      <c r="L75" s="3" t="s">
        <v>580</v>
      </c>
      <c r="M75" s="15" t="n">
        <f aca="false">LEN(L75)</f>
        <v>160</v>
      </c>
      <c r="N75" s="3" t="s">
        <v>578</v>
      </c>
      <c r="O75" s="15" t="s">
        <v>581</v>
      </c>
      <c r="P75" s="16" t="n">
        <v>390</v>
      </c>
      <c r="Q75" s="15" t="s">
        <v>147</v>
      </c>
      <c r="R75" s="15"/>
      <c r="S75" s="15" t="n">
        <f aca="false">COUNTIF('Page-Keyword Map'!$A$2:$A$668,B75)</f>
        <v>2</v>
      </c>
      <c r="T75" s="16" t="n">
        <f aca="false">SUMIF('Page-Keyword Map'!$A$2:$A$668,B75,'Page-Keyword Map'!$H$2:$H$668)</f>
        <v>710</v>
      </c>
      <c r="U75" s="15" t="n">
        <f aca="false">COUNTIFS('Page-Keyword Map'!$A$2:$A$668,B75,'Page-Keyword Map'!$E$2:$E$668,"Nationwide")</f>
        <v>2</v>
      </c>
      <c r="V75" s="15" t="n">
        <f aca="false">COUNTIFS('Page-Keyword Map'!$A$2:$A$668,B75,'Page-Keyword Map'!$E$2:$E$668,"Provincial")</f>
        <v>0</v>
      </c>
      <c r="W75" s="15" t="n">
        <f aca="false">COUNTIFS('Page-Keyword Map'!$A$2:$A$668,B75,'Page-Keyword Map'!$E$2:$E$668,"City")</f>
        <v>0</v>
      </c>
      <c r="X75" s="15" t="str">
        <f aca="false">IF(O75="","",IF(ISNUMBER(SEARCH(O75,J75)),"Yes","No"))</f>
        <v>No</v>
      </c>
      <c r="Y75" s="15" t="n">
        <v>0.8</v>
      </c>
      <c r="Z75" s="15" t="s">
        <v>389</v>
      </c>
      <c r="AA75" s="15" t="s">
        <v>131</v>
      </c>
      <c r="AB75" s="17"/>
      <c r="AC75" s="17"/>
    </row>
    <row r="76" customFormat="false" ht="23.85" hidden="false" customHeight="false" outlineLevel="0" collapsed="false">
      <c r="A76" s="15" t="s">
        <v>582</v>
      </c>
      <c r="B76" s="15" t="s">
        <v>583</v>
      </c>
      <c r="C76" s="15" t="s">
        <v>384</v>
      </c>
      <c r="D76" s="15" t="s">
        <v>74</v>
      </c>
      <c r="E76" s="15" t="s">
        <v>321</v>
      </c>
      <c r="F76" s="15" t="s">
        <v>584</v>
      </c>
      <c r="G76" s="15"/>
      <c r="H76" s="15"/>
      <c r="I76" s="15" t="s">
        <v>126</v>
      </c>
      <c r="J76" s="3" t="s">
        <v>585</v>
      </c>
      <c r="K76" s="15" t="n">
        <f aca="false">LEN(J76)</f>
        <v>59</v>
      </c>
      <c r="L76" s="3" t="s">
        <v>586</v>
      </c>
      <c r="M76" s="15" t="n">
        <f aca="false">LEN(L76)</f>
        <v>155</v>
      </c>
      <c r="N76" s="3" t="s">
        <v>584</v>
      </c>
      <c r="O76" s="15"/>
      <c r="P76" s="16"/>
      <c r="Q76" s="15"/>
      <c r="R76" s="15" t="s">
        <v>587</v>
      </c>
      <c r="S76" s="15" t="n">
        <f aca="false">COUNTIF('Page-Keyword Map'!$A$2:$A$668,B76)</f>
        <v>0</v>
      </c>
      <c r="T76" s="16" t="n">
        <f aca="false">SUMIF('Page-Keyword Map'!$A$2:$A$668,B76,'Page-Keyword Map'!$H$2:$H$668)</f>
        <v>0</v>
      </c>
      <c r="U76" s="15" t="n">
        <f aca="false">COUNTIFS('Page-Keyword Map'!$A$2:$A$668,B76,'Page-Keyword Map'!$E$2:$E$668,"Nationwide")</f>
        <v>0</v>
      </c>
      <c r="V76" s="15" t="n">
        <f aca="false">COUNTIFS('Page-Keyword Map'!$A$2:$A$668,B76,'Page-Keyword Map'!$E$2:$E$668,"Provincial")</f>
        <v>0</v>
      </c>
      <c r="W76" s="15" t="n">
        <f aca="false">COUNTIFS('Page-Keyword Map'!$A$2:$A$668,B76,'Page-Keyword Map'!$E$2:$E$668,"City")</f>
        <v>0</v>
      </c>
      <c r="X76" s="15" t="str">
        <f aca="false">IF(O76="","",IF(ISNUMBER(SEARCH(O76,J76)),"Yes","No"))</f>
        <v/>
      </c>
      <c r="Y76" s="15" t="n">
        <v>0.8</v>
      </c>
      <c r="Z76" s="15" t="s">
        <v>389</v>
      </c>
      <c r="AA76" s="15" t="s">
        <v>131</v>
      </c>
      <c r="AB76" s="17"/>
      <c r="AC76" s="17"/>
    </row>
    <row r="77" customFormat="false" ht="23.85" hidden="false" customHeight="false" outlineLevel="0" collapsed="false">
      <c r="A77" s="15" t="s">
        <v>588</v>
      </c>
      <c r="B77" s="15" t="s">
        <v>589</v>
      </c>
      <c r="C77" s="15" t="s">
        <v>384</v>
      </c>
      <c r="D77" s="15" t="s">
        <v>74</v>
      </c>
      <c r="E77" s="15" t="s">
        <v>363</v>
      </c>
      <c r="F77" s="15" t="s">
        <v>590</v>
      </c>
      <c r="G77" s="15"/>
      <c r="H77" s="15"/>
      <c r="I77" s="15" t="s">
        <v>126</v>
      </c>
      <c r="J77" s="3" t="s">
        <v>591</v>
      </c>
      <c r="K77" s="15" t="n">
        <f aca="false">LEN(J77)</f>
        <v>58</v>
      </c>
      <c r="L77" s="3" t="s">
        <v>592</v>
      </c>
      <c r="M77" s="15" t="n">
        <f aca="false">LEN(L77)</f>
        <v>131</v>
      </c>
      <c r="N77" s="3" t="s">
        <v>590</v>
      </c>
      <c r="O77" s="15" t="s">
        <v>593</v>
      </c>
      <c r="P77" s="16" t="n">
        <v>1600</v>
      </c>
      <c r="Q77" s="15" t="s">
        <v>147</v>
      </c>
      <c r="R77" s="15"/>
      <c r="S77" s="15" t="n">
        <f aca="false">COUNTIF('Page-Keyword Map'!$A$2:$A$668,B77)</f>
        <v>1</v>
      </c>
      <c r="T77" s="16" t="n">
        <f aca="false">SUMIF('Page-Keyword Map'!$A$2:$A$668,B77,'Page-Keyword Map'!$H$2:$H$668)</f>
        <v>1600</v>
      </c>
      <c r="U77" s="15" t="n">
        <f aca="false">COUNTIFS('Page-Keyword Map'!$A$2:$A$668,B77,'Page-Keyword Map'!$E$2:$E$668,"Nationwide")</f>
        <v>1</v>
      </c>
      <c r="V77" s="15" t="n">
        <f aca="false">COUNTIFS('Page-Keyword Map'!$A$2:$A$668,B77,'Page-Keyword Map'!$E$2:$E$668,"Provincial")</f>
        <v>0</v>
      </c>
      <c r="W77" s="15" t="n">
        <f aca="false">COUNTIFS('Page-Keyword Map'!$A$2:$A$668,B77,'Page-Keyword Map'!$E$2:$E$668,"City")</f>
        <v>0</v>
      </c>
      <c r="X77" s="15" t="str">
        <f aca="false">IF(O77="","",IF(ISNUMBER(SEARCH(O77,J77)),"Yes","No"))</f>
        <v>Yes</v>
      </c>
      <c r="Y77" s="15" t="n">
        <v>0.7</v>
      </c>
      <c r="Z77" s="15" t="s">
        <v>389</v>
      </c>
      <c r="AA77" s="15" t="s">
        <v>131</v>
      </c>
      <c r="AB77" s="17"/>
      <c r="AC77" s="17"/>
    </row>
    <row r="78" customFormat="false" ht="23.85" hidden="false" customHeight="false" outlineLevel="0" collapsed="false">
      <c r="A78" s="15" t="s">
        <v>594</v>
      </c>
      <c r="B78" s="15" t="s">
        <v>595</v>
      </c>
      <c r="C78" s="15" t="s">
        <v>384</v>
      </c>
      <c r="D78" s="15" t="s">
        <v>74</v>
      </c>
      <c r="E78" s="15" t="s">
        <v>377</v>
      </c>
      <c r="F78" s="15" t="s">
        <v>596</v>
      </c>
      <c r="G78" s="15"/>
      <c r="H78" s="15"/>
      <c r="I78" s="15" t="s">
        <v>126</v>
      </c>
      <c r="J78" s="3" t="s">
        <v>597</v>
      </c>
      <c r="K78" s="15" t="n">
        <f aca="false">LEN(J78)</f>
        <v>63</v>
      </c>
      <c r="L78" s="3" t="s">
        <v>598</v>
      </c>
      <c r="M78" s="15" t="n">
        <f aca="false">LEN(L78)</f>
        <v>159</v>
      </c>
      <c r="N78" s="3" t="s">
        <v>596</v>
      </c>
      <c r="O78" s="15" t="s">
        <v>599</v>
      </c>
      <c r="P78" s="16" t="n">
        <v>1300</v>
      </c>
      <c r="Q78" s="15" t="s">
        <v>147</v>
      </c>
      <c r="R78" s="15"/>
      <c r="S78" s="15" t="n">
        <f aca="false">COUNTIF('Page-Keyword Map'!$A$2:$A$668,B78)</f>
        <v>1</v>
      </c>
      <c r="T78" s="16" t="n">
        <f aca="false">SUMIF('Page-Keyword Map'!$A$2:$A$668,B78,'Page-Keyword Map'!$H$2:$H$668)</f>
        <v>1300</v>
      </c>
      <c r="U78" s="15" t="n">
        <f aca="false">COUNTIFS('Page-Keyword Map'!$A$2:$A$668,B78,'Page-Keyword Map'!$E$2:$E$668,"Nationwide")</f>
        <v>1</v>
      </c>
      <c r="V78" s="15" t="n">
        <f aca="false">COUNTIFS('Page-Keyword Map'!$A$2:$A$668,B78,'Page-Keyword Map'!$E$2:$E$668,"Provincial")</f>
        <v>0</v>
      </c>
      <c r="W78" s="15" t="n">
        <f aca="false">COUNTIFS('Page-Keyword Map'!$A$2:$A$668,B78,'Page-Keyword Map'!$E$2:$E$668,"City")</f>
        <v>0</v>
      </c>
      <c r="X78" s="15" t="str">
        <f aca="false">IF(O78="","",IF(ISNUMBER(SEARCH(O78,J78)),"Yes","No"))</f>
        <v>Yes</v>
      </c>
      <c r="Y78" s="15" t="n">
        <v>0.7</v>
      </c>
      <c r="Z78" s="15" t="s">
        <v>389</v>
      </c>
      <c r="AA78" s="15" t="s">
        <v>131</v>
      </c>
      <c r="AB78" s="17"/>
      <c r="AC78" s="17"/>
    </row>
    <row r="79" customFormat="false" ht="23.85" hidden="false" customHeight="false" outlineLevel="0" collapsed="false">
      <c r="A79" s="15" t="s">
        <v>600</v>
      </c>
      <c r="B79" s="15" t="s">
        <v>601</v>
      </c>
      <c r="C79" s="15" t="s">
        <v>384</v>
      </c>
      <c r="D79" s="15" t="s">
        <v>78</v>
      </c>
      <c r="E79" s="15" t="s">
        <v>307</v>
      </c>
      <c r="F79" s="15" t="s">
        <v>602</v>
      </c>
      <c r="G79" s="15"/>
      <c r="H79" s="15"/>
      <c r="I79" s="15" t="s">
        <v>126</v>
      </c>
      <c r="J79" s="3" t="s">
        <v>603</v>
      </c>
      <c r="K79" s="15" t="n">
        <f aca="false">LEN(J79)</f>
        <v>49</v>
      </c>
      <c r="L79" s="3" t="s">
        <v>604</v>
      </c>
      <c r="M79" s="15" t="n">
        <f aca="false">LEN(L79)</f>
        <v>158</v>
      </c>
      <c r="N79" s="3" t="s">
        <v>602</v>
      </c>
      <c r="O79" s="15" t="s">
        <v>605</v>
      </c>
      <c r="P79" s="16" t="n">
        <v>1300</v>
      </c>
      <c r="Q79" s="15" t="s">
        <v>147</v>
      </c>
      <c r="R79" s="15"/>
      <c r="S79" s="15" t="n">
        <f aca="false">COUNTIF('Page-Keyword Map'!$A$2:$A$668,B79)</f>
        <v>1</v>
      </c>
      <c r="T79" s="16" t="n">
        <f aca="false">SUMIF('Page-Keyword Map'!$A$2:$A$668,B79,'Page-Keyword Map'!$H$2:$H$668)</f>
        <v>1300</v>
      </c>
      <c r="U79" s="15" t="n">
        <f aca="false">COUNTIFS('Page-Keyword Map'!$A$2:$A$668,B79,'Page-Keyword Map'!$E$2:$E$668,"Nationwide")</f>
        <v>1</v>
      </c>
      <c r="V79" s="15" t="n">
        <f aca="false">COUNTIFS('Page-Keyword Map'!$A$2:$A$668,B79,'Page-Keyword Map'!$E$2:$E$668,"Provincial")</f>
        <v>0</v>
      </c>
      <c r="W79" s="15" t="n">
        <f aca="false">COUNTIFS('Page-Keyword Map'!$A$2:$A$668,B79,'Page-Keyword Map'!$E$2:$E$668,"City")</f>
        <v>0</v>
      </c>
      <c r="X79" s="15" t="str">
        <f aca="false">IF(O79="","",IF(ISNUMBER(SEARCH(O79,J79)),"Yes","No"))</f>
        <v>No</v>
      </c>
      <c r="Y79" s="15" t="n">
        <v>0.7</v>
      </c>
      <c r="Z79" s="15" t="s">
        <v>389</v>
      </c>
      <c r="AA79" s="15" t="s">
        <v>131</v>
      </c>
      <c r="AB79" s="17"/>
      <c r="AC79" s="17"/>
    </row>
    <row r="80" customFormat="false" ht="23.85" hidden="false" customHeight="false" outlineLevel="0" collapsed="false">
      <c r="A80" s="15" t="s">
        <v>606</v>
      </c>
      <c r="B80" s="15" t="s">
        <v>607</v>
      </c>
      <c r="C80" s="15" t="s">
        <v>384</v>
      </c>
      <c r="D80" s="15" t="s">
        <v>83</v>
      </c>
      <c r="E80" s="15" t="s">
        <v>265</v>
      </c>
      <c r="F80" s="15" t="s">
        <v>608</v>
      </c>
      <c r="G80" s="15"/>
      <c r="H80" s="15"/>
      <c r="I80" s="15" t="s">
        <v>126</v>
      </c>
      <c r="J80" s="3" t="s">
        <v>609</v>
      </c>
      <c r="K80" s="15" t="n">
        <f aca="false">LEN(J80)</f>
        <v>60</v>
      </c>
      <c r="L80" s="3" t="s">
        <v>610</v>
      </c>
      <c r="M80" s="15" t="n">
        <f aca="false">LEN(L80)</f>
        <v>140</v>
      </c>
      <c r="N80" s="3" t="s">
        <v>608</v>
      </c>
      <c r="O80" s="15" t="s">
        <v>611</v>
      </c>
      <c r="P80" s="16" t="n">
        <v>5400</v>
      </c>
      <c r="Q80" s="15" t="s">
        <v>147</v>
      </c>
      <c r="R80" s="15"/>
      <c r="S80" s="15" t="n">
        <f aca="false">COUNTIF('Page-Keyword Map'!$A$2:$A$668,B80)</f>
        <v>1</v>
      </c>
      <c r="T80" s="16" t="n">
        <f aca="false">SUMIF('Page-Keyword Map'!$A$2:$A$668,B80,'Page-Keyword Map'!$H$2:$H$668)</f>
        <v>5400</v>
      </c>
      <c r="U80" s="15" t="n">
        <f aca="false">COUNTIFS('Page-Keyword Map'!$A$2:$A$668,B80,'Page-Keyword Map'!$E$2:$E$668,"Nationwide")</f>
        <v>1</v>
      </c>
      <c r="V80" s="15" t="n">
        <f aca="false">COUNTIFS('Page-Keyword Map'!$A$2:$A$668,B80,'Page-Keyword Map'!$E$2:$E$668,"Provincial")</f>
        <v>0</v>
      </c>
      <c r="W80" s="15" t="n">
        <f aca="false">COUNTIFS('Page-Keyword Map'!$A$2:$A$668,B80,'Page-Keyword Map'!$E$2:$E$668,"City")</f>
        <v>0</v>
      </c>
      <c r="X80" s="15" t="str">
        <f aca="false">IF(O80="","",IF(ISNUMBER(SEARCH(O80,J80)),"Yes","No"))</f>
        <v>Yes</v>
      </c>
      <c r="Y80" s="15" t="n">
        <v>0.7</v>
      </c>
      <c r="Z80" s="15" t="s">
        <v>389</v>
      </c>
      <c r="AA80" s="15" t="s">
        <v>131</v>
      </c>
      <c r="AB80" s="17"/>
      <c r="AC80" s="17"/>
    </row>
    <row r="81" customFormat="false" ht="23.85" hidden="false" customHeight="false" outlineLevel="0" collapsed="false">
      <c r="A81" s="15" t="s">
        <v>612</v>
      </c>
      <c r="B81" s="15" t="s">
        <v>613</v>
      </c>
      <c r="C81" s="15" t="s">
        <v>384</v>
      </c>
      <c r="D81" s="15" t="s">
        <v>88</v>
      </c>
      <c r="E81" s="15" t="s">
        <v>314</v>
      </c>
      <c r="F81" s="15" t="s">
        <v>614</v>
      </c>
      <c r="G81" s="15"/>
      <c r="H81" s="15"/>
      <c r="I81" s="15" t="s">
        <v>126</v>
      </c>
      <c r="J81" s="3" t="s">
        <v>615</v>
      </c>
      <c r="K81" s="15" t="n">
        <f aca="false">LEN(J81)</f>
        <v>61</v>
      </c>
      <c r="L81" s="3" t="s">
        <v>616</v>
      </c>
      <c r="M81" s="15" t="n">
        <f aca="false">LEN(L81)</f>
        <v>152</v>
      </c>
      <c r="N81" s="3" t="s">
        <v>614</v>
      </c>
      <c r="O81" s="15" t="s">
        <v>617</v>
      </c>
      <c r="P81" s="16" t="n">
        <v>14000</v>
      </c>
      <c r="Q81" s="15" t="s">
        <v>147</v>
      </c>
      <c r="R81" s="15"/>
      <c r="S81" s="15" t="n">
        <f aca="false">COUNTIF('Page-Keyword Map'!$A$2:$A$668,B81)</f>
        <v>1</v>
      </c>
      <c r="T81" s="16" t="n">
        <f aca="false">SUMIF('Page-Keyword Map'!$A$2:$A$668,B81,'Page-Keyword Map'!$H$2:$H$668)</f>
        <v>14000</v>
      </c>
      <c r="U81" s="15" t="n">
        <f aca="false">COUNTIFS('Page-Keyword Map'!$A$2:$A$668,B81,'Page-Keyword Map'!$E$2:$E$668,"Nationwide")</f>
        <v>1</v>
      </c>
      <c r="V81" s="15" t="n">
        <f aca="false">COUNTIFS('Page-Keyword Map'!$A$2:$A$668,B81,'Page-Keyword Map'!$E$2:$E$668,"Provincial")</f>
        <v>0</v>
      </c>
      <c r="W81" s="15" t="n">
        <f aca="false">COUNTIFS('Page-Keyword Map'!$A$2:$A$668,B81,'Page-Keyword Map'!$E$2:$E$668,"City")</f>
        <v>0</v>
      </c>
      <c r="X81" s="15" t="str">
        <f aca="false">IF(O81="","",IF(ISNUMBER(SEARCH(O81,J81)),"Yes","No"))</f>
        <v>Yes</v>
      </c>
      <c r="Y81" s="15" t="n">
        <v>0.7</v>
      </c>
      <c r="Z81" s="15" t="s">
        <v>389</v>
      </c>
      <c r="AA81" s="15" t="s">
        <v>131</v>
      </c>
      <c r="AB81" s="17"/>
      <c r="AC81" s="17"/>
    </row>
    <row r="82" customFormat="false" ht="23.85" hidden="false" customHeight="false" outlineLevel="0" collapsed="false">
      <c r="A82" s="15" t="s">
        <v>618</v>
      </c>
      <c r="B82" s="15" t="s">
        <v>619</v>
      </c>
      <c r="C82" s="15" t="s">
        <v>384</v>
      </c>
      <c r="D82" s="15" t="s">
        <v>83</v>
      </c>
      <c r="E82" s="15" t="s">
        <v>265</v>
      </c>
      <c r="F82" s="15" t="s">
        <v>620</v>
      </c>
      <c r="G82" s="15"/>
      <c r="H82" s="15"/>
      <c r="I82" s="15" t="s">
        <v>126</v>
      </c>
      <c r="J82" s="3" t="s">
        <v>621</v>
      </c>
      <c r="K82" s="15" t="n">
        <f aca="false">LEN(J82)</f>
        <v>56</v>
      </c>
      <c r="L82" s="3" t="s">
        <v>622</v>
      </c>
      <c r="M82" s="15" t="n">
        <f aca="false">LEN(L82)</f>
        <v>134</v>
      </c>
      <c r="N82" s="3" t="s">
        <v>620</v>
      </c>
      <c r="O82" s="15" t="s">
        <v>623</v>
      </c>
      <c r="P82" s="16" t="n">
        <v>1900</v>
      </c>
      <c r="Q82" s="15" t="s">
        <v>147</v>
      </c>
      <c r="R82" s="15"/>
      <c r="S82" s="15" t="n">
        <f aca="false">COUNTIF('Page-Keyword Map'!$A$2:$A$668,B82)</f>
        <v>1</v>
      </c>
      <c r="T82" s="16" t="n">
        <f aca="false">SUMIF('Page-Keyword Map'!$A$2:$A$668,B82,'Page-Keyword Map'!$H$2:$H$668)</f>
        <v>1900</v>
      </c>
      <c r="U82" s="15" t="n">
        <f aca="false">COUNTIFS('Page-Keyword Map'!$A$2:$A$668,B82,'Page-Keyword Map'!$E$2:$E$668,"Nationwide")</f>
        <v>1</v>
      </c>
      <c r="V82" s="15" t="n">
        <f aca="false">COUNTIFS('Page-Keyword Map'!$A$2:$A$668,B82,'Page-Keyword Map'!$E$2:$E$668,"Provincial")</f>
        <v>0</v>
      </c>
      <c r="W82" s="15" t="n">
        <f aca="false">COUNTIFS('Page-Keyword Map'!$A$2:$A$668,B82,'Page-Keyword Map'!$E$2:$E$668,"City")</f>
        <v>0</v>
      </c>
      <c r="X82" s="15" t="str">
        <f aca="false">IF(O82="","",IF(ISNUMBER(SEARCH(O82,J82)),"Yes","No"))</f>
        <v>No</v>
      </c>
      <c r="Y82" s="15" t="n">
        <v>0.7</v>
      </c>
      <c r="Z82" s="15" t="s">
        <v>389</v>
      </c>
      <c r="AA82" s="15" t="s">
        <v>131</v>
      </c>
      <c r="AB82" s="17"/>
      <c r="AC82" s="17"/>
    </row>
    <row r="83" customFormat="false" ht="23.85" hidden="false" customHeight="false" outlineLevel="0" collapsed="false">
      <c r="A83" s="15" t="s">
        <v>624</v>
      </c>
      <c r="B83" s="15" t="s">
        <v>625</v>
      </c>
      <c r="C83" s="15" t="s">
        <v>384</v>
      </c>
      <c r="D83" s="15" t="s">
        <v>86</v>
      </c>
      <c r="E83" s="15" t="s">
        <v>356</v>
      </c>
      <c r="F83" s="15" t="s">
        <v>626</v>
      </c>
      <c r="G83" s="15"/>
      <c r="H83" s="15"/>
      <c r="I83" s="15" t="s">
        <v>126</v>
      </c>
      <c r="J83" s="3" t="s">
        <v>627</v>
      </c>
      <c r="K83" s="15" t="n">
        <f aca="false">LEN(J83)</f>
        <v>58</v>
      </c>
      <c r="L83" s="3" t="s">
        <v>628</v>
      </c>
      <c r="M83" s="15" t="n">
        <f aca="false">LEN(L83)</f>
        <v>150</v>
      </c>
      <c r="N83" s="3" t="s">
        <v>626</v>
      </c>
      <c r="O83" s="15" t="s">
        <v>629</v>
      </c>
      <c r="P83" s="16" t="n">
        <v>390</v>
      </c>
      <c r="Q83" s="15" t="s">
        <v>147</v>
      </c>
      <c r="R83" s="15"/>
      <c r="S83" s="15" t="n">
        <f aca="false">COUNTIF('Page-Keyword Map'!$A$2:$A$668,B83)</f>
        <v>1</v>
      </c>
      <c r="T83" s="16" t="n">
        <f aca="false">SUMIF('Page-Keyword Map'!$A$2:$A$668,B83,'Page-Keyword Map'!$H$2:$H$668)</f>
        <v>390</v>
      </c>
      <c r="U83" s="15" t="n">
        <f aca="false">COUNTIFS('Page-Keyword Map'!$A$2:$A$668,B83,'Page-Keyword Map'!$E$2:$E$668,"Nationwide")</f>
        <v>1</v>
      </c>
      <c r="V83" s="15" t="n">
        <f aca="false">COUNTIFS('Page-Keyword Map'!$A$2:$A$668,B83,'Page-Keyword Map'!$E$2:$E$668,"Provincial")</f>
        <v>0</v>
      </c>
      <c r="W83" s="15" t="n">
        <f aca="false">COUNTIFS('Page-Keyword Map'!$A$2:$A$668,B83,'Page-Keyword Map'!$E$2:$E$668,"City")</f>
        <v>0</v>
      </c>
      <c r="X83" s="15" t="str">
        <f aca="false">IF(O83="","",IF(ISNUMBER(SEARCH(O83,J83)),"Yes","No"))</f>
        <v>Yes</v>
      </c>
      <c r="Y83" s="15" t="n">
        <v>0.7</v>
      </c>
      <c r="Z83" s="15" t="s">
        <v>389</v>
      </c>
      <c r="AA83" s="15" t="s">
        <v>131</v>
      </c>
      <c r="AB83" s="17"/>
      <c r="AC83" s="17"/>
    </row>
    <row r="84" customFormat="false" ht="23.85" hidden="false" customHeight="false" outlineLevel="0" collapsed="false">
      <c r="A84" s="15" t="s">
        <v>630</v>
      </c>
      <c r="B84" s="15" t="s">
        <v>631</v>
      </c>
      <c r="C84" s="15" t="s">
        <v>384</v>
      </c>
      <c r="D84" s="15" t="s">
        <v>80</v>
      </c>
      <c r="E84" s="15" t="s">
        <v>370</v>
      </c>
      <c r="F84" s="15" t="s">
        <v>632</v>
      </c>
      <c r="G84" s="15"/>
      <c r="H84" s="15"/>
      <c r="I84" s="15" t="s">
        <v>126</v>
      </c>
      <c r="J84" s="3" t="s">
        <v>633</v>
      </c>
      <c r="K84" s="15" t="n">
        <f aca="false">LEN(J84)</f>
        <v>53</v>
      </c>
      <c r="L84" s="3" t="s">
        <v>634</v>
      </c>
      <c r="M84" s="15" t="n">
        <f aca="false">LEN(L84)</f>
        <v>159</v>
      </c>
      <c r="N84" s="3" t="s">
        <v>632</v>
      </c>
      <c r="O84" s="15" t="s">
        <v>635</v>
      </c>
      <c r="P84" s="16" t="n">
        <v>720</v>
      </c>
      <c r="Q84" s="15" t="s">
        <v>147</v>
      </c>
      <c r="R84" s="15"/>
      <c r="S84" s="15" t="n">
        <f aca="false">COUNTIF('Page-Keyword Map'!$A$2:$A$668,B84)</f>
        <v>1</v>
      </c>
      <c r="T84" s="16" t="n">
        <f aca="false">SUMIF('Page-Keyword Map'!$A$2:$A$668,B84,'Page-Keyword Map'!$H$2:$H$668)</f>
        <v>720</v>
      </c>
      <c r="U84" s="15" t="n">
        <f aca="false">COUNTIFS('Page-Keyword Map'!$A$2:$A$668,B84,'Page-Keyword Map'!$E$2:$E$668,"Nationwide")</f>
        <v>1</v>
      </c>
      <c r="V84" s="15" t="n">
        <f aca="false">COUNTIFS('Page-Keyword Map'!$A$2:$A$668,B84,'Page-Keyword Map'!$E$2:$E$668,"Provincial")</f>
        <v>0</v>
      </c>
      <c r="W84" s="15" t="n">
        <f aca="false">COUNTIFS('Page-Keyword Map'!$A$2:$A$668,B84,'Page-Keyword Map'!$E$2:$E$668,"City")</f>
        <v>0</v>
      </c>
      <c r="X84" s="15" t="str">
        <f aca="false">IF(O84="","",IF(ISNUMBER(SEARCH(O84,J84)),"Yes","No"))</f>
        <v>No</v>
      </c>
      <c r="Y84" s="15" t="n">
        <v>0.7</v>
      </c>
      <c r="Z84" s="15" t="s">
        <v>389</v>
      </c>
      <c r="AA84" s="15" t="s">
        <v>131</v>
      </c>
      <c r="AB84" s="17"/>
      <c r="AC84" s="17"/>
    </row>
    <row r="85" customFormat="false" ht="23.85" hidden="false" customHeight="false" outlineLevel="0" collapsed="false">
      <c r="A85" s="15" t="s">
        <v>636</v>
      </c>
      <c r="B85" s="15" t="s">
        <v>637</v>
      </c>
      <c r="C85" s="15" t="s">
        <v>384</v>
      </c>
      <c r="D85" s="15" t="s">
        <v>80</v>
      </c>
      <c r="E85" s="15" t="s">
        <v>370</v>
      </c>
      <c r="F85" s="15" t="s">
        <v>638</v>
      </c>
      <c r="G85" s="15"/>
      <c r="H85" s="15"/>
      <c r="I85" s="15" t="s">
        <v>126</v>
      </c>
      <c r="J85" s="3" t="s">
        <v>639</v>
      </c>
      <c r="K85" s="15" t="n">
        <f aca="false">LEN(J85)</f>
        <v>59</v>
      </c>
      <c r="L85" s="3" t="s">
        <v>640</v>
      </c>
      <c r="M85" s="15" t="n">
        <f aca="false">LEN(L85)</f>
        <v>151</v>
      </c>
      <c r="N85" s="3" t="s">
        <v>638</v>
      </c>
      <c r="O85" s="15" t="s">
        <v>641</v>
      </c>
      <c r="P85" s="16" t="n">
        <v>1300</v>
      </c>
      <c r="Q85" s="15" t="s">
        <v>147</v>
      </c>
      <c r="R85" s="15"/>
      <c r="S85" s="15" t="n">
        <f aca="false">COUNTIF('Page-Keyword Map'!$A$2:$A$668,B85)</f>
        <v>2</v>
      </c>
      <c r="T85" s="16" t="n">
        <f aca="false">SUMIF('Page-Keyword Map'!$A$2:$A$668,B85,'Page-Keyword Map'!$H$2:$H$668)</f>
        <v>2600</v>
      </c>
      <c r="U85" s="15" t="n">
        <f aca="false">COUNTIFS('Page-Keyword Map'!$A$2:$A$668,B85,'Page-Keyword Map'!$E$2:$E$668,"Nationwide")</f>
        <v>2</v>
      </c>
      <c r="V85" s="15" t="n">
        <f aca="false">COUNTIFS('Page-Keyword Map'!$A$2:$A$668,B85,'Page-Keyword Map'!$E$2:$E$668,"Provincial")</f>
        <v>0</v>
      </c>
      <c r="W85" s="15" t="n">
        <f aca="false">COUNTIFS('Page-Keyword Map'!$A$2:$A$668,B85,'Page-Keyword Map'!$E$2:$E$668,"City")</f>
        <v>0</v>
      </c>
      <c r="X85" s="15" t="str">
        <f aca="false">IF(O85="","",IF(ISNUMBER(SEARCH(O85,J85)),"Yes","No"))</f>
        <v>Yes</v>
      </c>
      <c r="Y85" s="15" t="n">
        <v>0.8</v>
      </c>
      <c r="Z85" s="15" t="s">
        <v>389</v>
      </c>
      <c r="AA85" s="15" t="s">
        <v>131</v>
      </c>
      <c r="AB85" s="17"/>
      <c r="AC85" s="17"/>
    </row>
    <row r="86" customFormat="false" ht="23.85" hidden="false" customHeight="false" outlineLevel="0" collapsed="false">
      <c r="A86" s="15" t="s">
        <v>642</v>
      </c>
      <c r="B86" s="15" t="s">
        <v>643</v>
      </c>
      <c r="C86" s="15" t="s">
        <v>384</v>
      </c>
      <c r="D86" s="15" t="s">
        <v>81</v>
      </c>
      <c r="E86" s="15" t="s">
        <v>349</v>
      </c>
      <c r="F86" s="15" t="s">
        <v>644</v>
      </c>
      <c r="G86" s="15"/>
      <c r="H86" s="15"/>
      <c r="I86" s="15" t="s">
        <v>126</v>
      </c>
      <c r="J86" s="3" t="s">
        <v>645</v>
      </c>
      <c r="K86" s="15" t="n">
        <f aca="false">LEN(J86)</f>
        <v>58</v>
      </c>
      <c r="L86" s="3" t="s">
        <v>646</v>
      </c>
      <c r="M86" s="15" t="n">
        <f aca="false">LEN(L86)</f>
        <v>148</v>
      </c>
      <c r="N86" s="3" t="s">
        <v>644</v>
      </c>
      <c r="O86" s="15" t="s">
        <v>647</v>
      </c>
      <c r="P86" s="16" t="n">
        <v>4400</v>
      </c>
      <c r="Q86" s="15" t="s">
        <v>147</v>
      </c>
      <c r="R86" s="15"/>
      <c r="S86" s="15" t="n">
        <f aca="false">COUNTIF('Page-Keyword Map'!$A$2:$A$668,B86)</f>
        <v>1</v>
      </c>
      <c r="T86" s="16" t="n">
        <f aca="false">SUMIF('Page-Keyword Map'!$A$2:$A$668,B86,'Page-Keyword Map'!$H$2:$H$668)</f>
        <v>4400</v>
      </c>
      <c r="U86" s="15" t="n">
        <f aca="false">COUNTIFS('Page-Keyword Map'!$A$2:$A$668,B86,'Page-Keyword Map'!$E$2:$E$668,"Nationwide")</f>
        <v>1</v>
      </c>
      <c r="V86" s="15" t="n">
        <f aca="false">COUNTIFS('Page-Keyword Map'!$A$2:$A$668,B86,'Page-Keyword Map'!$E$2:$E$668,"Provincial")</f>
        <v>0</v>
      </c>
      <c r="W86" s="15" t="n">
        <f aca="false">COUNTIFS('Page-Keyword Map'!$A$2:$A$668,B86,'Page-Keyword Map'!$E$2:$E$668,"City")</f>
        <v>0</v>
      </c>
      <c r="X86" s="15" t="str">
        <f aca="false">IF(O86="","",IF(ISNUMBER(SEARCH(O86,J86)),"Yes","No"))</f>
        <v>No</v>
      </c>
      <c r="Y86" s="15" t="n">
        <v>0.7</v>
      </c>
      <c r="Z86" s="15" t="s">
        <v>389</v>
      </c>
      <c r="AA86" s="15" t="s">
        <v>131</v>
      </c>
      <c r="AB86" s="17"/>
      <c r="AC86" s="17"/>
    </row>
    <row r="87" customFormat="false" ht="23.85" hidden="false" customHeight="false" outlineLevel="0" collapsed="false">
      <c r="A87" s="15" t="s">
        <v>648</v>
      </c>
      <c r="B87" s="15" t="s">
        <v>649</v>
      </c>
      <c r="C87" s="15" t="s">
        <v>384</v>
      </c>
      <c r="D87" s="15" t="s">
        <v>84</v>
      </c>
      <c r="E87" s="15" t="s">
        <v>314</v>
      </c>
      <c r="F87" s="15" t="s">
        <v>650</v>
      </c>
      <c r="G87" s="15"/>
      <c r="H87" s="15"/>
      <c r="I87" s="15" t="s">
        <v>126</v>
      </c>
      <c r="J87" s="3" t="s">
        <v>651</v>
      </c>
      <c r="K87" s="15" t="n">
        <f aca="false">LEN(J87)</f>
        <v>53</v>
      </c>
      <c r="L87" s="3" t="s">
        <v>652</v>
      </c>
      <c r="M87" s="15" t="n">
        <f aca="false">LEN(L87)</f>
        <v>149</v>
      </c>
      <c r="N87" s="3" t="s">
        <v>650</v>
      </c>
      <c r="O87" s="15" t="s">
        <v>653</v>
      </c>
      <c r="P87" s="16" t="n">
        <v>1300</v>
      </c>
      <c r="Q87" s="15" t="s">
        <v>147</v>
      </c>
      <c r="R87" s="15"/>
      <c r="S87" s="15" t="n">
        <f aca="false">COUNTIF('Page-Keyword Map'!$A$2:$A$668,B87)</f>
        <v>1</v>
      </c>
      <c r="T87" s="16" t="n">
        <f aca="false">SUMIF('Page-Keyword Map'!$A$2:$A$668,B87,'Page-Keyword Map'!$H$2:$H$668)</f>
        <v>1300</v>
      </c>
      <c r="U87" s="15" t="n">
        <f aca="false">COUNTIFS('Page-Keyword Map'!$A$2:$A$668,B87,'Page-Keyword Map'!$E$2:$E$668,"Nationwide")</f>
        <v>1</v>
      </c>
      <c r="V87" s="15" t="n">
        <f aca="false">COUNTIFS('Page-Keyword Map'!$A$2:$A$668,B87,'Page-Keyword Map'!$E$2:$E$668,"Provincial")</f>
        <v>0</v>
      </c>
      <c r="W87" s="15" t="n">
        <f aca="false">COUNTIFS('Page-Keyword Map'!$A$2:$A$668,B87,'Page-Keyword Map'!$E$2:$E$668,"City")</f>
        <v>0</v>
      </c>
      <c r="X87" s="15" t="str">
        <f aca="false">IF(O87="","",IF(ISNUMBER(SEARCH(O87,J87)),"Yes","No"))</f>
        <v>No</v>
      </c>
      <c r="Y87" s="15" t="n">
        <v>0.7</v>
      </c>
      <c r="Z87" s="15" t="s">
        <v>389</v>
      </c>
      <c r="AA87" s="15" t="s">
        <v>131</v>
      </c>
      <c r="AB87" s="17"/>
      <c r="AC87" s="17"/>
    </row>
    <row r="88" customFormat="false" ht="23.85" hidden="false" customHeight="false" outlineLevel="0" collapsed="false">
      <c r="A88" s="15" t="s">
        <v>654</v>
      </c>
      <c r="B88" s="15" t="s">
        <v>655</v>
      </c>
      <c r="C88" s="15" t="s">
        <v>656</v>
      </c>
      <c r="D88" s="15" t="s">
        <v>89</v>
      </c>
      <c r="E88" s="15" t="s">
        <v>258</v>
      </c>
      <c r="F88" s="15"/>
      <c r="G88" s="15" t="s">
        <v>657</v>
      </c>
      <c r="H88" s="15"/>
      <c r="I88" s="15" t="s">
        <v>126</v>
      </c>
      <c r="J88" s="3" t="s">
        <v>658</v>
      </c>
      <c r="K88" s="15" t="n">
        <f aca="false">LEN(J88)</f>
        <v>59</v>
      </c>
      <c r="L88" s="3" t="s">
        <v>659</v>
      </c>
      <c r="M88" s="15" t="n">
        <f aca="false">LEN(L88)</f>
        <v>153</v>
      </c>
      <c r="N88" s="3" t="s">
        <v>660</v>
      </c>
      <c r="O88" s="15" t="s">
        <v>661</v>
      </c>
      <c r="P88" s="16" t="n">
        <v>370</v>
      </c>
      <c r="Q88" s="15" t="s">
        <v>662</v>
      </c>
      <c r="R88" s="15"/>
      <c r="S88" s="15" t="n">
        <f aca="false">COUNTIF('Page-Keyword Map'!$A$2:$A$668,B88)</f>
        <v>1</v>
      </c>
      <c r="T88" s="16" t="n">
        <f aca="false">SUMIF('Page-Keyword Map'!$A$2:$A$668,B88,'Page-Keyword Map'!$H$2:$H$668)</f>
        <v>370</v>
      </c>
      <c r="U88" s="15" t="n">
        <f aca="false">COUNTIFS('Page-Keyword Map'!$A$2:$A$668,B88,'Page-Keyword Map'!$E$2:$E$668,"Nationwide")</f>
        <v>0</v>
      </c>
      <c r="V88" s="15" t="n">
        <f aca="false">COUNTIFS('Page-Keyword Map'!$A$2:$A$668,B88,'Page-Keyword Map'!$E$2:$E$668,"Provincial")</f>
        <v>1</v>
      </c>
      <c r="W88" s="15" t="n">
        <f aca="false">COUNTIFS('Page-Keyword Map'!$A$2:$A$668,B88,'Page-Keyword Map'!$E$2:$E$668,"City")</f>
        <v>0</v>
      </c>
      <c r="X88" s="15" t="str">
        <f aca="false">IF(O88="","",IF(ISNUMBER(SEARCH(O88,J88)),"Yes","No"))</f>
        <v>No</v>
      </c>
      <c r="Y88" s="15" t="n">
        <v>0.7</v>
      </c>
      <c r="Z88" s="15" t="s">
        <v>663</v>
      </c>
      <c r="AA88" s="15" t="s">
        <v>131</v>
      </c>
      <c r="AB88" s="17"/>
      <c r="AC88" s="17"/>
    </row>
    <row r="89" customFormat="false" ht="23.85" hidden="false" customHeight="false" outlineLevel="0" collapsed="false">
      <c r="A89" s="15" t="s">
        <v>664</v>
      </c>
      <c r="B89" s="15" t="s">
        <v>665</v>
      </c>
      <c r="C89" s="15" t="s">
        <v>656</v>
      </c>
      <c r="D89" s="15" t="s">
        <v>89</v>
      </c>
      <c r="E89" s="15" t="s">
        <v>258</v>
      </c>
      <c r="F89" s="15"/>
      <c r="G89" s="15" t="s">
        <v>666</v>
      </c>
      <c r="H89" s="15"/>
      <c r="I89" s="15" t="s">
        <v>126</v>
      </c>
      <c r="J89" s="3" t="s">
        <v>667</v>
      </c>
      <c r="K89" s="15" t="n">
        <f aca="false">LEN(J89)</f>
        <v>68</v>
      </c>
      <c r="L89" s="3" t="s">
        <v>668</v>
      </c>
      <c r="M89" s="15" t="n">
        <f aca="false">LEN(L89)</f>
        <v>145</v>
      </c>
      <c r="N89" s="3" t="s">
        <v>669</v>
      </c>
      <c r="O89" s="15" t="s">
        <v>670</v>
      </c>
      <c r="P89" s="16" t="n">
        <v>430</v>
      </c>
      <c r="Q89" s="15" t="s">
        <v>662</v>
      </c>
      <c r="R89" s="15"/>
      <c r="S89" s="15" t="n">
        <f aca="false">COUNTIF('Page-Keyword Map'!$A$2:$A$668,B89)</f>
        <v>1</v>
      </c>
      <c r="T89" s="16" t="n">
        <f aca="false">SUMIF('Page-Keyword Map'!$A$2:$A$668,B89,'Page-Keyword Map'!$H$2:$H$668)</f>
        <v>430</v>
      </c>
      <c r="U89" s="15" t="n">
        <f aca="false">COUNTIFS('Page-Keyword Map'!$A$2:$A$668,B89,'Page-Keyword Map'!$E$2:$E$668,"Nationwide")</f>
        <v>0</v>
      </c>
      <c r="V89" s="15" t="n">
        <f aca="false">COUNTIFS('Page-Keyword Map'!$A$2:$A$668,B89,'Page-Keyword Map'!$E$2:$E$668,"Provincial")</f>
        <v>1</v>
      </c>
      <c r="W89" s="15" t="n">
        <f aca="false">COUNTIFS('Page-Keyword Map'!$A$2:$A$668,B89,'Page-Keyword Map'!$E$2:$E$668,"City")</f>
        <v>0</v>
      </c>
      <c r="X89" s="15" t="str">
        <f aca="false">IF(O89="","",IF(ISNUMBER(SEARCH(O89,J89)),"Yes","No"))</f>
        <v>No</v>
      </c>
      <c r="Y89" s="15" t="n">
        <v>0.7</v>
      </c>
      <c r="Z89" s="15" t="s">
        <v>663</v>
      </c>
      <c r="AA89" s="15" t="s">
        <v>131</v>
      </c>
      <c r="AB89" s="17"/>
      <c r="AC89" s="17"/>
    </row>
    <row r="90" customFormat="false" ht="23.85" hidden="false" customHeight="false" outlineLevel="0" collapsed="false">
      <c r="A90" s="15" t="s">
        <v>671</v>
      </c>
      <c r="B90" s="15" t="s">
        <v>672</v>
      </c>
      <c r="C90" s="15" t="s">
        <v>656</v>
      </c>
      <c r="D90" s="15" t="s">
        <v>89</v>
      </c>
      <c r="E90" s="15" t="s">
        <v>258</v>
      </c>
      <c r="F90" s="15"/>
      <c r="G90" s="15" t="s">
        <v>673</v>
      </c>
      <c r="H90" s="15"/>
      <c r="I90" s="15" t="s">
        <v>126</v>
      </c>
      <c r="J90" s="3" t="s">
        <v>674</v>
      </c>
      <c r="K90" s="15" t="n">
        <f aca="false">LEN(J90)</f>
        <v>60</v>
      </c>
      <c r="L90" s="3" t="s">
        <v>675</v>
      </c>
      <c r="M90" s="15" t="n">
        <f aca="false">LEN(L90)</f>
        <v>128</v>
      </c>
      <c r="N90" s="3" t="s">
        <v>676</v>
      </c>
      <c r="O90" s="15" t="s">
        <v>677</v>
      </c>
      <c r="P90" s="16" t="n">
        <v>130</v>
      </c>
      <c r="Q90" s="15" t="s">
        <v>662</v>
      </c>
      <c r="R90" s="15"/>
      <c r="S90" s="15" t="n">
        <f aca="false">COUNTIF('Page-Keyword Map'!$A$2:$A$668,B90)</f>
        <v>1</v>
      </c>
      <c r="T90" s="16" t="n">
        <f aca="false">SUMIF('Page-Keyword Map'!$A$2:$A$668,B90,'Page-Keyword Map'!$H$2:$H$668)</f>
        <v>130</v>
      </c>
      <c r="U90" s="15" t="n">
        <f aca="false">COUNTIFS('Page-Keyword Map'!$A$2:$A$668,B90,'Page-Keyword Map'!$E$2:$E$668,"Nationwide")</f>
        <v>0</v>
      </c>
      <c r="V90" s="15" t="n">
        <f aca="false">COUNTIFS('Page-Keyword Map'!$A$2:$A$668,B90,'Page-Keyword Map'!$E$2:$E$668,"Provincial")</f>
        <v>1</v>
      </c>
      <c r="W90" s="15" t="n">
        <f aca="false">COUNTIFS('Page-Keyword Map'!$A$2:$A$668,B90,'Page-Keyword Map'!$E$2:$E$668,"City")</f>
        <v>0</v>
      </c>
      <c r="X90" s="15" t="str">
        <f aca="false">IF(O90="","",IF(ISNUMBER(SEARCH(O90,J90)),"Yes","No"))</f>
        <v>No</v>
      </c>
      <c r="Y90" s="15" t="n">
        <v>0.7</v>
      </c>
      <c r="Z90" s="15" t="s">
        <v>663</v>
      </c>
      <c r="AA90" s="15" t="s">
        <v>131</v>
      </c>
      <c r="AB90" s="17"/>
      <c r="AC90" s="17"/>
    </row>
    <row r="91" customFormat="false" ht="23.85" hidden="false" customHeight="false" outlineLevel="0" collapsed="false">
      <c r="A91" s="15" t="s">
        <v>678</v>
      </c>
      <c r="B91" s="15" t="s">
        <v>679</v>
      </c>
      <c r="C91" s="15" t="s">
        <v>656</v>
      </c>
      <c r="D91" s="15" t="s">
        <v>89</v>
      </c>
      <c r="E91" s="15" t="s">
        <v>258</v>
      </c>
      <c r="F91" s="15"/>
      <c r="G91" s="15" t="s">
        <v>680</v>
      </c>
      <c r="H91" s="15"/>
      <c r="I91" s="15" t="s">
        <v>126</v>
      </c>
      <c r="J91" s="3" t="s">
        <v>681</v>
      </c>
      <c r="K91" s="15" t="n">
        <f aca="false">LEN(J91)</f>
        <v>65</v>
      </c>
      <c r="L91" s="3" t="s">
        <v>682</v>
      </c>
      <c r="M91" s="15" t="n">
        <f aca="false">LEN(L91)</f>
        <v>138</v>
      </c>
      <c r="N91" s="3" t="s">
        <v>683</v>
      </c>
      <c r="O91" s="15" t="s">
        <v>684</v>
      </c>
      <c r="P91" s="16" t="n">
        <v>80</v>
      </c>
      <c r="Q91" s="15" t="s">
        <v>662</v>
      </c>
      <c r="R91" s="15"/>
      <c r="S91" s="15" t="n">
        <f aca="false">COUNTIF('Page-Keyword Map'!$A$2:$A$668,B91)</f>
        <v>1</v>
      </c>
      <c r="T91" s="16" t="n">
        <f aca="false">SUMIF('Page-Keyword Map'!$A$2:$A$668,B91,'Page-Keyword Map'!$H$2:$H$668)</f>
        <v>80</v>
      </c>
      <c r="U91" s="15" t="n">
        <f aca="false">COUNTIFS('Page-Keyword Map'!$A$2:$A$668,B91,'Page-Keyword Map'!$E$2:$E$668,"Nationwide")</f>
        <v>0</v>
      </c>
      <c r="V91" s="15" t="n">
        <f aca="false">COUNTIFS('Page-Keyword Map'!$A$2:$A$668,B91,'Page-Keyword Map'!$E$2:$E$668,"Provincial")</f>
        <v>1</v>
      </c>
      <c r="W91" s="15" t="n">
        <f aca="false">COUNTIFS('Page-Keyword Map'!$A$2:$A$668,B91,'Page-Keyword Map'!$E$2:$E$668,"City")</f>
        <v>0</v>
      </c>
      <c r="X91" s="15" t="str">
        <f aca="false">IF(O91="","",IF(ISNUMBER(SEARCH(O91,J91)),"Yes","No"))</f>
        <v>No</v>
      </c>
      <c r="Y91" s="15" t="n">
        <v>0.7</v>
      </c>
      <c r="Z91" s="15" t="s">
        <v>663</v>
      </c>
      <c r="AA91" s="15" t="s">
        <v>131</v>
      </c>
      <c r="AB91" s="17"/>
      <c r="AC91" s="17"/>
    </row>
    <row r="92" customFormat="false" ht="23.85" hidden="false" customHeight="false" outlineLevel="0" collapsed="false">
      <c r="A92" s="15" t="s">
        <v>685</v>
      </c>
      <c r="B92" s="15" t="s">
        <v>686</v>
      </c>
      <c r="C92" s="15" t="s">
        <v>656</v>
      </c>
      <c r="D92" s="15" t="s">
        <v>89</v>
      </c>
      <c r="E92" s="15" t="s">
        <v>258</v>
      </c>
      <c r="F92" s="15"/>
      <c r="G92" s="15" t="s">
        <v>687</v>
      </c>
      <c r="H92" s="15"/>
      <c r="I92" s="15" t="s">
        <v>126</v>
      </c>
      <c r="J92" s="3" t="s">
        <v>688</v>
      </c>
      <c r="K92" s="15" t="n">
        <f aca="false">LEN(J92)</f>
        <v>77</v>
      </c>
      <c r="L92" s="3" t="s">
        <v>689</v>
      </c>
      <c r="M92" s="15" t="n">
        <f aca="false">LEN(L92)</f>
        <v>159</v>
      </c>
      <c r="N92" s="3" t="s">
        <v>690</v>
      </c>
      <c r="O92" s="15" t="s">
        <v>691</v>
      </c>
      <c r="P92" s="16" t="n">
        <v>55</v>
      </c>
      <c r="Q92" s="15" t="s">
        <v>662</v>
      </c>
      <c r="R92" s="15"/>
      <c r="S92" s="15" t="n">
        <f aca="false">COUNTIF('Page-Keyword Map'!$A$2:$A$668,B92)</f>
        <v>1</v>
      </c>
      <c r="T92" s="16" t="n">
        <f aca="false">SUMIF('Page-Keyword Map'!$A$2:$A$668,B92,'Page-Keyword Map'!$H$2:$H$668)</f>
        <v>55</v>
      </c>
      <c r="U92" s="15" t="n">
        <f aca="false">COUNTIFS('Page-Keyword Map'!$A$2:$A$668,B92,'Page-Keyword Map'!$E$2:$E$668,"Nationwide")</f>
        <v>0</v>
      </c>
      <c r="V92" s="15" t="n">
        <f aca="false">COUNTIFS('Page-Keyword Map'!$A$2:$A$668,B92,'Page-Keyword Map'!$E$2:$E$668,"Provincial")</f>
        <v>1</v>
      </c>
      <c r="W92" s="15" t="n">
        <f aca="false">COUNTIFS('Page-Keyword Map'!$A$2:$A$668,B92,'Page-Keyword Map'!$E$2:$E$668,"City")</f>
        <v>0</v>
      </c>
      <c r="X92" s="15" t="str">
        <f aca="false">IF(O92="","",IF(ISNUMBER(SEARCH(O92,J92)),"Yes","No"))</f>
        <v>No</v>
      </c>
      <c r="Y92" s="15" t="n">
        <v>0.7</v>
      </c>
      <c r="Z92" s="15" t="s">
        <v>663</v>
      </c>
      <c r="AA92" s="15" t="s">
        <v>131</v>
      </c>
      <c r="AB92" s="17"/>
      <c r="AC92" s="17"/>
    </row>
    <row r="93" customFormat="false" ht="23.85" hidden="false" customHeight="false" outlineLevel="0" collapsed="false">
      <c r="A93" s="15" t="s">
        <v>692</v>
      </c>
      <c r="B93" s="15" t="s">
        <v>693</v>
      </c>
      <c r="C93" s="15" t="s">
        <v>656</v>
      </c>
      <c r="D93" s="15" t="s">
        <v>89</v>
      </c>
      <c r="E93" s="15" t="s">
        <v>258</v>
      </c>
      <c r="F93" s="15"/>
      <c r="G93" s="15" t="s">
        <v>694</v>
      </c>
      <c r="H93" s="15"/>
      <c r="I93" s="15" t="s">
        <v>126</v>
      </c>
      <c r="J93" s="3" t="s">
        <v>695</v>
      </c>
      <c r="K93" s="15" t="n">
        <f aca="false">LEN(J93)</f>
        <v>73</v>
      </c>
      <c r="L93" s="3" t="s">
        <v>696</v>
      </c>
      <c r="M93" s="15" t="n">
        <f aca="false">LEN(L93)</f>
        <v>163</v>
      </c>
      <c r="N93" s="3" t="s">
        <v>697</v>
      </c>
      <c r="O93" s="15"/>
      <c r="P93" s="16"/>
      <c r="Q93" s="15"/>
      <c r="R93" s="15" t="s">
        <v>698</v>
      </c>
      <c r="S93" s="15" t="n">
        <f aca="false">COUNTIF('Page-Keyword Map'!$A$2:$A$668,B93)</f>
        <v>0</v>
      </c>
      <c r="T93" s="16" t="n">
        <f aca="false">SUMIF('Page-Keyword Map'!$A$2:$A$668,B93,'Page-Keyword Map'!$H$2:$H$668)</f>
        <v>0</v>
      </c>
      <c r="U93" s="15" t="n">
        <f aca="false">COUNTIFS('Page-Keyword Map'!$A$2:$A$668,B93,'Page-Keyword Map'!$E$2:$E$668,"Nationwide")</f>
        <v>0</v>
      </c>
      <c r="V93" s="15" t="n">
        <f aca="false">COUNTIFS('Page-Keyword Map'!$A$2:$A$668,B93,'Page-Keyword Map'!$E$2:$E$668,"Provincial")</f>
        <v>0</v>
      </c>
      <c r="W93" s="15" t="n">
        <f aca="false">COUNTIFS('Page-Keyword Map'!$A$2:$A$668,B93,'Page-Keyword Map'!$E$2:$E$668,"City")</f>
        <v>0</v>
      </c>
      <c r="X93" s="15" t="str">
        <f aca="false">IF(O93="","",IF(ISNUMBER(SEARCH(O93,J93)),"Yes","No"))</f>
        <v/>
      </c>
      <c r="Y93" s="15" t="n">
        <v>0.7</v>
      </c>
      <c r="Z93" s="15" t="s">
        <v>663</v>
      </c>
      <c r="AA93" s="15" t="s">
        <v>131</v>
      </c>
      <c r="AB93" s="17"/>
      <c r="AC93" s="17"/>
    </row>
    <row r="94" customFormat="false" ht="23.85" hidden="false" customHeight="false" outlineLevel="0" collapsed="false">
      <c r="A94" s="15" t="s">
        <v>699</v>
      </c>
      <c r="B94" s="15" t="s">
        <v>700</v>
      </c>
      <c r="C94" s="15" t="s">
        <v>656</v>
      </c>
      <c r="D94" s="15" t="s">
        <v>89</v>
      </c>
      <c r="E94" s="15" t="s">
        <v>258</v>
      </c>
      <c r="F94" s="15"/>
      <c r="G94" s="15" t="s">
        <v>701</v>
      </c>
      <c r="H94" s="15"/>
      <c r="I94" s="15" t="s">
        <v>126</v>
      </c>
      <c r="J94" s="3" t="s">
        <v>702</v>
      </c>
      <c r="K94" s="15" t="n">
        <f aca="false">LEN(J94)</f>
        <v>63</v>
      </c>
      <c r="L94" s="3" t="s">
        <v>703</v>
      </c>
      <c r="M94" s="15" t="n">
        <f aca="false">LEN(L94)</f>
        <v>164</v>
      </c>
      <c r="N94" s="3" t="s">
        <v>704</v>
      </c>
      <c r="O94" s="15" t="s">
        <v>705</v>
      </c>
      <c r="P94" s="16" t="n">
        <v>97</v>
      </c>
      <c r="Q94" s="15" t="s">
        <v>662</v>
      </c>
      <c r="R94" s="15"/>
      <c r="S94" s="15" t="n">
        <f aca="false">COUNTIF('Page-Keyword Map'!$A$2:$A$668,B94)</f>
        <v>1</v>
      </c>
      <c r="T94" s="16" t="n">
        <f aca="false">SUMIF('Page-Keyword Map'!$A$2:$A$668,B94,'Page-Keyword Map'!$H$2:$H$668)</f>
        <v>97</v>
      </c>
      <c r="U94" s="15" t="n">
        <f aca="false">COUNTIFS('Page-Keyword Map'!$A$2:$A$668,B94,'Page-Keyword Map'!$E$2:$E$668,"Nationwide")</f>
        <v>0</v>
      </c>
      <c r="V94" s="15" t="n">
        <f aca="false">COUNTIFS('Page-Keyword Map'!$A$2:$A$668,B94,'Page-Keyword Map'!$E$2:$E$668,"Provincial")</f>
        <v>1</v>
      </c>
      <c r="W94" s="15" t="n">
        <f aca="false">COUNTIFS('Page-Keyword Map'!$A$2:$A$668,B94,'Page-Keyword Map'!$E$2:$E$668,"City")</f>
        <v>0</v>
      </c>
      <c r="X94" s="15" t="str">
        <f aca="false">IF(O94="","",IF(ISNUMBER(SEARCH(O94,J94)),"Yes","No"))</f>
        <v>No</v>
      </c>
      <c r="Y94" s="15" t="n">
        <v>0.7</v>
      </c>
      <c r="Z94" s="15" t="s">
        <v>663</v>
      </c>
      <c r="AA94" s="15" t="s">
        <v>131</v>
      </c>
      <c r="AB94" s="17"/>
      <c r="AC94" s="17"/>
    </row>
    <row r="95" customFormat="false" ht="23.85" hidden="false" customHeight="false" outlineLevel="0" collapsed="false">
      <c r="A95" s="15" t="s">
        <v>706</v>
      </c>
      <c r="B95" s="15" t="s">
        <v>707</v>
      </c>
      <c r="C95" s="15" t="s">
        <v>656</v>
      </c>
      <c r="D95" s="15" t="s">
        <v>89</v>
      </c>
      <c r="E95" s="15" t="s">
        <v>258</v>
      </c>
      <c r="F95" s="15"/>
      <c r="G95" s="15" t="s">
        <v>708</v>
      </c>
      <c r="H95" s="15"/>
      <c r="I95" s="15" t="s">
        <v>126</v>
      </c>
      <c r="J95" s="3" t="s">
        <v>709</v>
      </c>
      <c r="K95" s="15" t="n">
        <f aca="false">LEN(J95)</f>
        <v>59</v>
      </c>
      <c r="L95" s="3" t="s">
        <v>710</v>
      </c>
      <c r="M95" s="15" t="n">
        <f aca="false">LEN(L95)</f>
        <v>161</v>
      </c>
      <c r="N95" s="3" t="s">
        <v>711</v>
      </c>
      <c r="O95" s="15"/>
      <c r="P95" s="16"/>
      <c r="Q95" s="15"/>
      <c r="R95" s="15" t="s">
        <v>712</v>
      </c>
      <c r="S95" s="15" t="n">
        <f aca="false">COUNTIF('Page-Keyword Map'!$A$2:$A$668,B95)</f>
        <v>0</v>
      </c>
      <c r="T95" s="16" t="n">
        <f aca="false">SUMIF('Page-Keyword Map'!$A$2:$A$668,B95,'Page-Keyword Map'!$H$2:$H$668)</f>
        <v>0</v>
      </c>
      <c r="U95" s="15" t="n">
        <f aca="false">COUNTIFS('Page-Keyword Map'!$A$2:$A$668,B95,'Page-Keyword Map'!$E$2:$E$668,"Nationwide")</f>
        <v>0</v>
      </c>
      <c r="V95" s="15" t="n">
        <f aca="false">COUNTIFS('Page-Keyword Map'!$A$2:$A$668,B95,'Page-Keyword Map'!$E$2:$E$668,"Provincial")</f>
        <v>0</v>
      </c>
      <c r="W95" s="15" t="n">
        <f aca="false">COUNTIFS('Page-Keyword Map'!$A$2:$A$668,B95,'Page-Keyword Map'!$E$2:$E$668,"City")</f>
        <v>0</v>
      </c>
      <c r="X95" s="15" t="str">
        <f aca="false">IF(O95="","",IF(ISNUMBER(SEARCH(O95,J95)),"Yes","No"))</f>
        <v/>
      </c>
      <c r="Y95" s="15" t="n">
        <v>0.7</v>
      </c>
      <c r="Z95" s="15" t="s">
        <v>663</v>
      </c>
      <c r="AA95" s="15" t="s">
        <v>131</v>
      </c>
      <c r="AB95" s="17"/>
      <c r="AC95" s="17"/>
    </row>
    <row r="96" customFormat="false" ht="23.85" hidden="false" customHeight="false" outlineLevel="0" collapsed="false">
      <c r="A96" s="15" t="s">
        <v>713</v>
      </c>
      <c r="B96" s="15" t="s">
        <v>714</v>
      </c>
      <c r="C96" s="15" t="s">
        <v>656</v>
      </c>
      <c r="D96" s="15" t="s">
        <v>89</v>
      </c>
      <c r="E96" s="15" t="s">
        <v>258</v>
      </c>
      <c r="F96" s="15"/>
      <c r="G96" s="15" t="s">
        <v>715</v>
      </c>
      <c r="H96" s="15"/>
      <c r="I96" s="15" t="s">
        <v>126</v>
      </c>
      <c r="J96" s="3" t="s">
        <v>716</v>
      </c>
      <c r="K96" s="15" t="n">
        <f aca="false">LEN(J96)</f>
        <v>59</v>
      </c>
      <c r="L96" s="3" t="s">
        <v>717</v>
      </c>
      <c r="M96" s="15" t="n">
        <f aca="false">LEN(L96)</f>
        <v>126</v>
      </c>
      <c r="N96" s="3" t="s">
        <v>718</v>
      </c>
      <c r="O96" s="15" t="s">
        <v>719</v>
      </c>
      <c r="P96" s="16" t="n">
        <v>1200</v>
      </c>
      <c r="Q96" s="15" t="s">
        <v>662</v>
      </c>
      <c r="R96" s="15"/>
      <c r="S96" s="15" t="n">
        <f aca="false">COUNTIF('Page-Keyword Map'!$A$2:$A$668,B96)</f>
        <v>1</v>
      </c>
      <c r="T96" s="16" t="n">
        <f aca="false">SUMIF('Page-Keyword Map'!$A$2:$A$668,B96,'Page-Keyword Map'!$H$2:$H$668)</f>
        <v>1200</v>
      </c>
      <c r="U96" s="15" t="n">
        <f aca="false">COUNTIFS('Page-Keyword Map'!$A$2:$A$668,B96,'Page-Keyword Map'!$E$2:$E$668,"Nationwide")</f>
        <v>0</v>
      </c>
      <c r="V96" s="15" t="n">
        <f aca="false">COUNTIFS('Page-Keyword Map'!$A$2:$A$668,B96,'Page-Keyword Map'!$E$2:$E$668,"Provincial")</f>
        <v>1</v>
      </c>
      <c r="W96" s="15" t="n">
        <f aca="false">COUNTIFS('Page-Keyword Map'!$A$2:$A$668,B96,'Page-Keyword Map'!$E$2:$E$668,"City")</f>
        <v>0</v>
      </c>
      <c r="X96" s="15" t="str">
        <f aca="false">IF(O96="","",IF(ISNUMBER(SEARCH(O96,J96)),"Yes","No"))</f>
        <v>No</v>
      </c>
      <c r="Y96" s="15" t="n">
        <v>0.7</v>
      </c>
      <c r="Z96" s="15" t="s">
        <v>663</v>
      </c>
      <c r="AA96" s="15" t="s">
        <v>131</v>
      </c>
      <c r="AB96" s="17"/>
      <c r="AC96" s="17"/>
    </row>
    <row r="97" customFormat="false" ht="23.85" hidden="false" customHeight="false" outlineLevel="0" collapsed="false">
      <c r="A97" s="15" t="s">
        <v>720</v>
      </c>
      <c r="B97" s="15" t="s">
        <v>721</v>
      </c>
      <c r="C97" s="15" t="s">
        <v>656</v>
      </c>
      <c r="D97" s="15" t="s">
        <v>89</v>
      </c>
      <c r="E97" s="15" t="s">
        <v>258</v>
      </c>
      <c r="F97" s="15"/>
      <c r="G97" s="15" t="s">
        <v>722</v>
      </c>
      <c r="H97" s="15"/>
      <c r="I97" s="15" t="s">
        <v>126</v>
      </c>
      <c r="J97" s="3" t="s">
        <v>723</v>
      </c>
      <c r="K97" s="15" t="n">
        <f aca="false">LEN(J97)</f>
        <v>72</v>
      </c>
      <c r="L97" s="3" t="s">
        <v>724</v>
      </c>
      <c r="M97" s="15" t="n">
        <f aca="false">LEN(L97)</f>
        <v>163</v>
      </c>
      <c r="N97" s="3" t="s">
        <v>725</v>
      </c>
      <c r="O97" s="15"/>
      <c r="P97" s="16"/>
      <c r="Q97" s="15"/>
      <c r="R97" s="15" t="s">
        <v>726</v>
      </c>
      <c r="S97" s="15" t="n">
        <f aca="false">COUNTIF('Page-Keyword Map'!$A$2:$A$668,B97)</f>
        <v>0</v>
      </c>
      <c r="T97" s="16" t="n">
        <f aca="false">SUMIF('Page-Keyword Map'!$A$2:$A$668,B97,'Page-Keyword Map'!$H$2:$H$668)</f>
        <v>0</v>
      </c>
      <c r="U97" s="15" t="n">
        <f aca="false">COUNTIFS('Page-Keyword Map'!$A$2:$A$668,B97,'Page-Keyword Map'!$E$2:$E$668,"Nationwide")</f>
        <v>0</v>
      </c>
      <c r="V97" s="15" t="n">
        <f aca="false">COUNTIFS('Page-Keyword Map'!$A$2:$A$668,B97,'Page-Keyword Map'!$E$2:$E$668,"Provincial")</f>
        <v>0</v>
      </c>
      <c r="W97" s="15" t="n">
        <f aca="false">COUNTIFS('Page-Keyword Map'!$A$2:$A$668,B97,'Page-Keyword Map'!$E$2:$E$668,"City")</f>
        <v>0</v>
      </c>
      <c r="X97" s="15" t="str">
        <f aca="false">IF(O97="","",IF(ISNUMBER(SEARCH(O97,J97)),"Yes","No"))</f>
        <v/>
      </c>
      <c r="Y97" s="15" t="n">
        <v>0.7</v>
      </c>
      <c r="Z97" s="15" t="s">
        <v>663</v>
      </c>
      <c r="AA97" s="15" t="s">
        <v>131</v>
      </c>
      <c r="AB97" s="17"/>
      <c r="AC97" s="17"/>
    </row>
    <row r="98" customFormat="false" ht="23.85" hidden="false" customHeight="false" outlineLevel="0" collapsed="false">
      <c r="A98" s="15" t="s">
        <v>727</v>
      </c>
      <c r="B98" s="15" t="s">
        <v>728</v>
      </c>
      <c r="C98" s="15" t="s">
        <v>656</v>
      </c>
      <c r="D98" s="15" t="s">
        <v>89</v>
      </c>
      <c r="E98" s="15" t="s">
        <v>258</v>
      </c>
      <c r="F98" s="15"/>
      <c r="G98" s="15" t="s">
        <v>729</v>
      </c>
      <c r="H98" s="15"/>
      <c r="I98" s="15" t="s">
        <v>126</v>
      </c>
      <c r="J98" s="3" t="s">
        <v>730</v>
      </c>
      <c r="K98" s="15" t="n">
        <f aca="false">LEN(J98)</f>
        <v>58</v>
      </c>
      <c r="L98" s="3" t="s">
        <v>731</v>
      </c>
      <c r="M98" s="15" t="n">
        <f aca="false">LEN(L98)</f>
        <v>136</v>
      </c>
      <c r="N98" s="3" t="s">
        <v>732</v>
      </c>
      <c r="O98" s="15" t="s">
        <v>733</v>
      </c>
      <c r="P98" s="16" t="n">
        <v>210</v>
      </c>
      <c r="Q98" s="15" t="s">
        <v>662</v>
      </c>
      <c r="R98" s="15"/>
      <c r="S98" s="15" t="n">
        <f aca="false">COUNTIF('Page-Keyword Map'!$A$2:$A$668,B98)</f>
        <v>1</v>
      </c>
      <c r="T98" s="16" t="n">
        <f aca="false">SUMIF('Page-Keyword Map'!$A$2:$A$668,B98,'Page-Keyword Map'!$H$2:$H$668)</f>
        <v>210</v>
      </c>
      <c r="U98" s="15" t="n">
        <f aca="false">COUNTIFS('Page-Keyword Map'!$A$2:$A$668,B98,'Page-Keyword Map'!$E$2:$E$668,"Nationwide")</f>
        <v>0</v>
      </c>
      <c r="V98" s="15" t="n">
        <f aca="false">COUNTIFS('Page-Keyword Map'!$A$2:$A$668,B98,'Page-Keyword Map'!$E$2:$E$668,"Provincial")</f>
        <v>1</v>
      </c>
      <c r="W98" s="15" t="n">
        <f aca="false">COUNTIFS('Page-Keyword Map'!$A$2:$A$668,B98,'Page-Keyword Map'!$E$2:$E$668,"City")</f>
        <v>0</v>
      </c>
      <c r="X98" s="15" t="str">
        <f aca="false">IF(O98="","",IF(ISNUMBER(SEARCH(O98,J98)),"Yes","No"))</f>
        <v>No</v>
      </c>
      <c r="Y98" s="15" t="n">
        <v>0.7</v>
      </c>
      <c r="Z98" s="15" t="s">
        <v>663</v>
      </c>
      <c r="AA98" s="15" t="s">
        <v>131</v>
      </c>
      <c r="AB98" s="17"/>
      <c r="AC98" s="17"/>
    </row>
    <row r="99" customFormat="false" ht="23.85" hidden="false" customHeight="false" outlineLevel="0" collapsed="false">
      <c r="A99" s="15" t="s">
        <v>734</v>
      </c>
      <c r="B99" s="15" t="s">
        <v>735</v>
      </c>
      <c r="C99" s="15" t="s">
        <v>656</v>
      </c>
      <c r="D99" s="15" t="s">
        <v>89</v>
      </c>
      <c r="E99" s="15" t="s">
        <v>258</v>
      </c>
      <c r="F99" s="15"/>
      <c r="G99" s="15" t="s">
        <v>736</v>
      </c>
      <c r="H99" s="15"/>
      <c r="I99" s="15" t="s">
        <v>126</v>
      </c>
      <c r="J99" s="3" t="s">
        <v>737</v>
      </c>
      <c r="K99" s="15" t="n">
        <f aca="false">LEN(J99)</f>
        <v>64</v>
      </c>
      <c r="L99" s="3" t="s">
        <v>738</v>
      </c>
      <c r="M99" s="15" t="n">
        <f aca="false">LEN(L99)</f>
        <v>136</v>
      </c>
      <c r="N99" s="3" t="s">
        <v>739</v>
      </c>
      <c r="O99" s="15" t="s">
        <v>740</v>
      </c>
      <c r="P99" s="16" t="n">
        <v>110</v>
      </c>
      <c r="Q99" s="15" t="s">
        <v>662</v>
      </c>
      <c r="R99" s="15"/>
      <c r="S99" s="15" t="n">
        <f aca="false">COUNTIF('Page-Keyword Map'!$A$2:$A$668,B99)</f>
        <v>1</v>
      </c>
      <c r="T99" s="16" t="n">
        <f aca="false">SUMIF('Page-Keyword Map'!$A$2:$A$668,B99,'Page-Keyword Map'!$H$2:$H$668)</f>
        <v>110</v>
      </c>
      <c r="U99" s="15" t="n">
        <f aca="false">COUNTIFS('Page-Keyword Map'!$A$2:$A$668,B99,'Page-Keyword Map'!$E$2:$E$668,"Nationwide")</f>
        <v>0</v>
      </c>
      <c r="V99" s="15" t="n">
        <f aca="false">COUNTIFS('Page-Keyword Map'!$A$2:$A$668,B99,'Page-Keyword Map'!$E$2:$E$668,"Provincial")</f>
        <v>1</v>
      </c>
      <c r="W99" s="15" t="n">
        <f aca="false">COUNTIFS('Page-Keyword Map'!$A$2:$A$668,B99,'Page-Keyword Map'!$E$2:$E$668,"City")</f>
        <v>0</v>
      </c>
      <c r="X99" s="15" t="str">
        <f aca="false">IF(O99="","",IF(ISNUMBER(SEARCH(O99,J99)),"Yes","No"))</f>
        <v>No</v>
      </c>
      <c r="Y99" s="15" t="n">
        <v>0.7</v>
      </c>
      <c r="Z99" s="15" t="s">
        <v>663</v>
      </c>
      <c r="AA99" s="15" t="s">
        <v>131</v>
      </c>
      <c r="AB99" s="17"/>
      <c r="AC99" s="17"/>
    </row>
    <row r="100" customFormat="false" ht="23.85" hidden="false" customHeight="false" outlineLevel="0" collapsed="false">
      <c r="A100" s="15" t="s">
        <v>741</v>
      </c>
      <c r="B100" s="15" t="s">
        <v>742</v>
      </c>
      <c r="C100" s="15" t="s">
        <v>656</v>
      </c>
      <c r="D100" s="15" t="s">
        <v>89</v>
      </c>
      <c r="E100" s="15" t="s">
        <v>258</v>
      </c>
      <c r="F100" s="15"/>
      <c r="G100" s="15" t="s">
        <v>743</v>
      </c>
      <c r="H100" s="15"/>
      <c r="I100" s="15" t="s">
        <v>126</v>
      </c>
      <c r="J100" s="3" t="s">
        <v>744</v>
      </c>
      <c r="K100" s="15" t="n">
        <f aca="false">LEN(J100)</f>
        <v>57</v>
      </c>
      <c r="L100" s="3" t="s">
        <v>745</v>
      </c>
      <c r="M100" s="15" t="n">
        <f aca="false">LEN(L100)</f>
        <v>155</v>
      </c>
      <c r="N100" s="3" t="s">
        <v>746</v>
      </c>
      <c r="O100" s="15"/>
      <c r="P100" s="16"/>
      <c r="Q100" s="15"/>
      <c r="R100" s="15" t="s">
        <v>747</v>
      </c>
      <c r="S100" s="15" t="n">
        <f aca="false">COUNTIF('Page-Keyword Map'!$A$2:$A$668,B100)</f>
        <v>0</v>
      </c>
      <c r="T100" s="16" t="n">
        <f aca="false">SUMIF('Page-Keyword Map'!$A$2:$A$668,B100,'Page-Keyword Map'!$H$2:$H$668)</f>
        <v>0</v>
      </c>
      <c r="U100" s="15" t="n">
        <f aca="false">COUNTIFS('Page-Keyword Map'!$A$2:$A$668,B100,'Page-Keyword Map'!$E$2:$E$668,"Nationwide")</f>
        <v>0</v>
      </c>
      <c r="V100" s="15" t="n">
        <f aca="false">COUNTIFS('Page-Keyword Map'!$A$2:$A$668,B100,'Page-Keyword Map'!$E$2:$E$668,"Provincial")</f>
        <v>0</v>
      </c>
      <c r="W100" s="15" t="n">
        <f aca="false">COUNTIFS('Page-Keyword Map'!$A$2:$A$668,B100,'Page-Keyword Map'!$E$2:$E$668,"City")</f>
        <v>0</v>
      </c>
      <c r="X100" s="15" t="str">
        <f aca="false">IF(O100="","",IF(ISNUMBER(SEARCH(O100,J100)),"Yes","No"))</f>
        <v/>
      </c>
      <c r="Y100" s="15" t="n">
        <v>0.7</v>
      </c>
      <c r="Z100" s="15" t="s">
        <v>663</v>
      </c>
      <c r="AA100" s="15" t="s">
        <v>131</v>
      </c>
      <c r="AB100" s="17"/>
      <c r="AC100" s="17"/>
    </row>
    <row r="101" customFormat="false" ht="23.85" hidden="false" customHeight="false" outlineLevel="0" collapsed="false">
      <c r="A101" s="15" t="s">
        <v>748</v>
      </c>
      <c r="B101" s="15" t="s">
        <v>749</v>
      </c>
      <c r="C101" s="15" t="s">
        <v>656</v>
      </c>
      <c r="D101" s="15" t="s">
        <v>82</v>
      </c>
      <c r="E101" s="15" t="s">
        <v>265</v>
      </c>
      <c r="F101" s="15"/>
      <c r="G101" s="15" t="s">
        <v>657</v>
      </c>
      <c r="H101" s="15"/>
      <c r="I101" s="15" t="s">
        <v>126</v>
      </c>
      <c r="J101" s="3" t="s">
        <v>750</v>
      </c>
      <c r="K101" s="15" t="n">
        <f aca="false">LEN(J101)</f>
        <v>54</v>
      </c>
      <c r="L101" s="3" t="s">
        <v>751</v>
      </c>
      <c r="M101" s="15" t="n">
        <f aca="false">LEN(L101)</f>
        <v>148</v>
      </c>
      <c r="N101" s="3" t="s">
        <v>752</v>
      </c>
      <c r="O101" s="15" t="s">
        <v>753</v>
      </c>
      <c r="P101" s="16" t="n">
        <v>4500</v>
      </c>
      <c r="Q101" s="15" t="s">
        <v>662</v>
      </c>
      <c r="R101" s="15"/>
      <c r="S101" s="15" t="n">
        <f aca="false">COUNTIF('Page-Keyword Map'!$A$2:$A$668,B101)</f>
        <v>1</v>
      </c>
      <c r="T101" s="16" t="n">
        <f aca="false">SUMIF('Page-Keyword Map'!$A$2:$A$668,B101,'Page-Keyword Map'!$H$2:$H$668)</f>
        <v>4500</v>
      </c>
      <c r="U101" s="15" t="n">
        <f aca="false">COUNTIFS('Page-Keyword Map'!$A$2:$A$668,B101,'Page-Keyword Map'!$E$2:$E$668,"Nationwide")</f>
        <v>0</v>
      </c>
      <c r="V101" s="15" t="n">
        <f aca="false">COUNTIFS('Page-Keyword Map'!$A$2:$A$668,B101,'Page-Keyword Map'!$E$2:$E$668,"Provincial")</f>
        <v>1</v>
      </c>
      <c r="W101" s="15" t="n">
        <f aca="false">COUNTIFS('Page-Keyword Map'!$A$2:$A$668,B101,'Page-Keyword Map'!$E$2:$E$668,"City")</f>
        <v>0</v>
      </c>
      <c r="X101" s="15" t="str">
        <f aca="false">IF(O101="","",IF(ISNUMBER(SEARCH(O101,J101)),"Yes","No"))</f>
        <v>No</v>
      </c>
      <c r="Y101" s="15" t="n">
        <v>0.7</v>
      </c>
      <c r="Z101" s="15" t="s">
        <v>663</v>
      </c>
      <c r="AA101" s="15" t="s">
        <v>131</v>
      </c>
      <c r="AB101" s="17"/>
      <c r="AC101" s="17"/>
    </row>
    <row r="102" customFormat="false" ht="23.85" hidden="false" customHeight="false" outlineLevel="0" collapsed="false">
      <c r="A102" s="15" t="s">
        <v>754</v>
      </c>
      <c r="B102" s="15" t="s">
        <v>755</v>
      </c>
      <c r="C102" s="15" t="s">
        <v>656</v>
      </c>
      <c r="D102" s="15" t="s">
        <v>82</v>
      </c>
      <c r="E102" s="15" t="s">
        <v>265</v>
      </c>
      <c r="F102" s="15"/>
      <c r="G102" s="15" t="s">
        <v>666</v>
      </c>
      <c r="H102" s="15"/>
      <c r="I102" s="15" t="s">
        <v>126</v>
      </c>
      <c r="J102" s="3" t="s">
        <v>756</v>
      </c>
      <c r="K102" s="15" t="n">
        <f aca="false">LEN(J102)</f>
        <v>63</v>
      </c>
      <c r="L102" s="3" t="s">
        <v>757</v>
      </c>
      <c r="M102" s="15" t="n">
        <f aca="false">LEN(L102)</f>
        <v>140</v>
      </c>
      <c r="N102" s="3" t="s">
        <v>758</v>
      </c>
      <c r="O102" s="15" t="s">
        <v>759</v>
      </c>
      <c r="P102" s="16" t="n">
        <v>2200</v>
      </c>
      <c r="Q102" s="15" t="s">
        <v>662</v>
      </c>
      <c r="R102" s="15"/>
      <c r="S102" s="15" t="n">
        <f aca="false">COUNTIF('Page-Keyword Map'!$A$2:$A$668,B102)</f>
        <v>1</v>
      </c>
      <c r="T102" s="16" t="n">
        <f aca="false">SUMIF('Page-Keyword Map'!$A$2:$A$668,B102,'Page-Keyword Map'!$H$2:$H$668)</f>
        <v>2200</v>
      </c>
      <c r="U102" s="15" t="n">
        <f aca="false">COUNTIFS('Page-Keyword Map'!$A$2:$A$668,B102,'Page-Keyword Map'!$E$2:$E$668,"Nationwide")</f>
        <v>0</v>
      </c>
      <c r="V102" s="15" t="n">
        <f aca="false">COUNTIFS('Page-Keyword Map'!$A$2:$A$668,B102,'Page-Keyword Map'!$E$2:$E$668,"Provincial")</f>
        <v>1</v>
      </c>
      <c r="W102" s="15" t="n">
        <f aca="false">COUNTIFS('Page-Keyword Map'!$A$2:$A$668,B102,'Page-Keyword Map'!$E$2:$E$668,"City")</f>
        <v>0</v>
      </c>
      <c r="X102" s="15" t="str">
        <f aca="false">IF(O102="","",IF(ISNUMBER(SEARCH(O102,J102)),"Yes","No"))</f>
        <v>No</v>
      </c>
      <c r="Y102" s="15" t="n">
        <v>0.7</v>
      </c>
      <c r="Z102" s="15" t="s">
        <v>663</v>
      </c>
      <c r="AA102" s="15" t="s">
        <v>131</v>
      </c>
      <c r="AB102" s="17"/>
      <c r="AC102" s="17"/>
    </row>
    <row r="103" customFormat="false" ht="23.85" hidden="false" customHeight="false" outlineLevel="0" collapsed="false">
      <c r="A103" s="15" t="s">
        <v>760</v>
      </c>
      <c r="B103" s="15" t="s">
        <v>761</v>
      </c>
      <c r="C103" s="15" t="s">
        <v>656</v>
      </c>
      <c r="D103" s="15" t="s">
        <v>82</v>
      </c>
      <c r="E103" s="15" t="s">
        <v>265</v>
      </c>
      <c r="F103" s="15"/>
      <c r="G103" s="15" t="s">
        <v>673</v>
      </c>
      <c r="H103" s="15"/>
      <c r="I103" s="15" t="s">
        <v>126</v>
      </c>
      <c r="J103" s="3" t="s">
        <v>762</v>
      </c>
      <c r="K103" s="15" t="n">
        <f aca="false">LEN(J103)</f>
        <v>55</v>
      </c>
      <c r="L103" s="3" t="s">
        <v>763</v>
      </c>
      <c r="M103" s="15" t="n">
        <f aca="false">LEN(L103)</f>
        <v>123</v>
      </c>
      <c r="N103" s="3" t="s">
        <v>764</v>
      </c>
      <c r="O103" s="15" t="s">
        <v>765</v>
      </c>
      <c r="P103" s="16" t="n">
        <v>660</v>
      </c>
      <c r="Q103" s="15" t="s">
        <v>662</v>
      </c>
      <c r="R103" s="15"/>
      <c r="S103" s="15" t="n">
        <f aca="false">COUNTIF('Page-Keyword Map'!$A$2:$A$668,B103)</f>
        <v>1</v>
      </c>
      <c r="T103" s="16" t="n">
        <f aca="false">SUMIF('Page-Keyword Map'!$A$2:$A$668,B103,'Page-Keyword Map'!$H$2:$H$668)</f>
        <v>660</v>
      </c>
      <c r="U103" s="15" t="n">
        <f aca="false">COUNTIFS('Page-Keyword Map'!$A$2:$A$668,B103,'Page-Keyword Map'!$E$2:$E$668,"Nationwide")</f>
        <v>0</v>
      </c>
      <c r="V103" s="15" t="n">
        <f aca="false">COUNTIFS('Page-Keyword Map'!$A$2:$A$668,B103,'Page-Keyword Map'!$E$2:$E$668,"Provincial")</f>
        <v>1</v>
      </c>
      <c r="W103" s="15" t="n">
        <f aca="false">COUNTIFS('Page-Keyword Map'!$A$2:$A$668,B103,'Page-Keyword Map'!$E$2:$E$668,"City")</f>
        <v>0</v>
      </c>
      <c r="X103" s="15" t="str">
        <f aca="false">IF(O103="","",IF(ISNUMBER(SEARCH(O103,J103)),"Yes","No"))</f>
        <v>No</v>
      </c>
      <c r="Y103" s="15" t="n">
        <v>0.7</v>
      </c>
      <c r="Z103" s="15" t="s">
        <v>663</v>
      </c>
      <c r="AA103" s="15" t="s">
        <v>131</v>
      </c>
      <c r="AB103" s="17"/>
      <c r="AC103" s="17"/>
    </row>
    <row r="104" customFormat="false" ht="23.85" hidden="false" customHeight="false" outlineLevel="0" collapsed="false">
      <c r="A104" s="15" t="s">
        <v>766</v>
      </c>
      <c r="B104" s="15" t="s">
        <v>767</v>
      </c>
      <c r="C104" s="15" t="s">
        <v>656</v>
      </c>
      <c r="D104" s="15" t="s">
        <v>82</v>
      </c>
      <c r="E104" s="15" t="s">
        <v>265</v>
      </c>
      <c r="F104" s="15"/>
      <c r="G104" s="15" t="s">
        <v>680</v>
      </c>
      <c r="H104" s="15"/>
      <c r="I104" s="15" t="s">
        <v>126</v>
      </c>
      <c r="J104" s="3" t="s">
        <v>768</v>
      </c>
      <c r="K104" s="15" t="n">
        <f aca="false">LEN(J104)</f>
        <v>60</v>
      </c>
      <c r="L104" s="3" t="s">
        <v>769</v>
      </c>
      <c r="M104" s="15" t="n">
        <f aca="false">LEN(L104)</f>
        <v>133</v>
      </c>
      <c r="N104" s="3" t="s">
        <v>770</v>
      </c>
      <c r="O104" s="15" t="s">
        <v>771</v>
      </c>
      <c r="P104" s="16" t="n">
        <v>810</v>
      </c>
      <c r="Q104" s="15" t="s">
        <v>662</v>
      </c>
      <c r="R104" s="15"/>
      <c r="S104" s="15" t="n">
        <f aca="false">COUNTIF('Page-Keyword Map'!$A$2:$A$668,B104)</f>
        <v>1</v>
      </c>
      <c r="T104" s="16" t="n">
        <f aca="false">SUMIF('Page-Keyword Map'!$A$2:$A$668,B104,'Page-Keyword Map'!$H$2:$H$668)</f>
        <v>810</v>
      </c>
      <c r="U104" s="15" t="n">
        <f aca="false">COUNTIFS('Page-Keyword Map'!$A$2:$A$668,B104,'Page-Keyword Map'!$E$2:$E$668,"Nationwide")</f>
        <v>0</v>
      </c>
      <c r="V104" s="15" t="n">
        <f aca="false">COUNTIFS('Page-Keyword Map'!$A$2:$A$668,B104,'Page-Keyword Map'!$E$2:$E$668,"Provincial")</f>
        <v>1</v>
      </c>
      <c r="W104" s="15" t="n">
        <f aca="false">COUNTIFS('Page-Keyword Map'!$A$2:$A$668,B104,'Page-Keyword Map'!$E$2:$E$668,"City")</f>
        <v>0</v>
      </c>
      <c r="X104" s="15" t="str">
        <f aca="false">IF(O104="","",IF(ISNUMBER(SEARCH(O104,J104)),"Yes","No"))</f>
        <v>No</v>
      </c>
      <c r="Y104" s="15" t="n">
        <v>0.7</v>
      </c>
      <c r="Z104" s="15" t="s">
        <v>663</v>
      </c>
      <c r="AA104" s="15" t="s">
        <v>131</v>
      </c>
      <c r="AB104" s="17"/>
      <c r="AC104" s="17"/>
    </row>
    <row r="105" customFormat="false" ht="23.85" hidden="false" customHeight="false" outlineLevel="0" collapsed="false">
      <c r="A105" s="15" t="s">
        <v>772</v>
      </c>
      <c r="B105" s="15" t="s">
        <v>773</v>
      </c>
      <c r="C105" s="15" t="s">
        <v>656</v>
      </c>
      <c r="D105" s="15" t="s">
        <v>82</v>
      </c>
      <c r="E105" s="15" t="s">
        <v>265</v>
      </c>
      <c r="F105" s="15"/>
      <c r="G105" s="15" t="s">
        <v>687</v>
      </c>
      <c r="H105" s="15"/>
      <c r="I105" s="15" t="s">
        <v>126</v>
      </c>
      <c r="J105" s="3" t="s">
        <v>774</v>
      </c>
      <c r="K105" s="15" t="n">
        <f aca="false">LEN(J105)</f>
        <v>72</v>
      </c>
      <c r="L105" s="3" t="s">
        <v>775</v>
      </c>
      <c r="M105" s="15" t="n">
        <f aca="false">LEN(L105)</f>
        <v>163</v>
      </c>
      <c r="N105" s="3" t="s">
        <v>776</v>
      </c>
      <c r="O105" s="15" t="s">
        <v>777</v>
      </c>
      <c r="P105" s="16" t="n">
        <v>560</v>
      </c>
      <c r="Q105" s="15" t="s">
        <v>662</v>
      </c>
      <c r="R105" s="15"/>
      <c r="S105" s="15" t="n">
        <f aca="false">COUNTIF('Page-Keyword Map'!$A$2:$A$668,B105)</f>
        <v>1</v>
      </c>
      <c r="T105" s="16" t="n">
        <f aca="false">SUMIF('Page-Keyword Map'!$A$2:$A$668,B105,'Page-Keyword Map'!$H$2:$H$668)</f>
        <v>560</v>
      </c>
      <c r="U105" s="15" t="n">
        <f aca="false">COUNTIFS('Page-Keyword Map'!$A$2:$A$668,B105,'Page-Keyword Map'!$E$2:$E$668,"Nationwide")</f>
        <v>0</v>
      </c>
      <c r="V105" s="15" t="n">
        <f aca="false">COUNTIFS('Page-Keyword Map'!$A$2:$A$668,B105,'Page-Keyword Map'!$E$2:$E$668,"Provincial")</f>
        <v>1</v>
      </c>
      <c r="W105" s="15" t="n">
        <f aca="false">COUNTIFS('Page-Keyword Map'!$A$2:$A$668,B105,'Page-Keyword Map'!$E$2:$E$668,"City")</f>
        <v>0</v>
      </c>
      <c r="X105" s="15" t="str">
        <f aca="false">IF(O105="","",IF(ISNUMBER(SEARCH(O105,J105)),"Yes","No"))</f>
        <v>No</v>
      </c>
      <c r="Y105" s="15" t="n">
        <v>0.7</v>
      </c>
      <c r="Z105" s="15" t="s">
        <v>663</v>
      </c>
      <c r="AA105" s="15" t="s">
        <v>131</v>
      </c>
      <c r="AB105" s="17"/>
      <c r="AC105" s="17"/>
    </row>
    <row r="106" customFormat="false" ht="23.85" hidden="false" customHeight="false" outlineLevel="0" collapsed="false">
      <c r="A106" s="15" t="s">
        <v>778</v>
      </c>
      <c r="B106" s="15" t="s">
        <v>779</v>
      </c>
      <c r="C106" s="15" t="s">
        <v>656</v>
      </c>
      <c r="D106" s="15" t="s">
        <v>82</v>
      </c>
      <c r="E106" s="15" t="s">
        <v>265</v>
      </c>
      <c r="F106" s="15"/>
      <c r="G106" s="15" t="s">
        <v>694</v>
      </c>
      <c r="H106" s="15"/>
      <c r="I106" s="15" t="s">
        <v>211</v>
      </c>
      <c r="J106" s="3" t="s">
        <v>780</v>
      </c>
      <c r="K106" s="15" t="n">
        <f aca="false">LEN(J106)</f>
        <v>68</v>
      </c>
      <c r="L106" s="3" t="s">
        <v>781</v>
      </c>
      <c r="M106" s="15" t="n">
        <f aca="false">LEN(L106)</f>
        <v>158</v>
      </c>
      <c r="N106" s="3" t="s">
        <v>782</v>
      </c>
      <c r="O106" s="15"/>
      <c r="P106" s="16"/>
      <c r="Q106" s="15"/>
      <c r="R106" s="15" t="s">
        <v>783</v>
      </c>
      <c r="S106" s="15" t="n">
        <f aca="false">COUNTIF('Page-Keyword Map'!$A$2:$A$668,B106)</f>
        <v>0</v>
      </c>
      <c r="T106" s="16" t="n">
        <f aca="false">SUMIF('Page-Keyword Map'!$A$2:$A$668,B106,'Page-Keyword Map'!$H$2:$H$668)</f>
        <v>0</v>
      </c>
      <c r="U106" s="15" t="n">
        <f aca="false">COUNTIFS('Page-Keyword Map'!$A$2:$A$668,B106,'Page-Keyword Map'!$E$2:$E$668,"Nationwide")</f>
        <v>0</v>
      </c>
      <c r="V106" s="15" t="n">
        <f aca="false">COUNTIFS('Page-Keyword Map'!$A$2:$A$668,B106,'Page-Keyword Map'!$E$2:$E$668,"Provincial")</f>
        <v>0</v>
      </c>
      <c r="W106" s="15" t="n">
        <f aca="false">COUNTIFS('Page-Keyword Map'!$A$2:$A$668,B106,'Page-Keyword Map'!$E$2:$E$668,"City")</f>
        <v>0</v>
      </c>
      <c r="X106" s="15" t="str">
        <f aca="false">IF(O106="","",IF(ISNUMBER(SEARCH(O106,J106)),"Yes","No"))</f>
        <v/>
      </c>
      <c r="Y106" s="15" t="n">
        <v>0.7</v>
      </c>
      <c r="Z106" s="15" t="s">
        <v>216</v>
      </c>
      <c r="AA106" s="15" t="s">
        <v>217</v>
      </c>
      <c r="AB106" s="17"/>
      <c r="AC106" s="17"/>
    </row>
    <row r="107" customFormat="false" ht="23.85" hidden="false" customHeight="false" outlineLevel="0" collapsed="false">
      <c r="A107" s="15" t="s">
        <v>784</v>
      </c>
      <c r="B107" s="15" t="s">
        <v>785</v>
      </c>
      <c r="C107" s="15" t="s">
        <v>656</v>
      </c>
      <c r="D107" s="15" t="s">
        <v>82</v>
      </c>
      <c r="E107" s="15" t="s">
        <v>265</v>
      </c>
      <c r="F107" s="15"/>
      <c r="G107" s="15" t="s">
        <v>701</v>
      </c>
      <c r="H107" s="15"/>
      <c r="I107" s="15" t="s">
        <v>126</v>
      </c>
      <c r="J107" s="3" t="s">
        <v>786</v>
      </c>
      <c r="K107" s="15" t="n">
        <f aca="false">LEN(J107)</f>
        <v>58</v>
      </c>
      <c r="L107" s="3" t="s">
        <v>787</v>
      </c>
      <c r="M107" s="15" t="n">
        <f aca="false">LEN(L107)</f>
        <v>159</v>
      </c>
      <c r="N107" s="3" t="s">
        <v>788</v>
      </c>
      <c r="O107" s="15" t="s">
        <v>789</v>
      </c>
      <c r="P107" s="16" t="n">
        <v>990</v>
      </c>
      <c r="Q107" s="15" t="s">
        <v>662</v>
      </c>
      <c r="R107" s="15"/>
      <c r="S107" s="15" t="n">
        <f aca="false">COUNTIF('Page-Keyword Map'!$A$2:$A$668,B107)</f>
        <v>1</v>
      </c>
      <c r="T107" s="16" t="n">
        <f aca="false">SUMIF('Page-Keyword Map'!$A$2:$A$668,B107,'Page-Keyword Map'!$H$2:$H$668)</f>
        <v>990</v>
      </c>
      <c r="U107" s="15" t="n">
        <f aca="false">COUNTIFS('Page-Keyword Map'!$A$2:$A$668,B107,'Page-Keyword Map'!$E$2:$E$668,"Nationwide")</f>
        <v>0</v>
      </c>
      <c r="V107" s="15" t="n">
        <f aca="false">COUNTIFS('Page-Keyword Map'!$A$2:$A$668,B107,'Page-Keyword Map'!$E$2:$E$668,"Provincial")</f>
        <v>1</v>
      </c>
      <c r="W107" s="15" t="n">
        <f aca="false">COUNTIFS('Page-Keyword Map'!$A$2:$A$668,B107,'Page-Keyword Map'!$E$2:$E$668,"City")</f>
        <v>0</v>
      </c>
      <c r="X107" s="15" t="str">
        <f aca="false">IF(O107="","",IF(ISNUMBER(SEARCH(O107,J107)),"Yes","No"))</f>
        <v>No</v>
      </c>
      <c r="Y107" s="15" t="n">
        <v>0.7</v>
      </c>
      <c r="Z107" s="15" t="s">
        <v>663</v>
      </c>
      <c r="AA107" s="15" t="s">
        <v>131</v>
      </c>
      <c r="AB107" s="17"/>
      <c r="AC107" s="17"/>
    </row>
    <row r="108" customFormat="false" ht="23.85" hidden="false" customHeight="false" outlineLevel="0" collapsed="false">
      <c r="A108" s="15" t="s">
        <v>790</v>
      </c>
      <c r="B108" s="15" t="s">
        <v>791</v>
      </c>
      <c r="C108" s="15" t="s">
        <v>656</v>
      </c>
      <c r="D108" s="15" t="s">
        <v>82</v>
      </c>
      <c r="E108" s="15" t="s">
        <v>265</v>
      </c>
      <c r="F108" s="15"/>
      <c r="G108" s="15" t="s">
        <v>708</v>
      </c>
      <c r="H108" s="15"/>
      <c r="I108" s="15" t="s">
        <v>211</v>
      </c>
      <c r="J108" s="3" t="s">
        <v>792</v>
      </c>
      <c r="K108" s="15" t="n">
        <f aca="false">LEN(J108)</f>
        <v>54</v>
      </c>
      <c r="L108" s="3" t="s">
        <v>793</v>
      </c>
      <c r="M108" s="15" t="n">
        <f aca="false">LEN(L108)</f>
        <v>156</v>
      </c>
      <c r="N108" s="3" t="s">
        <v>794</v>
      </c>
      <c r="O108" s="15"/>
      <c r="P108" s="16"/>
      <c r="Q108" s="15"/>
      <c r="R108" s="15" t="s">
        <v>795</v>
      </c>
      <c r="S108" s="15" t="n">
        <f aca="false">COUNTIF('Page-Keyword Map'!$A$2:$A$668,B108)</f>
        <v>0</v>
      </c>
      <c r="T108" s="16" t="n">
        <f aca="false">SUMIF('Page-Keyword Map'!$A$2:$A$668,B108,'Page-Keyword Map'!$H$2:$H$668)</f>
        <v>0</v>
      </c>
      <c r="U108" s="15" t="n">
        <f aca="false">COUNTIFS('Page-Keyword Map'!$A$2:$A$668,B108,'Page-Keyword Map'!$E$2:$E$668,"Nationwide")</f>
        <v>0</v>
      </c>
      <c r="V108" s="15" t="n">
        <f aca="false">COUNTIFS('Page-Keyword Map'!$A$2:$A$668,B108,'Page-Keyword Map'!$E$2:$E$668,"Provincial")</f>
        <v>0</v>
      </c>
      <c r="W108" s="15" t="n">
        <f aca="false">COUNTIFS('Page-Keyword Map'!$A$2:$A$668,B108,'Page-Keyword Map'!$E$2:$E$668,"City")</f>
        <v>0</v>
      </c>
      <c r="X108" s="15" t="str">
        <f aca="false">IF(O108="","",IF(ISNUMBER(SEARCH(O108,J108)),"Yes","No"))</f>
        <v/>
      </c>
      <c r="Y108" s="15" t="n">
        <v>0.7</v>
      </c>
      <c r="Z108" s="15" t="s">
        <v>216</v>
      </c>
      <c r="AA108" s="15" t="s">
        <v>217</v>
      </c>
      <c r="AB108" s="17"/>
      <c r="AC108" s="17"/>
    </row>
    <row r="109" customFormat="false" ht="23.85" hidden="false" customHeight="false" outlineLevel="0" collapsed="false">
      <c r="A109" s="15" t="s">
        <v>796</v>
      </c>
      <c r="B109" s="15" t="s">
        <v>797</v>
      </c>
      <c r="C109" s="15" t="s">
        <v>656</v>
      </c>
      <c r="D109" s="15" t="s">
        <v>82</v>
      </c>
      <c r="E109" s="15" t="s">
        <v>265</v>
      </c>
      <c r="F109" s="15"/>
      <c r="G109" s="15" t="s">
        <v>715</v>
      </c>
      <c r="H109" s="15"/>
      <c r="I109" s="15" t="s">
        <v>126</v>
      </c>
      <c r="J109" s="3" t="s">
        <v>798</v>
      </c>
      <c r="K109" s="15" t="n">
        <f aca="false">LEN(J109)</f>
        <v>54</v>
      </c>
      <c r="L109" s="3" t="s">
        <v>799</v>
      </c>
      <c r="M109" s="15" t="n">
        <f aca="false">LEN(L109)</f>
        <v>121</v>
      </c>
      <c r="N109" s="3" t="s">
        <v>800</v>
      </c>
      <c r="O109" s="15" t="s">
        <v>801</v>
      </c>
      <c r="P109" s="16" t="n">
        <v>12000</v>
      </c>
      <c r="Q109" s="15" t="s">
        <v>662</v>
      </c>
      <c r="R109" s="15"/>
      <c r="S109" s="15" t="n">
        <f aca="false">COUNTIF('Page-Keyword Map'!$A$2:$A$668,B109)</f>
        <v>1</v>
      </c>
      <c r="T109" s="16" t="n">
        <f aca="false">SUMIF('Page-Keyword Map'!$A$2:$A$668,B109,'Page-Keyword Map'!$H$2:$H$668)</f>
        <v>12000</v>
      </c>
      <c r="U109" s="15" t="n">
        <f aca="false">COUNTIFS('Page-Keyword Map'!$A$2:$A$668,B109,'Page-Keyword Map'!$E$2:$E$668,"Nationwide")</f>
        <v>0</v>
      </c>
      <c r="V109" s="15" t="n">
        <f aca="false">COUNTIFS('Page-Keyword Map'!$A$2:$A$668,B109,'Page-Keyword Map'!$E$2:$E$668,"Provincial")</f>
        <v>1</v>
      </c>
      <c r="W109" s="15" t="n">
        <f aca="false">COUNTIFS('Page-Keyword Map'!$A$2:$A$668,B109,'Page-Keyword Map'!$E$2:$E$668,"City")</f>
        <v>0</v>
      </c>
      <c r="X109" s="15" t="str">
        <f aca="false">IF(O109="","",IF(ISNUMBER(SEARCH(O109,J109)),"Yes","No"))</f>
        <v>No</v>
      </c>
      <c r="Y109" s="15" t="n">
        <v>0.7</v>
      </c>
      <c r="Z109" s="15" t="s">
        <v>663</v>
      </c>
      <c r="AA109" s="15" t="s">
        <v>131</v>
      </c>
      <c r="AB109" s="17"/>
      <c r="AC109" s="17"/>
    </row>
    <row r="110" customFormat="false" ht="23.85" hidden="false" customHeight="false" outlineLevel="0" collapsed="false">
      <c r="A110" s="15" t="s">
        <v>802</v>
      </c>
      <c r="B110" s="15" t="s">
        <v>803</v>
      </c>
      <c r="C110" s="15" t="s">
        <v>656</v>
      </c>
      <c r="D110" s="15" t="s">
        <v>82</v>
      </c>
      <c r="E110" s="15" t="s">
        <v>265</v>
      </c>
      <c r="F110" s="15"/>
      <c r="G110" s="15" t="s">
        <v>722</v>
      </c>
      <c r="H110" s="15"/>
      <c r="I110" s="15" t="s">
        <v>126</v>
      </c>
      <c r="J110" s="3" t="s">
        <v>804</v>
      </c>
      <c r="K110" s="15" t="n">
        <f aca="false">LEN(J110)</f>
        <v>67</v>
      </c>
      <c r="L110" s="3" t="s">
        <v>805</v>
      </c>
      <c r="M110" s="15" t="n">
        <f aca="false">LEN(L110)</f>
        <v>165</v>
      </c>
      <c r="N110" s="3" t="s">
        <v>806</v>
      </c>
      <c r="O110" s="15" t="s">
        <v>807</v>
      </c>
      <c r="P110" s="16" t="n">
        <v>190</v>
      </c>
      <c r="Q110" s="15" t="s">
        <v>662</v>
      </c>
      <c r="R110" s="15"/>
      <c r="S110" s="15" t="n">
        <f aca="false">COUNTIF('Page-Keyword Map'!$A$2:$A$668,B110)</f>
        <v>1</v>
      </c>
      <c r="T110" s="16" t="n">
        <f aca="false">SUMIF('Page-Keyword Map'!$A$2:$A$668,B110,'Page-Keyword Map'!$H$2:$H$668)</f>
        <v>190</v>
      </c>
      <c r="U110" s="15" t="n">
        <f aca="false">COUNTIFS('Page-Keyword Map'!$A$2:$A$668,B110,'Page-Keyword Map'!$E$2:$E$668,"Nationwide")</f>
        <v>0</v>
      </c>
      <c r="V110" s="15" t="n">
        <f aca="false">COUNTIFS('Page-Keyword Map'!$A$2:$A$668,B110,'Page-Keyword Map'!$E$2:$E$668,"Provincial")</f>
        <v>1</v>
      </c>
      <c r="W110" s="15" t="n">
        <f aca="false">COUNTIFS('Page-Keyword Map'!$A$2:$A$668,B110,'Page-Keyword Map'!$E$2:$E$668,"City")</f>
        <v>0</v>
      </c>
      <c r="X110" s="15" t="str">
        <f aca="false">IF(O110="","",IF(ISNUMBER(SEARCH(O110,J110)),"Yes","No"))</f>
        <v>No</v>
      </c>
      <c r="Y110" s="15" t="n">
        <v>0.7</v>
      </c>
      <c r="Z110" s="15" t="s">
        <v>663</v>
      </c>
      <c r="AA110" s="15" t="s">
        <v>131</v>
      </c>
      <c r="AB110" s="17"/>
      <c r="AC110" s="17"/>
    </row>
    <row r="111" customFormat="false" ht="23.85" hidden="false" customHeight="false" outlineLevel="0" collapsed="false">
      <c r="A111" s="15" t="s">
        <v>808</v>
      </c>
      <c r="B111" s="15" t="s">
        <v>809</v>
      </c>
      <c r="C111" s="15" t="s">
        <v>656</v>
      </c>
      <c r="D111" s="15" t="s">
        <v>82</v>
      </c>
      <c r="E111" s="15" t="s">
        <v>265</v>
      </c>
      <c r="F111" s="15"/>
      <c r="G111" s="15" t="s">
        <v>729</v>
      </c>
      <c r="H111" s="15"/>
      <c r="I111" s="15" t="s">
        <v>126</v>
      </c>
      <c r="J111" s="3" t="s">
        <v>810</v>
      </c>
      <c r="K111" s="15" t="n">
        <f aca="false">LEN(J111)</f>
        <v>53</v>
      </c>
      <c r="L111" s="3" t="s">
        <v>811</v>
      </c>
      <c r="M111" s="15" t="n">
        <f aca="false">LEN(L111)</f>
        <v>131</v>
      </c>
      <c r="N111" s="3" t="s">
        <v>812</v>
      </c>
      <c r="O111" s="15" t="s">
        <v>813</v>
      </c>
      <c r="P111" s="16" t="n">
        <v>2200</v>
      </c>
      <c r="Q111" s="15" t="s">
        <v>662</v>
      </c>
      <c r="R111" s="15"/>
      <c r="S111" s="15" t="n">
        <f aca="false">COUNTIF('Page-Keyword Map'!$A$2:$A$668,B111)</f>
        <v>1</v>
      </c>
      <c r="T111" s="16" t="n">
        <f aca="false">SUMIF('Page-Keyword Map'!$A$2:$A$668,B111,'Page-Keyword Map'!$H$2:$H$668)</f>
        <v>2200</v>
      </c>
      <c r="U111" s="15" t="n">
        <f aca="false">COUNTIFS('Page-Keyword Map'!$A$2:$A$668,B111,'Page-Keyword Map'!$E$2:$E$668,"Nationwide")</f>
        <v>0</v>
      </c>
      <c r="V111" s="15" t="n">
        <f aca="false">COUNTIFS('Page-Keyword Map'!$A$2:$A$668,B111,'Page-Keyword Map'!$E$2:$E$668,"Provincial")</f>
        <v>1</v>
      </c>
      <c r="W111" s="15" t="n">
        <f aca="false">COUNTIFS('Page-Keyword Map'!$A$2:$A$668,B111,'Page-Keyword Map'!$E$2:$E$668,"City")</f>
        <v>0</v>
      </c>
      <c r="X111" s="15" t="str">
        <f aca="false">IF(O111="","",IF(ISNUMBER(SEARCH(O111,J111)),"Yes","No"))</f>
        <v>No</v>
      </c>
      <c r="Y111" s="15" t="n">
        <v>0.7</v>
      </c>
      <c r="Z111" s="15" t="s">
        <v>663</v>
      </c>
      <c r="AA111" s="15" t="s">
        <v>131</v>
      </c>
      <c r="AB111" s="17"/>
      <c r="AC111" s="17"/>
    </row>
    <row r="112" customFormat="false" ht="23.85" hidden="false" customHeight="false" outlineLevel="0" collapsed="false">
      <c r="A112" s="15" t="s">
        <v>814</v>
      </c>
      <c r="B112" s="15" t="s">
        <v>815</v>
      </c>
      <c r="C112" s="15" t="s">
        <v>656</v>
      </c>
      <c r="D112" s="15" t="s">
        <v>82</v>
      </c>
      <c r="E112" s="15" t="s">
        <v>265</v>
      </c>
      <c r="F112" s="15"/>
      <c r="G112" s="15" t="s">
        <v>736</v>
      </c>
      <c r="H112" s="15"/>
      <c r="I112" s="15" t="s">
        <v>126</v>
      </c>
      <c r="J112" s="3" t="s">
        <v>816</v>
      </c>
      <c r="K112" s="15" t="n">
        <f aca="false">LEN(J112)</f>
        <v>59</v>
      </c>
      <c r="L112" s="3" t="s">
        <v>817</v>
      </c>
      <c r="M112" s="15" t="n">
        <f aca="false">LEN(L112)</f>
        <v>131</v>
      </c>
      <c r="N112" s="3" t="s">
        <v>818</v>
      </c>
      <c r="O112" s="15" t="s">
        <v>819</v>
      </c>
      <c r="P112" s="16" t="n">
        <v>570</v>
      </c>
      <c r="Q112" s="15" t="s">
        <v>662</v>
      </c>
      <c r="R112" s="15"/>
      <c r="S112" s="15" t="n">
        <f aca="false">COUNTIF('Page-Keyword Map'!$A$2:$A$668,B112)</f>
        <v>1</v>
      </c>
      <c r="T112" s="16" t="n">
        <f aca="false">SUMIF('Page-Keyword Map'!$A$2:$A$668,B112,'Page-Keyword Map'!$H$2:$H$668)</f>
        <v>570</v>
      </c>
      <c r="U112" s="15" t="n">
        <f aca="false">COUNTIFS('Page-Keyword Map'!$A$2:$A$668,B112,'Page-Keyword Map'!$E$2:$E$668,"Nationwide")</f>
        <v>0</v>
      </c>
      <c r="V112" s="15" t="n">
        <f aca="false">COUNTIFS('Page-Keyword Map'!$A$2:$A$668,B112,'Page-Keyword Map'!$E$2:$E$668,"Provincial")</f>
        <v>1</v>
      </c>
      <c r="W112" s="15" t="n">
        <f aca="false">COUNTIFS('Page-Keyword Map'!$A$2:$A$668,B112,'Page-Keyword Map'!$E$2:$E$668,"City")</f>
        <v>0</v>
      </c>
      <c r="X112" s="15" t="str">
        <f aca="false">IF(O112="","",IF(ISNUMBER(SEARCH(O112,J112)),"Yes","No"))</f>
        <v>No</v>
      </c>
      <c r="Y112" s="15" t="n">
        <v>0.7</v>
      </c>
      <c r="Z112" s="15" t="s">
        <v>663</v>
      </c>
      <c r="AA112" s="15" t="s">
        <v>131</v>
      </c>
      <c r="AB112" s="17"/>
      <c r="AC112" s="17"/>
    </row>
    <row r="113" customFormat="false" ht="23.85" hidden="false" customHeight="false" outlineLevel="0" collapsed="false">
      <c r="A113" s="15" t="s">
        <v>820</v>
      </c>
      <c r="B113" s="15" t="s">
        <v>821</v>
      </c>
      <c r="C113" s="15" t="s">
        <v>656</v>
      </c>
      <c r="D113" s="15" t="s">
        <v>82</v>
      </c>
      <c r="E113" s="15" t="s">
        <v>265</v>
      </c>
      <c r="F113" s="15"/>
      <c r="G113" s="15" t="s">
        <v>743</v>
      </c>
      <c r="H113" s="15"/>
      <c r="I113" s="15" t="s">
        <v>211</v>
      </c>
      <c r="J113" s="3" t="s">
        <v>822</v>
      </c>
      <c r="K113" s="15" t="n">
        <f aca="false">LEN(J113)</f>
        <v>52</v>
      </c>
      <c r="L113" s="3" t="s">
        <v>823</v>
      </c>
      <c r="M113" s="15" t="n">
        <f aca="false">LEN(L113)</f>
        <v>150</v>
      </c>
      <c r="N113" s="3" t="s">
        <v>824</v>
      </c>
      <c r="O113" s="15"/>
      <c r="P113" s="16"/>
      <c r="Q113" s="15"/>
      <c r="R113" s="15" t="s">
        <v>825</v>
      </c>
      <c r="S113" s="15" t="n">
        <f aca="false">COUNTIF('Page-Keyword Map'!$A$2:$A$668,B113)</f>
        <v>0</v>
      </c>
      <c r="T113" s="16" t="n">
        <f aca="false">SUMIF('Page-Keyword Map'!$A$2:$A$668,B113,'Page-Keyword Map'!$H$2:$H$668)</f>
        <v>0</v>
      </c>
      <c r="U113" s="15" t="n">
        <f aca="false">COUNTIFS('Page-Keyword Map'!$A$2:$A$668,B113,'Page-Keyword Map'!$E$2:$E$668,"Nationwide")</f>
        <v>0</v>
      </c>
      <c r="V113" s="15" t="n">
        <f aca="false">COUNTIFS('Page-Keyword Map'!$A$2:$A$668,B113,'Page-Keyword Map'!$E$2:$E$668,"Provincial")</f>
        <v>0</v>
      </c>
      <c r="W113" s="15" t="n">
        <f aca="false">COUNTIFS('Page-Keyword Map'!$A$2:$A$668,B113,'Page-Keyword Map'!$E$2:$E$668,"City")</f>
        <v>0</v>
      </c>
      <c r="X113" s="15" t="str">
        <f aca="false">IF(O113="","",IF(ISNUMBER(SEARCH(O113,J113)),"Yes","No"))</f>
        <v/>
      </c>
      <c r="Y113" s="15" t="n">
        <v>0.7</v>
      </c>
      <c r="Z113" s="15" t="s">
        <v>216</v>
      </c>
      <c r="AA113" s="15" t="s">
        <v>217</v>
      </c>
      <c r="AB113" s="17"/>
      <c r="AC113" s="17"/>
    </row>
    <row r="114" customFormat="false" ht="23.85" hidden="false" customHeight="false" outlineLevel="0" collapsed="false">
      <c r="A114" s="15" t="s">
        <v>826</v>
      </c>
      <c r="B114" s="15" t="s">
        <v>827</v>
      </c>
      <c r="C114" s="15" t="s">
        <v>656</v>
      </c>
      <c r="D114" s="15" t="s">
        <v>85</v>
      </c>
      <c r="E114" s="15" t="s">
        <v>272</v>
      </c>
      <c r="F114" s="15"/>
      <c r="G114" s="15" t="s">
        <v>657</v>
      </c>
      <c r="H114" s="15"/>
      <c r="I114" s="15" t="s">
        <v>126</v>
      </c>
      <c r="J114" s="3" t="s">
        <v>828</v>
      </c>
      <c r="K114" s="15" t="n">
        <f aca="false">LEN(J114)</f>
        <v>56</v>
      </c>
      <c r="L114" s="3" t="s">
        <v>829</v>
      </c>
      <c r="M114" s="15" t="n">
        <f aca="false">LEN(L114)</f>
        <v>150</v>
      </c>
      <c r="N114" s="3" t="s">
        <v>830</v>
      </c>
      <c r="O114" s="15" t="s">
        <v>831</v>
      </c>
      <c r="P114" s="16" t="n">
        <v>220</v>
      </c>
      <c r="Q114" s="15" t="s">
        <v>662</v>
      </c>
      <c r="R114" s="15"/>
      <c r="S114" s="15" t="n">
        <f aca="false">COUNTIF('Page-Keyword Map'!$A$2:$A$668,B114)</f>
        <v>1</v>
      </c>
      <c r="T114" s="16" t="n">
        <f aca="false">SUMIF('Page-Keyword Map'!$A$2:$A$668,B114,'Page-Keyword Map'!$H$2:$H$668)</f>
        <v>220</v>
      </c>
      <c r="U114" s="15" t="n">
        <f aca="false">COUNTIFS('Page-Keyword Map'!$A$2:$A$668,B114,'Page-Keyword Map'!$E$2:$E$668,"Nationwide")</f>
        <v>0</v>
      </c>
      <c r="V114" s="15" t="n">
        <f aca="false">COUNTIFS('Page-Keyword Map'!$A$2:$A$668,B114,'Page-Keyword Map'!$E$2:$E$668,"Provincial")</f>
        <v>1</v>
      </c>
      <c r="W114" s="15" t="n">
        <f aca="false">COUNTIFS('Page-Keyword Map'!$A$2:$A$668,B114,'Page-Keyword Map'!$E$2:$E$668,"City")</f>
        <v>0</v>
      </c>
      <c r="X114" s="15" t="str">
        <f aca="false">IF(O114="","",IF(ISNUMBER(SEARCH(O114,J114)),"Yes","No"))</f>
        <v>No</v>
      </c>
      <c r="Y114" s="15" t="n">
        <v>0.7</v>
      </c>
      <c r="Z114" s="15" t="s">
        <v>663</v>
      </c>
      <c r="AA114" s="15" t="s">
        <v>131</v>
      </c>
      <c r="AB114" s="17"/>
      <c r="AC114" s="17"/>
    </row>
    <row r="115" customFormat="false" ht="23.85" hidden="false" customHeight="false" outlineLevel="0" collapsed="false">
      <c r="A115" s="15" t="s">
        <v>832</v>
      </c>
      <c r="B115" s="15" t="s">
        <v>833</v>
      </c>
      <c r="C115" s="15" t="s">
        <v>656</v>
      </c>
      <c r="D115" s="15" t="s">
        <v>85</v>
      </c>
      <c r="E115" s="15" t="s">
        <v>272</v>
      </c>
      <c r="F115" s="15"/>
      <c r="G115" s="15" t="s">
        <v>666</v>
      </c>
      <c r="H115" s="15"/>
      <c r="I115" s="15" t="s">
        <v>126</v>
      </c>
      <c r="J115" s="3" t="s">
        <v>834</v>
      </c>
      <c r="K115" s="15" t="n">
        <f aca="false">LEN(J115)</f>
        <v>65</v>
      </c>
      <c r="L115" s="3" t="s">
        <v>835</v>
      </c>
      <c r="M115" s="15" t="n">
        <f aca="false">LEN(L115)</f>
        <v>142</v>
      </c>
      <c r="N115" s="3" t="s">
        <v>836</v>
      </c>
      <c r="O115" s="15" t="s">
        <v>837</v>
      </c>
      <c r="P115" s="16" t="n">
        <v>260</v>
      </c>
      <c r="Q115" s="15" t="s">
        <v>662</v>
      </c>
      <c r="R115" s="15"/>
      <c r="S115" s="15" t="n">
        <f aca="false">COUNTIF('Page-Keyword Map'!$A$2:$A$668,B115)</f>
        <v>1</v>
      </c>
      <c r="T115" s="16" t="n">
        <f aca="false">SUMIF('Page-Keyword Map'!$A$2:$A$668,B115,'Page-Keyword Map'!$H$2:$H$668)</f>
        <v>260</v>
      </c>
      <c r="U115" s="15" t="n">
        <f aca="false">COUNTIFS('Page-Keyword Map'!$A$2:$A$668,B115,'Page-Keyword Map'!$E$2:$E$668,"Nationwide")</f>
        <v>0</v>
      </c>
      <c r="V115" s="15" t="n">
        <f aca="false">COUNTIFS('Page-Keyword Map'!$A$2:$A$668,B115,'Page-Keyword Map'!$E$2:$E$668,"Provincial")</f>
        <v>1</v>
      </c>
      <c r="W115" s="15" t="n">
        <f aca="false">COUNTIFS('Page-Keyword Map'!$A$2:$A$668,B115,'Page-Keyword Map'!$E$2:$E$668,"City")</f>
        <v>0</v>
      </c>
      <c r="X115" s="15" t="str">
        <f aca="false">IF(O115="","",IF(ISNUMBER(SEARCH(O115,J115)),"Yes","No"))</f>
        <v>No</v>
      </c>
      <c r="Y115" s="15" t="n">
        <v>0.7</v>
      </c>
      <c r="Z115" s="15" t="s">
        <v>663</v>
      </c>
      <c r="AA115" s="15" t="s">
        <v>131</v>
      </c>
      <c r="AB115" s="17"/>
      <c r="AC115" s="17"/>
    </row>
    <row r="116" customFormat="false" ht="23.85" hidden="false" customHeight="false" outlineLevel="0" collapsed="false">
      <c r="A116" s="15" t="s">
        <v>838</v>
      </c>
      <c r="B116" s="15" t="s">
        <v>839</v>
      </c>
      <c r="C116" s="15" t="s">
        <v>656</v>
      </c>
      <c r="D116" s="15" t="s">
        <v>85</v>
      </c>
      <c r="E116" s="15" t="s">
        <v>272</v>
      </c>
      <c r="F116" s="15"/>
      <c r="G116" s="15" t="s">
        <v>673</v>
      </c>
      <c r="H116" s="15"/>
      <c r="I116" s="15" t="s">
        <v>126</v>
      </c>
      <c r="J116" s="3" t="s">
        <v>840</v>
      </c>
      <c r="K116" s="15" t="n">
        <f aca="false">LEN(J116)</f>
        <v>57</v>
      </c>
      <c r="L116" s="3" t="s">
        <v>841</v>
      </c>
      <c r="M116" s="15" t="n">
        <f aca="false">LEN(L116)</f>
        <v>125</v>
      </c>
      <c r="N116" s="3" t="s">
        <v>842</v>
      </c>
      <c r="O116" s="15" t="s">
        <v>843</v>
      </c>
      <c r="P116" s="16" t="n">
        <v>78</v>
      </c>
      <c r="Q116" s="15" t="s">
        <v>662</v>
      </c>
      <c r="R116" s="15"/>
      <c r="S116" s="15" t="n">
        <f aca="false">COUNTIF('Page-Keyword Map'!$A$2:$A$668,B116)</f>
        <v>1</v>
      </c>
      <c r="T116" s="16" t="n">
        <f aca="false">SUMIF('Page-Keyword Map'!$A$2:$A$668,B116,'Page-Keyword Map'!$H$2:$H$668)</f>
        <v>78</v>
      </c>
      <c r="U116" s="15" t="n">
        <f aca="false">COUNTIFS('Page-Keyword Map'!$A$2:$A$668,B116,'Page-Keyword Map'!$E$2:$E$668,"Nationwide")</f>
        <v>0</v>
      </c>
      <c r="V116" s="15" t="n">
        <f aca="false">COUNTIFS('Page-Keyword Map'!$A$2:$A$668,B116,'Page-Keyword Map'!$E$2:$E$668,"Provincial")</f>
        <v>1</v>
      </c>
      <c r="W116" s="15" t="n">
        <f aca="false">COUNTIFS('Page-Keyword Map'!$A$2:$A$668,B116,'Page-Keyword Map'!$E$2:$E$668,"City")</f>
        <v>0</v>
      </c>
      <c r="X116" s="15" t="str">
        <f aca="false">IF(O116="","",IF(ISNUMBER(SEARCH(O116,J116)),"Yes","No"))</f>
        <v>No</v>
      </c>
      <c r="Y116" s="15" t="n">
        <v>0.7</v>
      </c>
      <c r="Z116" s="15" t="s">
        <v>663</v>
      </c>
      <c r="AA116" s="15" t="s">
        <v>131</v>
      </c>
      <c r="AB116" s="17"/>
      <c r="AC116" s="17"/>
    </row>
    <row r="117" customFormat="false" ht="23.85" hidden="false" customHeight="false" outlineLevel="0" collapsed="false">
      <c r="A117" s="15" t="s">
        <v>844</v>
      </c>
      <c r="B117" s="15" t="s">
        <v>845</v>
      </c>
      <c r="C117" s="15" t="s">
        <v>656</v>
      </c>
      <c r="D117" s="15" t="s">
        <v>85</v>
      </c>
      <c r="E117" s="15" t="s">
        <v>272</v>
      </c>
      <c r="F117" s="15"/>
      <c r="G117" s="15" t="s">
        <v>680</v>
      </c>
      <c r="H117" s="15"/>
      <c r="I117" s="15" t="s">
        <v>126</v>
      </c>
      <c r="J117" s="3" t="s">
        <v>846</v>
      </c>
      <c r="K117" s="15" t="n">
        <f aca="false">LEN(J117)</f>
        <v>62</v>
      </c>
      <c r="L117" s="3" t="s">
        <v>847</v>
      </c>
      <c r="M117" s="15" t="n">
        <f aca="false">LEN(L117)</f>
        <v>135</v>
      </c>
      <c r="N117" s="3" t="s">
        <v>848</v>
      </c>
      <c r="O117" s="15" t="s">
        <v>849</v>
      </c>
      <c r="P117" s="16" t="n">
        <v>48</v>
      </c>
      <c r="Q117" s="15" t="s">
        <v>662</v>
      </c>
      <c r="R117" s="15"/>
      <c r="S117" s="15" t="n">
        <f aca="false">COUNTIF('Page-Keyword Map'!$A$2:$A$668,B117)</f>
        <v>1</v>
      </c>
      <c r="T117" s="16" t="n">
        <f aca="false">SUMIF('Page-Keyword Map'!$A$2:$A$668,B117,'Page-Keyword Map'!$H$2:$H$668)</f>
        <v>48</v>
      </c>
      <c r="U117" s="15" t="n">
        <f aca="false">COUNTIFS('Page-Keyword Map'!$A$2:$A$668,B117,'Page-Keyword Map'!$E$2:$E$668,"Nationwide")</f>
        <v>0</v>
      </c>
      <c r="V117" s="15" t="n">
        <f aca="false">COUNTIFS('Page-Keyword Map'!$A$2:$A$668,B117,'Page-Keyword Map'!$E$2:$E$668,"Provincial")</f>
        <v>1</v>
      </c>
      <c r="W117" s="15" t="n">
        <f aca="false">COUNTIFS('Page-Keyword Map'!$A$2:$A$668,B117,'Page-Keyword Map'!$E$2:$E$668,"City")</f>
        <v>0</v>
      </c>
      <c r="X117" s="15" t="str">
        <f aca="false">IF(O117="","",IF(ISNUMBER(SEARCH(O117,J117)),"Yes","No"))</f>
        <v>No</v>
      </c>
      <c r="Y117" s="15" t="n">
        <v>0.7</v>
      </c>
      <c r="Z117" s="15" t="s">
        <v>663</v>
      </c>
      <c r="AA117" s="15" t="s">
        <v>131</v>
      </c>
      <c r="AB117" s="17"/>
      <c r="AC117" s="17"/>
    </row>
    <row r="118" customFormat="false" ht="23.85" hidden="false" customHeight="false" outlineLevel="0" collapsed="false">
      <c r="A118" s="15" t="s">
        <v>850</v>
      </c>
      <c r="B118" s="15" t="s">
        <v>851</v>
      </c>
      <c r="C118" s="15" t="s">
        <v>656</v>
      </c>
      <c r="D118" s="15" t="s">
        <v>85</v>
      </c>
      <c r="E118" s="15" t="s">
        <v>272</v>
      </c>
      <c r="F118" s="15"/>
      <c r="G118" s="15" t="s">
        <v>687</v>
      </c>
      <c r="H118" s="15"/>
      <c r="I118" s="15" t="s">
        <v>126</v>
      </c>
      <c r="J118" s="3" t="s">
        <v>852</v>
      </c>
      <c r="K118" s="15" t="n">
        <f aca="false">LEN(J118)</f>
        <v>74</v>
      </c>
      <c r="L118" s="3" t="s">
        <v>853</v>
      </c>
      <c r="M118" s="15" t="n">
        <f aca="false">LEN(L118)</f>
        <v>165</v>
      </c>
      <c r="N118" s="3" t="s">
        <v>854</v>
      </c>
      <c r="O118" s="15" t="s">
        <v>855</v>
      </c>
      <c r="P118" s="16" t="n">
        <v>33</v>
      </c>
      <c r="Q118" s="15" t="s">
        <v>662</v>
      </c>
      <c r="R118" s="15"/>
      <c r="S118" s="15" t="n">
        <f aca="false">COUNTIF('Page-Keyword Map'!$A$2:$A$668,B118)</f>
        <v>1</v>
      </c>
      <c r="T118" s="16" t="n">
        <f aca="false">SUMIF('Page-Keyword Map'!$A$2:$A$668,B118,'Page-Keyword Map'!$H$2:$H$668)</f>
        <v>33</v>
      </c>
      <c r="U118" s="15" t="n">
        <f aca="false">COUNTIFS('Page-Keyword Map'!$A$2:$A$668,B118,'Page-Keyword Map'!$E$2:$E$668,"Nationwide")</f>
        <v>0</v>
      </c>
      <c r="V118" s="15" t="n">
        <f aca="false">COUNTIFS('Page-Keyword Map'!$A$2:$A$668,B118,'Page-Keyword Map'!$E$2:$E$668,"Provincial")</f>
        <v>1</v>
      </c>
      <c r="W118" s="15" t="n">
        <f aca="false">COUNTIFS('Page-Keyword Map'!$A$2:$A$668,B118,'Page-Keyword Map'!$E$2:$E$668,"City")</f>
        <v>0</v>
      </c>
      <c r="X118" s="15" t="str">
        <f aca="false">IF(O118="","",IF(ISNUMBER(SEARCH(O118,J118)),"Yes","No"))</f>
        <v>No</v>
      </c>
      <c r="Y118" s="15" t="n">
        <v>0.7</v>
      </c>
      <c r="Z118" s="15" t="s">
        <v>663</v>
      </c>
      <c r="AA118" s="15" t="s">
        <v>131</v>
      </c>
      <c r="AB118" s="17"/>
      <c r="AC118" s="17"/>
    </row>
    <row r="119" customFormat="false" ht="23.85" hidden="false" customHeight="false" outlineLevel="0" collapsed="false">
      <c r="A119" s="15" t="s">
        <v>856</v>
      </c>
      <c r="B119" s="15" t="s">
        <v>857</v>
      </c>
      <c r="C119" s="15" t="s">
        <v>656</v>
      </c>
      <c r="D119" s="15" t="s">
        <v>85</v>
      </c>
      <c r="E119" s="15" t="s">
        <v>272</v>
      </c>
      <c r="F119" s="15"/>
      <c r="G119" s="15" t="s">
        <v>694</v>
      </c>
      <c r="H119" s="15"/>
      <c r="I119" s="15" t="s">
        <v>126</v>
      </c>
      <c r="J119" s="3" t="s">
        <v>858</v>
      </c>
      <c r="K119" s="15" t="n">
        <f aca="false">LEN(J119)</f>
        <v>70</v>
      </c>
      <c r="L119" s="3" t="s">
        <v>859</v>
      </c>
      <c r="M119" s="15" t="n">
        <f aca="false">LEN(L119)</f>
        <v>160</v>
      </c>
      <c r="N119" s="3" t="s">
        <v>860</v>
      </c>
      <c r="O119" s="15"/>
      <c r="P119" s="16"/>
      <c r="Q119" s="15"/>
      <c r="R119" s="15" t="s">
        <v>861</v>
      </c>
      <c r="S119" s="15" t="n">
        <f aca="false">COUNTIF('Page-Keyword Map'!$A$2:$A$668,B119)</f>
        <v>0</v>
      </c>
      <c r="T119" s="16" t="n">
        <f aca="false">SUMIF('Page-Keyword Map'!$A$2:$A$668,B119,'Page-Keyword Map'!$H$2:$H$668)</f>
        <v>0</v>
      </c>
      <c r="U119" s="15" t="n">
        <f aca="false">COUNTIFS('Page-Keyword Map'!$A$2:$A$668,B119,'Page-Keyword Map'!$E$2:$E$668,"Nationwide")</f>
        <v>0</v>
      </c>
      <c r="V119" s="15" t="n">
        <f aca="false">COUNTIFS('Page-Keyword Map'!$A$2:$A$668,B119,'Page-Keyword Map'!$E$2:$E$668,"Provincial")</f>
        <v>0</v>
      </c>
      <c r="W119" s="15" t="n">
        <f aca="false">COUNTIFS('Page-Keyword Map'!$A$2:$A$668,B119,'Page-Keyword Map'!$E$2:$E$668,"City")</f>
        <v>0</v>
      </c>
      <c r="X119" s="15" t="str">
        <f aca="false">IF(O119="","",IF(ISNUMBER(SEARCH(O119,J119)),"Yes","No"))</f>
        <v/>
      </c>
      <c r="Y119" s="15" t="n">
        <v>0.7</v>
      </c>
      <c r="Z119" s="15" t="s">
        <v>663</v>
      </c>
      <c r="AA119" s="15" t="s">
        <v>131</v>
      </c>
      <c r="AB119" s="17"/>
      <c r="AC119" s="17"/>
    </row>
    <row r="120" customFormat="false" ht="23.85" hidden="false" customHeight="false" outlineLevel="0" collapsed="false">
      <c r="A120" s="15" t="s">
        <v>862</v>
      </c>
      <c r="B120" s="15" t="s">
        <v>863</v>
      </c>
      <c r="C120" s="15" t="s">
        <v>656</v>
      </c>
      <c r="D120" s="15" t="s">
        <v>85</v>
      </c>
      <c r="E120" s="15" t="s">
        <v>272</v>
      </c>
      <c r="F120" s="15"/>
      <c r="G120" s="15" t="s">
        <v>701</v>
      </c>
      <c r="H120" s="15"/>
      <c r="I120" s="15" t="s">
        <v>126</v>
      </c>
      <c r="J120" s="3" t="s">
        <v>864</v>
      </c>
      <c r="K120" s="15" t="n">
        <f aca="false">LEN(J120)</f>
        <v>60</v>
      </c>
      <c r="L120" s="3" t="s">
        <v>865</v>
      </c>
      <c r="M120" s="15" t="n">
        <f aca="false">LEN(L120)</f>
        <v>161</v>
      </c>
      <c r="N120" s="3" t="s">
        <v>866</v>
      </c>
      <c r="O120" s="15" t="s">
        <v>867</v>
      </c>
      <c r="P120" s="16" t="n">
        <v>58</v>
      </c>
      <c r="Q120" s="15" t="s">
        <v>662</v>
      </c>
      <c r="R120" s="15"/>
      <c r="S120" s="15" t="n">
        <f aca="false">COUNTIF('Page-Keyword Map'!$A$2:$A$668,B120)</f>
        <v>1</v>
      </c>
      <c r="T120" s="16" t="n">
        <f aca="false">SUMIF('Page-Keyword Map'!$A$2:$A$668,B120,'Page-Keyword Map'!$H$2:$H$668)</f>
        <v>58</v>
      </c>
      <c r="U120" s="15" t="n">
        <f aca="false">COUNTIFS('Page-Keyword Map'!$A$2:$A$668,B120,'Page-Keyword Map'!$E$2:$E$668,"Nationwide")</f>
        <v>0</v>
      </c>
      <c r="V120" s="15" t="n">
        <f aca="false">COUNTIFS('Page-Keyword Map'!$A$2:$A$668,B120,'Page-Keyword Map'!$E$2:$E$668,"Provincial")</f>
        <v>1</v>
      </c>
      <c r="W120" s="15" t="n">
        <f aca="false">COUNTIFS('Page-Keyword Map'!$A$2:$A$668,B120,'Page-Keyword Map'!$E$2:$E$668,"City")</f>
        <v>0</v>
      </c>
      <c r="X120" s="15" t="str">
        <f aca="false">IF(O120="","",IF(ISNUMBER(SEARCH(O120,J120)),"Yes","No"))</f>
        <v>No</v>
      </c>
      <c r="Y120" s="15" t="n">
        <v>0.7</v>
      </c>
      <c r="Z120" s="15" t="s">
        <v>663</v>
      </c>
      <c r="AA120" s="15" t="s">
        <v>131</v>
      </c>
      <c r="AB120" s="17"/>
      <c r="AC120" s="17"/>
    </row>
    <row r="121" customFormat="false" ht="23.85" hidden="false" customHeight="false" outlineLevel="0" collapsed="false">
      <c r="A121" s="15" t="s">
        <v>868</v>
      </c>
      <c r="B121" s="15" t="s">
        <v>869</v>
      </c>
      <c r="C121" s="15" t="s">
        <v>656</v>
      </c>
      <c r="D121" s="15" t="s">
        <v>85</v>
      </c>
      <c r="E121" s="15" t="s">
        <v>272</v>
      </c>
      <c r="F121" s="15"/>
      <c r="G121" s="15" t="s">
        <v>708</v>
      </c>
      <c r="H121" s="15"/>
      <c r="I121" s="15" t="s">
        <v>126</v>
      </c>
      <c r="J121" s="3" t="s">
        <v>870</v>
      </c>
      <c r="K121" s="15" t="n">
        <f aca="false">LEN(J121)</f>
        <v>56</v>
      </c>
      <c r="L121" s="3" t="s">
        <v>871</v>
      </c>
      <c r="M121" s="15" t="n">
        <f aca="false">LEN(L121)</f>
        <v>158</v>
      </c>
      <c r="N121" s="3" t="s">
        <v>872</v>
      </c>
      <c r="O121" s="15"/>
      <c r="P121" s="16"/>
      <c r="Q121" s="15"/>
      <c r="R121" s="15" t="s">
        <v>873</v>
      </c>
      <c r="S121" s="15" t="n">
        <f aca="false">COUNTIF('Page-Keyword Map'!$A$2:$A$668,B121)</f>
        <v>0</v>
      </c>
      <c r="T121" s="16" t="n">
        <f aca="false">SUMIF('Page-Keyword Map'!$A$2:$A$668,B121,'Page-Keyword Map'!$H$2:$H$668)</f>
        <v>0</v>
      </c>
      <c r="U121" s="15" t="n">
        <f aca="false">COUNTIFS('Page-Keyword Map'!$A$2:$A$668,B121,'Page-Keyword Map'!$E$2:$E$668,"Nationwide")</f>
        <v>0</v>
      </c>
      <c r="V121" s="15" t="n">
        <f aca="false">COUNTIFS('Page-Keyword Map'!$A$2:$A$668,B121,'Page-Keyword Map'!$E$2:$E$668,"Provincial")</f>
        <v>0</v>
      </c>
      <c r="W121" s="15" t="n">
        <f aca="false">COUNTIFS('Page-Keyword Map'!$A$2:$A$668,B121,'Page-Keyword Map'!$E$2:$E$668,"City")</f>
        <v>0</v>
      </c>
      <c r="X121" s="15" t="str">
        <f aca="false">IF(O121="","",IF(ISNUMBER(SEARCH(O121,J121)),"Yes","No"))</f>
        <v/>
      </c>
      <c r="Y121" s="15" t="n">
        <v>0.7</v>
      </c>
      <c r="Z121" s="15" t="s">
        <v>663</v>
      </c>
      <c r="AA121" s="15" t="s">
        <v>131</v>
      </c>
      <c r="AB121" s="17"/>
      <c r="AC121" s="17"/>
    </row>
    <row r="122" customFormat="false" ht="23.85" hidden="false" customHeight="false" outlineLevel="0" collapsed="false">
      <c r="A122" s="15" t="s">
        <v>874</v>
      </c>
      <c r="B122" s="15" t="s">
        <v>875</v>
      </c>
      <c r="C122" s="15" t="s">
        <v>656</v>
      </c>
      <c r="D122" s="15" t="s">
        <v>85</v>
      </c>
      <c r="E122" s="15" t="s">
        <v>272</v>
      </c>
      <c r="F122" s="15"/>
      <c r="G122" s="15" t="s">
        <v>715</v>
      </c>
      <c r="H122" s="15"/>
      <c r="I122" s="15" t="s">
        <v>126</v>
      </c>
      <c r="J122" s="3" t="s">
        <v>876</v>
      </c>
      <c r="K122" s="15" t="n">
        <f aca="false">LEN(J122)</f>
        <v>56</v>
      </c>
      <c r="L122" s="3" t="s">
        <v>877</v>
      </c>
      <c r="M122" s="15" t="n">
        <f aca="false">LEN(L122)</f>
        <v>123</v>
      </c>
      <c r="N122" s="3" t="s">
        <v>878</v>
      </c>
      <c r="O122" s="15" t="s">
        <v>879</v>
      </c>
      <c r="P122" s="16" t="n">
        <v>730</v>
      </c>
      <c r="Q122" s="15" t="s">
        <v>662</v>
      </c>
      <c r="R122" s="15"/>
      <c r="S122" s="15" t="n">
        <f aca="false">COUNTIF('Page-Keyword Map'!$A$2:$A$668,B122)</f>
        <v>1</v>
      </c>
      <c r="T122" s="16" t="n">
        <f aca="false">SUMIF('Page-Keyword Map'!$A$2:$A$668,B122,'Page-Keyword Map'!$H$2:$H$668)</f>
        <v>730</v>
      </c>
      <c r="U122" s="15" t="n">
        <f aca="false">COUNTIFS('Page-Keyword Map'!$A$2:$A$668,B122,'Page-Keyword Map'!$E$2:$E$668,"Nationwide")</f>
        <v>0</v>
      </c>
      <c r="V122" s="15" t="n">
        <f aca="false">COUNTIFS('Page-Keyword Map'!$A$2:$A$668,B122,'Page-Keyword Map'!$E$2:$E$668,"Provincial")</f>
        <v>1</v>
      </c>
      <c r="W122" s="15" t="n">
        <f aca="false">COUNTIFS('Page-Keyword Map'!$A$2:$A$668,B122,'Page-Keyword Map'!$E$2:$E$668,"City")</f>
        <v>0</v>
      </c>
      <c r="X122" s="15" t="str">
        <f aca="false">IF(O122="","",IF(ISNUMBER(SEARCH(O122,J122)),"Yes","No"))</f>
        <v>No</v>
      </c>
      <c r="Y122" s="15" t="n">
        <v>0.7</v>
      </c>
      <c r="Z122" s="15" t="s">
        <v>663</v>
      </c>
      <c r="AA122" s="15" t="s">
        <v>131</v>
      </c>
      <c r="AB122" s="17"/>
      <c r="AC122" s="17"/>
    </row>
    <row r="123" customFormat="false" ht="23.85" hidden="false" customHeight="false" outlineLevel="0" collapsed="false">
      <c r="A123" s="15" t="s">
        <v>880</v>
      </c>
      <c r="B123" s="15" t="s">
        <v>881</v>
      </c>
      <c r="C123" s="15" t="s">
        <v>656</v>
      </c>
      <c r="D123" s="15" t="s">
        <v>85</v>
      </c>
      <c r="E123" s="15" t="s">
        <v>272</v>
      </c>
      <c r="F123" s="15"/>
      <c r="G123" s="15" t="s">
        <v>722</v>
      </c>
      <c r="H123" s="15"/>
      <c r="I123" s="15" t="s">
        <v>126</v>
      </c>
      <c r="J123" s="3" t="s">
        <v>882</v>
      </c>
      <c r="K123" s="15" t="n">
        <f aca="false">LEN(J123)</f>
        <v>69</v>
      </c>
      <c r="L123" s="3" t="s">
        <v>883</v>
      </c>
      <c r="M123" s="15" t="n">
        <f aca="false">LEN(L123)</f>
        <v>160</v>
      </c>
      <c r="N123" s="3" t="s">
        <v>884</v>
      </c>
      <c r="O123" s="15"/>
      <c r="P123" s="16"/>
      <c r="Q123" s="15"/>
      <c r="R123" s="15" t="s">
        <v>885</v>
      </c>
      <c r="S123" s="15" t="n">
        <f aca="false">COUNTIF('Page-Keyword Map'!$A$2:$A$668,B123)</f>
        <v>0</v>
      </c>
      <c r="T123" s="16" t="n">
        <f aca="false">SUMIF('Page-Keyword Map'!$A$2:$A$668,B123,'Page-Keyword Map'!$H$2:$H$668)</f>
        <v>0</v>
      </c>
      <c r="U123" s="15" t="n">
        <f aca="false">COUNTIFS('Page-Keyword Map'!$A$2:$A$668,B123,'Page-Keyword Map'!$E$2:$E$668,"Nationwide")</f>
        <v>0</v>
      </c>
      <c r="V123" s="15" t="n">
        <f aca="false">COUNTIFS('Page-Keyword Map'!$A$2:$A$668,B123,'Page-Keyword Map'!$E$2:$E$668,"Provincial")</f>
        <v>0</v>
      </c>
      <c r="W123" s="15" t="n">
        <f aca="false">COUNTIFS('Page-Keyword Map'!$A$2:$A$668,B123,'Page-Keyword Map'!$E$2:$E$668,"City")</f>
        <v>0</v>
      </c>
      <c r="X123" s="15" t="str">
        <f aca="false">IF(O123="","",IF(ISNUMBER(SEARCH(O123,J123)),"Yes","No"))</f>
        <v/>
      </c>
      <c r="Y123" s="15" t="n">
        <v>0.7</v>
      </c>
      <c r="Z123" s="15" t="s">
        <v>663</v>
      </c>
      <c r="AA123" s="15" t="s">
        <v>131</v>
      </c>
      <c r="AB123" s="17"/>
      <c r="AC123" s="17"/>
    </row>
    <row r="124" customFormat="false" ht="23.85" hidden="false" customHeight="false" outlineLevel="0" collapsed="false">
      <c r="A124" s="15" t="s">
        <v>886</v>
      </c>
      <c r="B124" s="15" t="s">
        <v>887</v>
      </c>
      <c r="C124" s="15" t="s">
        <v>656</v>
      </c>
      <c r="D124" s="15" t="s">
        <v>85</v>
      </c>
      <c r="E124" s="15" t="s">
        <v>272</v>
      </c>
      <c r="F124" s="15"/>
      <c r="G124" s="15" t="s">
        <v>729</v>
      </c>
      <c r="H124" s="15"/>
      <c r="I124" s="15" t="s">
        <v>126</v>
      </c>
      <c r="J124" s="3" t="s">
        <v>888</v>
      </c>
      <c r="K124" s="15" t="n">
        <f aca="false">LEN(J124)</f>
        <v>55</v>
      </c>
      <c r="L124" s="3" t="s">
        <v>889</v>
      </c>
      <c r="M124" s="15" t="n">
        <f aca="false">LEN(L124)</f>
        <v>133</v>
      </c>
      <c r="N124" s="3" t="s">
        <v>890</v>
      </c>
      <c r="O124" s="15" t="s">
        <v>891</v>
      </c>
      <c r="P124" s="16" t="n">
        <v>130</v>
      </c>
      <c r="Q124" s="15" t="s">
        <v>662</v>
      </c>
      <c r="R124" s="15"/>
      <c r="S124" s="15" t="n">
        <f aca="false">COUNTIF('Page-Keyword Map'!$A$2:$A$668,B124)</f>
        <v>1</v>
      </c>
      <c r="T124" s="16" t="n">
        <f aca="false">SUMIF('Page-Keyword Map'!$A$2:$A$668,B124,'Page-Keyword Map'!$H$2:$H$668)</f>
        <v>130</v>
      </c>
      <c r="U124" s="15" t="n">
        <f aca="false">COUNTIFS('Page-Keyword Map'!$A$2:$A$668,B124,'Page-Keyword Map'!$E$2:$E$668,"Nationwide")</f>
        <v>0</v>
      </c>
      <c r="V124" s="15" t="n">
        <f aca="false">COUNTIFS('Page-Keyword Map'!$A$2:$A$668,B124,'Page-Keyword Map'!$E$2:$E$668,"Provincial")</f>
        <v>1</v>
      </c>
      <c r="W124" s="15" t="n">
        <f aca="false">COUNTIFS('Page-Keyword Map'!$A$2:$A$668,B124,'Page-Keyword Map'!$E$2:$E$668,"City")</f>
        <v>0</v>
      </c>
      <c r="X124" s="15" t="str">
        <f aca="false">IF(O124="","",IF(ISNUMBER(SEARCH(O124,J124)),"Yes","No"))</f>
        <v>No</v>
      </c>
      <c r="Y124" s="15" t="n">
        <v>0.7</v>
      </c>
      <c r="Z124" s="15" t="s">
        <v>663</v>
      </c>
      <c r="AA124" s="15" t="s">
        <v>131</v>
      </c>
      <c r="AB124" s="17"/>
      <c r="AC124" s="17"/>
    </row>
    <row r="125" customFormat="false" ht="23.85" hidden="false" customHeight="false" outlineLevel="0" collapsed="false">
      <c r="A125" s="15" t="s">
        <v>892</v>
      </c>
      <c r="B125" s="15" t="s">
        <v>893</v>
      </c>
      <c r="C125" s="15" t="s">
        <v>656</v>
      </c>
      <c r="D125" s="15" t="s">
        <v>85</v>
      </c>
      <c r="E125" s="15" t="s">
        <v>272</v>
      </c>
      <c r="F125" s="15"/>
      <c r="G125" s="15" t="s">
        <v>736</v>
      </c>
      <c r="H125" s="15"/>
      <c r="I125" s="15" t="s">
        <v>126</v>
      </c>
      <c r="J125" s="3" t="s">
        <v>894</v>
      </c>
      <c r="K125" s="15" t="n">
        <f aca="false">LEN(J125)</f>
        <v>61</v>
      </c>
      <c r="L125" s="3" t="s">
        <v>895</v>
      </c>
      <c r="M125" s="15" t="n">
        <f aca="false">LEN(L125)</f>
        <v>133</v>
      </c>
      <c r="N125" s="3" t="s">
        <v>896</v>
      </c>
      <c r="O125" s="15" t="s">
        <v>897</v>
      </c>
      <c r="P125" s="16" t="n">
        <v>67</v>
      </c>
      <c r="Q125" s="15" t="s">
        <v>662</v>
      </c>
      <c r="R125" s="15"/>
      <c r="S125" s="15" t="n">
        <f aca="false">COUNTIF('Page-Keyword Map'!$A$2:$A$668,B125)</f>
        <v>1</v>
      </c>
      <c r="T125" s="16" t="n">
        <f aca="false">SUMIF('Page-Keyword Map'!$A$2:$A$668,B125,'Page-Keyword Map'!$H$2:$H$668)</f>
        <v>67</v>
      </c>
      <c r="U125" s="15" t="n">
        <f aca="false">COUNTIFS('Page-Keyword Map'!$A$2:$A$668,B125,'Page-Keyword Map'!$E$2:$E$668,"Nationwide")</f>
        <v>0</v>
      </c>
      <c r="V125" s="15" t="n">
        <f aca="false">COUNTIFS('Page-Keyword Map'!$A$2:$A$668,B125,'Page-Keyword Map'!$E$2:$E$668,"Provincial")</f>
        <v>1</v>
      </c>
      <c r="W125" s="15" t="n">
        <f aca="false">COUNTIFS('Page-Keyword Map'!$A$2:$A$668,B125,'Page-Keyword Map'!$E$2:$E$668,"City")</f>
        <v>0</v>
      </c>
      <c r="X125" s="15" t="str">
        <f aca="false">IF(O125="","",IF(ISNUMBER(SEARCH(O125,J125)),"Yes","No"))</f>
        <v>No</v>
      </c>
      <c r="Y125" s="15" t="n">
        <v>0.7</v>
      </c>
      <c r="Z125" s="15" t="s">
        <v>663</v>
      </c>
      <c r="AA125" s="15" t="s">
        <v>131</v>
      </c>
      <c r="AB125" s="17"/>
      <c r="AC125" s="17"/>
    </row>
    <row r="126" customFormat="false" ht="23.85" hidden="false" customHeight="false" outlineLevel="0" collapsed="false">
      <c r="A126" s="15" t="s">
        <v>898</v>
      </c>
      <c r="B126" s="15" t="s">
        <v>899</v>
      </c>
      <c r="C126" s="15" t="s">
        <v>656</v>
      </c>
      <c r="D126" s="15" t="s">
        <v>85</v>
      </c>
      <c r="E126" s="15" t="s">
        <v>272</v>
      </c>
      <c r="F126" s="15"/>
      <c r="G126" s="15" t="s">
        <v>743</v>
      </c>
      <c r="H126" s="15"/>
      <c r="I126" s="15" t="s">
        <v>126</v>
      </c>
      <c r="J126" s="3" t="s">
        <v>900</v>
      </c>
      <c r="K126" s="15" t="n">
        <f aca="false">LEN(J126)</f>
        <v>54</v>
      </c>
      <c r="L126" s="3" t="s">
        <v>901</v>
      </c>
      <c r="M126" s="15" t="n">
        <f aca="false">LEN(L126)</f>
        <v>152</v>
      </c>
      <c r="N126" s="3" t="s">
        <v>902</v>
      </c>
      <c r="O126" s="15"/>
      <c r="P126" s="16"/>
      <c r="Q126" s="15"/>
      <c r="R126" s="15" t="s">
        <v>903</v>
      </c>
      <c r="S126" s="15" t="n">
        <f aca="false">COUNTIF('Page-Keyword Map'!$A$2:$A$668,B126)</f>
        <v>0</v>
      </c>
      <c r="T126" s="16" t="n">
        <f aca="false">SUMIF('Page-Keyword Map'!$A$2:$A$668,B126,'Page-Keyword Map'!$H$2:$H$668)</f>
        <v>0</v>
      </c>
      <c r="U126" s="15" t="n">
        <f aca="false">COUNTIFS('Page-Keyword Map'!$A$2:$A$668,B126,'Page-Keyword Map'!$E$2:$E$668,"Nationwide")</f>
        <v>0</v>
      </c>
      <c r="V126" s="15" t="n">
        <f aca="false">COUNTIFS('Page-Keyword Map'!$A$2:$A$668,B126,'Page-Keyword Map'!$E$2:$E$668,"Provincial")</f>
        <v>0</v>
      </c>
      <c r="W126" s="15" t="n">
        <f aca="false">COUNTIFS('Page-Keyword Map'!$A$2:$A$668,B126,'Page-Keyword Map'!$E$2:$E$668,"City")</f>
        <v>0</v>
      </c>
      <c r="X126" s="15" t="str">
        <f aca="false">IF(O126="","",IF(ISNUMBER(SEARCH(O126,J126)),"Yes","No"))</f>
        <v/>
      </c>
      <c r="Y126" s="15" t="n">
        <v>0.7</v>
      </c>
      <c r="Z126" s="15" t="s">
        <v>663</v>
      </c>
      <c r="AA126" s="15" t="s">
        <v>131</v>
      </c>
      <c r="AB126" s="17"/>
      <c r="AC126" s="17"/>
    </row>
    <row r="127" customFormat="false" ht="23.85" hidden="false" customHeight="false" outlineLevel="0" collapsed="false">
      <c r="A127" s="15" t="s">
        <v>904</v>
      </c>
      <c r="B127" s="15" t="s">
        <v>905</v>
      </c>
      <c r="C127" s="15" t="s">
        <v>656</v>
      </c>
      <c r="D127" s="15" t="s">
        <v>90</v>
      </c>
      <c r="E127" s="15" t="s">
        <v>279</v>
      </c>
      <c r="F127" s="15"/>
      <c r="G127" s="15" t="s">
        <v>657</v>
      </c>
      <c r="H127" s="15"/>
      <c r="I127" s="15" t="s">
        <v>126</v>
      </c>
      <c r="J127" s="3" t="s">
        <v>906</v>
      </c>
      <c r="K127" s="15" t="n">
        <f aca="false">LEN(J127)</f>
        <v>61</v>
      </c>
      <c r="L127" s="3" t="s">
        <v>907</v>
      </c>
      <c r="M127" s="15" t="n">
        <f aca="false">LEN(L127)</f>
        <v>155</v>
      </c>
      <c r="N127" s="3" t="s">
        <v>908</v>
      </c>
      <c r="O127" s="15" t="s">
        <v>909</v>
      </c>
      <c r="P127" s="16" t="n">
        <v>74</v>
      </c>
      <c r="Q127" s="15" t="s">
        <v>662</v>
      </c>
      <c r="R127" s="15"/>
      <c r="S127" s="15" t="n">
        <f aca="false">COUNTIF('Page-Keyword Map'!$A$2:$A$668,B127)</f>
        <v>1</v>
      </c>
      <c r="T127" s="16" t="n">
        <f aca="false">SUMIF('Page-Keyword Map'!$A$2:$A$668,B127,'Page-Keyword Map'!$H$2:$H$668)</f>
        <v>74</v>
      </c>
      <c r="U127" s="15" t="n">
        <f aca="false">COUNTIFS('Page-Keyword Map'!$A$2:$A$668,B127,'Page-Keyword Map'!$E$2:$E$668,"Nationwide")</f>
        <v>0</v>
      </c>
      <c r="V127" s="15" t="n">
        <f aca="false">COUNTIFS('Page-Keyword Map'!$A$2:$A$668,B127,'Page-Keyword Map'!$E$2:$E$668,"Provincial")</f>
        <v>1</v>
      </c>
      <c r="W127" s="15" t="n">
        <f aca="false">COUNTIFS('Page-Keyword Map'!$A$2:$A$668,B127,'Page-Keyword Map'!$E$2:$E$668,"City")</f>
        <v>0</v>
      </c>
      <c r="X127" s="15" t="str">
        <f aca="false">IF(O127="","",IF(ISNUMBER(SEARCH(O127,J127)),"Yes","No"))</f>
        <v>No</v>
      </c>
      <c r="Y127" s="15" t="n">
        <v>0.7</v>
      </c>
      <c r="Z127" s="15" t="s">
        <v>663</v>
      </c>
      <c r="AA127" s="15" t="s">
        <v>131</v>
      </c>
      <c r="AB127" s="17"/>
      <c r="AC127" s="17"/>
    </row>
    <row r="128" customFormat="false" ht="23.85" hidden="false" customHeight="false" outlineLevel="0" collapsed="false">
      <c r="A128" s="15" t="s">
        <v>910</v>
      </c>
      <c r="B128" s="15" t="s">
        <v>911</v>
      </c>
      <c r="C128" s="15" t="s">
        <v>656</v>
      </c>
      <c r="D128" s="15" t="s">
        <v>90</v>
      </c>
      <c r="E128" s="15" t="s">
        <v>279</v>
      </c>
      <c r="F128" s="15"/>
      <c r="G128" s="15" t="s">
        <v>666</v>
      </c>
      <c r="H128" s="15"/>
      <c r="I128" s="15" t="s">
        <v>126</v>
      </c>
      <c r="J128" s="3" t="s">
        <v>912</v>
      </c>
      <c r="K128" s="15" t="n">
        <f aca="false">LEN(J128)</f>
        <v>70</v>
      </c>
      <c r="L128" s="3" t="s">
        <v>913</v>
      </c>
      <c r="M128" s="15" t="n">
        <f aca="false">LEN(L128)</f>
        <v>147</v>
      </c>
      <c r="N128" s="3" t="s">
        <v>914</v>
      </c>
      <c r="O128" s="15" t="s">
        <v>915</v>
      </c>
      <c r="P128" s="16" t="n">
        <v>85</v>
      </c>
      <c r="Q128" s="15" t="s">
        <v>662</v>
      </c>
      <c r="R128" s="15"/>
      <c r="S128" s="15" t="n">
        <f aca="false">COUNTIF('Page-Keyword Map'!$A$2:$A$668,B128)</f>
        <v>1</v>
      </c>
      <c r="T128" s="16" t="n">
        <f aca="false">SUMIF('Page-Keyword Map'!$A$2:$A$668,B128,'Page-Keyword Map'!$H$2:$H$668)</f>
        <v>85</v>
      </c>
      <c r="U128" s="15" t="n">
        <f aca="false">COUNTIFS('Page-Keyword Map'!$A$2:$A$668,B128,'Page-Keyword Map'!$E$2:$E$668,"Nationwide")</f>
        <v>0</v>
      </c>
      <c r="V128" s="15" t="n">
        <f aca="false">COUNTIFS('Page-Keyword Map'!$A$2:$A$668,B128,'Page-Keyword Map'!$E$2:$E$668,"Provincial")</f>
        <v>1</v>
      </c>
      <c r="W128" s="15" t="n">
        <f aca="false">COUNTIFS('Page-Keyword Map'!$A$2:$A$668,B128,'Page-Keyword Map'!$E$2:$E$668,"City")</f>
        <v>0</v>
      </c>
      <c r="X128" s="15" t="str">
        <f aca="false">IF(O128="","",IF(ISNUMBER(SEARCH(O128,J128)),"Yes","No"))</f>
        <v>No</v>
      </c>
      <c r="Y128" s="15" t="n">
        <v>0.7</v>
      </c>
      <c r="Z128" s="15" t="s">
        <v>663</v>
      </c>
      <c r="AA128" s="15" t="s">
        <v>131</v>
      </c>
      <c r="AB128" s="17"/>
      <c r="AC128" s="17"/>
    </row>
    <row r="129" customFormat="false" ht="23.85" hidden="false" customHeight="false" outlineLevel="0" collapsed="false">
      <c r="A129" s="15" t="s">
        <v>916</v>
      </c>
      <c r="B129" s="15" t="s">
        <v>917</v>
      </c>
      <c r="C129" s="15" t="s">
        <v>656</v>
      </c>
      <c r="D129" s="15" t="s">
        <v>90</v>
      </c>
      <c r="E129" s="15" t="s">
        <v>279</v>
      </c>
      <c r="F129" s="15"/>
      <c r="G129" s="15" t="s">
        <v>673</v>
      </c>
      <c r="H129" s="15"/>
      <c r="I129" s="15" t="s">
        <v>126</v>
      </c>
      <c r="J129" s="3" t="s">
        <v>918</v>
      </c>
      <c r="K129" s="15" t="n">
        <f aca="false">LEN(J129)</f>
        <v>62</v>
      </c>
      <c r="L129" s="3" t="s">
        <v>919</v>
      </c>
      <c r="M129" s="15" t="n">
        <f aca="false">LEN(L129)</f>
        <v>130</v>
      </c>
      <c r="N129" s="3" t="s">
        <v>920</v>
      </c>
      <c r="O129" s="15" t="s">
        <v>921</v>
      </c>
      <c r="P129" s="16" t="n">
        <v>26</v>
      </c>
      <c r="Q129" s="15" t="s">
        <v>662</v>
      </c>
      <c r="R129" s="15"/>
      <c r="S129" s="15" t="n">
        <f aca="false">COUNTIF('Page-Keyword Map'!$A$2:$A$668,B129)</f>
        <v>1</v>
      </c>
      <c r="T129" s="16" t="n">
        <f aca="false">SUMIF('Page-Keyword Map'!$A$2:$A$668,B129,'Page-Keyword Map'!$H$2:$H$668)</f>
        <v>26</v>
      </c>
      <c r="U129" s="15" t="n">
        <f aca="false">COUNTIFS('Page-Keyword Map'!$A$2:$A$668,B129,'Page-Keyword Map'!$E$2:$E$668,"Nationwide")</f>
        <v>0</v>
      </c>
      <c r="V129" s="15" t="n">
        <f aca="false">COUNTIFS('Page-Keyword Map'!$A$2:$A$668,B129,'Page-Keyword Map'!$E$2:$E$668,"Provincial")</f>
        <v>1</v>
      </c>
      <c r="W129" s="15" t="n">
        <f aca="false">COUNTIFS('Page-Keyword Map'!$A$2:$A$668,B129,'Page-Keyword Map'!$E$2:$E$668,"City")</f>
        <v>0</v>
      </c>
      <c r="X129" s="15" t="str">
        <f aca="false">IF(O129="","",IF(ISNUMBER(SEARCH(O129,J129)),"Yes","No"))</f>
        <v>No</v>
      </c>
      <c r="Y129" s="15" t="n">
        <v>0.7</v>
      </c>
      <c r="Z129" s="15" t="s">
        <v>663</v>
      </c>
      <c r="AA129" s="15" t="s">
        <v>131</v>
      </c>
      <c r="AB129" s="17"/>
      <c r="AC129" s="17"/>
    </row>
    <row r="130" customFormat="false" ht="23.85" hidden="false" customHeight="false" outlineLevel="0" collapsed="false">
      <c r="A130" s="15" t="s">
        <v>922</v>
      </c>
      <c r="B130" s="15" t="s">
        <v>923</v>
      </c>
      <c r="C130" s="15" t="s">
        <v>656</v>
      </c>
      <c r="D130" s="15" t="s">
        <v>90</v>
      </c>
      <c r="E130" s="15" t="s">
        <v>279</v>
      </c>
      <c r="F130" s="15"/>
      <c r="G130" s="15" t="s">
        <v>680</v>
      </c>
      <c r="H130" s="15"/>
      <c r="I130" s="15" t="s">
        <v>126</v>
      </c>
      <c r="J130" s="3" t="s">
        <v>924</v>
      </c>
      <c r="K130" s="15" t="n">
        <f aca="false">LEN(J130)</f>
        <v>67</v>
      </c>
      <c r="L130" s="3" t="s">
        <v>925</v>
      </c>
      <c r="M130" s="15" t="n">
        <f aca="false">LEN(L130)</f>
        <v>140</v>
      </c>
      <c r="N130" s="3" t="s">
        <v>926</v>
      </c>
      <c r="O130" s="15"/>
      <c r="P130" s="16"/>
      <c r="Q130" s="15"/>
      <c r="R130" s="15" t="s">
        <v>927</v>
      </c>
      <c r="S130" s="15" t="n">
        <f aca="false">COUNTIF('Page-Keyword Map'!$A$2:$A$668,B130)</f>
        <v>0</v>
      </c>
      <c r="T130" s="16" t="n">
        <f aca="false">SUMIF('Page-Keyword Map'!$A$2:$A$668,B130,'Page-Keyword Map'!$H$2:$H$668)</f>
        <v>0</v>
      </c>
      <c r="U130" s="15" t="n">
        <f aca="false">COUNTIFS('Page-Keyword Map'!$A$2:$A$668,B130,'Page-Keyword Map'!$E$2:$E$668,"Nationwide")</f>
        <v>0</v>
      </c>
      <c r="V130" s="15" t="n">
        <f aca="false">COUNTIFS('Page-Keyword Map'!$A$2:$A$668,B130,'Page-Keyword Map'!$E$2:$E$668,"Provincial")</f>
        <v>0</v>
      </c>
      <c r="W130" s="15" t="n">
        <f aca="false">COUNTIFS('Page-Keyword Map'!$A$2:$A$668,B130,'Page-Keyword Map'!$E$2:$E$668,"City")</f>
        <v>0</v>
      </c>
      <c r="X130" s="15" t="str">
        <f aca="false">IF(O130="","",IF(ISNUMBER(SEARCH(O130,J130)),"Yes","No"))</f>
        <v/>
      </c>
      <c r="Y130" s="15" t="n">
        <v>0.7</v>
      </c>
      <c r="Z130" s="15" t="s">
        <v>663</v>
      </c>
      <c r="AA130" s="15" t="s">
        <v>131</v>
      </c>
      <c r="AB130" s="17"/>
      <c r="AC130" s="17"/>
    </row>
    <row r="131" customFormat="false" ht="23.85" hidden="false" customHeight="false" outlineLevel="0" collapsed="false">
      <c r="A131" s="15" t="s">
        <v>928</v>
      </c>
      <c r="B131" s="15" t="s">
        <v>929</v>
      </c>
      <c r="C131" s="15" t="s">
        <v>656</v>
      </c>
      <c r="D131" s="15" t="s">
        <v>90</v>
      </c>
      <c r="E131" s="15" t="s">
        <v>279</v>
      </c>
      <c r="F131" s="15"/>
      <c r="G131" s="15" t="s">
        <v>687</v>
      </c>
      <c r="H131" s="15"/>
      <c r="I131" s="15" t="s">
        <v>126</v>
      </c>
      <c r="J131" s="3" t="s">
        <v>930</v>
      </c>
      <c r="K131" s="15" t="n">
        <f aca="false">LEN(J131)</f>
        <v>79</v>
      </c>
      <c r="L131" s="3" t="s">
        <v>931</v>
      </c>
      <c r="M131" s="15" t="n">
        <f aca="false">LEN(L131)</f>
        <v>161</v>
      </c>
      <c r="N131" s="3" t="s">
        <v>932</v>
      </c>
      <c r="O131" s="15"/>
      <c r="P131" s="16"/>
      <c r="Q131" s="15"/>
      <c r="R131" s="15" t="s">
        <v>933</v>
      </c>
      <c r="S131" s="15" t="n">
        <f aca="false">COUNTIF('Page-Keyword Map'!$A$2:$A$668,B131)</f>
        <v>0</v>
      </c>
      <c r="T131" s="16" t="n">
        <f aca="false">SUMIF('Page-Keyword Map'!$A$2:$A$668,B131,'Page-Keyword Map'!$H$2:$H$668)</f>
        <v>0</v>
      </c>
      <c r="U131" s="15" t="n">
        <f aca="false">COUNTIFS('Page-Keyword Map'!$A$2:$A$668,B131,'Page-Keyword Map'!$E$2:$E$668,"Nationwide")</f>
        <v>0</v>
      </c>
      <c r="V131" s="15" t="n">
        <f aca="false">COUNTIFS('Page-Keyword Map'!$A$2:$A$668,B131,'Page-Keyword Map'!$E$2:$E$668,"Provincial")</f>
        <v>0</v>
      </c>
      <c r="W131" s="15" t="n">
        <f aca="false">COUNTIFS('Page-Keyword Map'!$A$2:$A$668,B131,'Page-Keyword Map'!$E$2:$E$668,"City")</f>
        <v>0</v>
      </c>
      <c r="X131" s="15" t="str">
        <f aca="false">IF(O131="","",IF(ISNUMBER(SEARCH(O131,J131)),"Yes","No"))</f>
        <v/>
      </c>
      <c r="Y131" s="15" t="n">
        <v>0.7</v>
      </c>
      <c r="Z131" s="15" t="s">
        <v>663</v>
      </c>
      <c r="AA131" s="15" t="s">
        <v>131</v>
      </c>
      <c r="AB131" s="17"/>
      <c r="AC131" s="17"/>
    </row>
    <row r="132" customFormat="false" ht="23.85" hidden="false" customHeight="false" outlineLevel="0" collapsed="false">
      <c r="A132" s="15" t="s">
        <v>934</v>
      </c>
      <c r="B132" s="15" t="s">
        <v>935</v>
      </c>
      <c r="C132" s="15" t="s">
        <v>656</v>
      </c>
      <c r="D132" s="15" t="s">
        <v>90</v>
      </c>
      <c r="E132" s="15" t="s">
        <v>279</v>
      </c>
      <c r="F132" s="15"/>
      <c r="G132" s="15" t="s">
        <v>694</v>
      </c>
      <c r="H132" s="15"/>
      <c r="I132" s="15" t="s">
        <v>126</v>
      </c>
      <c r="J132" s="3" t="s">
        <v>936</v>
      </c>
      <c r="K132" s="15" t="n">
        <f aca="false">LEN(J132)</f>
        <v>75</v>
      </c>
      <c r="L132" s="3" t="s">
        <v>937</v>
      </c>
      <c r="M132" s="15" t="n">
        <f aca="false">LEN(L132)</f>
        <v>162</v>
      </c>
      <c r="N132" s="3" t="s">
        <v>938</v>
      </c>
      <c r="O132" s="15"/>
      <c r="P132" s="16"/>
      <c r="Q132" s="15"/>
      <c r="R132" s="15" t="s">
        <v>939</v>
      </c>
      <c r="S132" s="15" t="n">
        <f aca="false">COUNTIF('Page-Keyword Map'!$A$2:$A$668,B132)</f>
        <v>0</v>
      </c>
      <c r="T132" s="16" t="n">
        <f aca="false">SUMIF('Page-Keyword Map'!$A$2:$A$668,B132,'Page-Keyword Map'!$H$2:$H$668)</f>
        <v>0</v>
      </c>
      <c r="U132" s="15" t="n">
        <f aca="false">COUNTIFS('Page-Keyword Map'!$A$2:$A$668,B132,'Page-Keyword Map'!$E$2:$E$668,"Nationwide")</f>
        <v>0</v>
      </c>
      <c r="V132" s="15" t="n">
        <f aca="false">COUNTIFS('Page-Keyword Map'!$A$2:$A$668,B132,'Page-Keyword Map'!$E$2:$E$668,"Provincial")</f>
        <v>0</v>
      </c>
      <c r="W132" s="15" t="n">
        <f aca="false">COUNTIFS('Page-Keyword Map'!$A$2:$A$668,B132,'Page-Keyword Map'!$E$2:$E$668,"City")</f>
        <v>0</v>
      </c>
      <c r="X132" s="15" t="str">
        <f aca="false">IF(O132="","",IF(ISNUMBER(SEARCH(O132,J132)),"Yes","No"))</f>
        <v/>
      </c>
      <c r="Y132" s="15" t="n">
        <v>0.7</v>
      </c>
      <c r="Z132" s="15" t="s">
        <v>663</v>
      </c>
      <c r="AA132" s="15" t="s">
        <v>131</v>
      </c>
      <c r="AB132" s="17"/>
      <c r="AC132" s="17"/>
    </row>
    <row r="133" customFormat="false" ht="23.85" hidden="false" customHeight="false" outlineLevel="0" collapsed="false">
      <c r="A133" s="15" t="s">
        <v>940</v>
      </c>
      <c r="B133" s="15" t="s">
        <v>941</v>
      </c>
      <c r="C133" s="15" t="s">
        <v>656</v>
      </c>
      <c r="D133" s="15" t="s">
        <v>90</v>
      </c>
      <c r="E133" s="15" t="s">
        <v>279</v>
      </c>
      <c r="F133" s="15"/>
      <c r="G133" s="15" t="s">
        <v>701</v>
      </c>
      <c r="H133" s="15"/>
      <c r="I133" s="15" t="s">
        <v>126</v>
      </c>
      <c r="J133" s="3" t="s">
        <v>942</v>
      </c>
      <c r="K133" s="15" t="n">
        <f aca="false">LEN(J133)</f>
        <v>65</v>
      </c>
      <c r="L133" s="3" t="s">
        <v>943</v>
      </c>
      <c r="M133" s="15" t="n">
        <f aca="false">LEN(L133)</f>
        <v>159</v>
      </c>
      <c r="N133" s="3" t="s">
        <v>944</v>
      </c>
      <c r="O133" s="15"/>
      <c r="P133" s="16"/>
      <c r="Q133" s="15"/>
      <c r="R133" s="15" t="s">
        <v>945</v>
      </c>
      <c r="S133" s="15" t="n">
        <f aca="false">COUNTIF('Page-Keyword Map'!$A$2:$A$668,B133)</f>
        <v>0</v>
      </c>
      <c r="T133" s="16" t="n">
        <f aca="false">SUMIF('Page-Keyword Map'!$A$2:$A$668,B133,'Page-Keyword Map'!$H$2:$H$668)</f>
        <v>0</v>
      </c>
      <c r="U133" s="15" t="n">
        <f aca="false">COUNTIFS('Page-Keyword Map'!$A$2:$A$668,B133,'Page-Keyword Map'!$E$2:$E$668,"Nationwide")</f>
        <v>0</v>
      </c>
      <c r="V133" s="15" t="n">
        <f aca="false">COUNTIFS('Page-Keyword Map'!$A$2:$A$668,B133,'Page-Keyword Map'!$E$2:$E$668,"Provincial")</f>
        <v>0</v>
      </c>
      <c r="W133" s="15" t="n">
        <f aca="false">COUNTIFS('Page-Keyword Map'!$A$2:$A$668,B133,'Page-Keyword Map'!$E$2:$E$668,"City")</f>
        <v>0</v>
      </c>
      <c r="X133" s="15" t="str">
        <f aca="false">IF(O133="","",IF(ISNUMBER(SEARCH(O133,J133)),"Yes","No"))</f>
        <v/>
      </c>
      <c r="Y133" s="15" t="n">
        <v>0.7</v>
      </c>
      <c r="Z133" s="15" t="s">
        <v>663</v>
      </c>
      <c r="AA133" s="15" t="s">
        <v>131</v>
      </c>
      <c r="AB133" s="17"/>
      <c r="AC133" s="17"/>
    </row>
    <row r="134" customFormat="false" ht="23.85" hidden="false" customHeight="false" outlineLevel="0" collapsed="false">
      <c r="A134" s="15" t="s">
        <v>946</v>
      </c>
      <c r="B134" s="15" t="s">
        <v>947</v>
      </c>
      <c r="C134" s="15" t="s">
        <v>656</v>
      </c>
      <c r="D134" s="15" t="s">
        <v>90</v>
      </c>
      <c r="E134" s="15" t="s">
        <v>279</v>
      </c>
      <c r="F134" s="15"/>
      <c r="G134" s="15" t="s">
        <v>708</v>
      </c>
      <c r="H134" s="15"/>
      <c r="I134" s="15" t="s">
        <v>126</v>
      </c>
      <c r="J134" s="3" t="s">
        <v>948</v>
      </c>
      <c r="K134" s="15" t="n">
        <f aca="false">LEN(J134)</f>
        <v>61</v>
      </c>
      <c r="L134" s="3" t="s">
        <v>949</v>
      </c>
      <c r="M134" s="15" t="n">
        <f aca="false">LEN(L134)</f>
        <v>163</v>
      </c>
      <c r="N134" s="3" t="s">
        <v>950</v>
      </c>
      <c r="O134" s="15"/>
      <c r="P134" s="16"/>
      <c r="Q134" s="15"/>
      <c r="R134" s="15" t="s">
        <v>951</v>
      </c>
      <c r="S134" s="15" t="n">
        <f aca="false">COUNTIF('Page-Keyword Map'!$A$2:$A$668,B134)</f>
        <v>0</v>
      </c>
      <c r="T134" s="16" t="n">
        <f aca="false">SUMIF('Page-Keyword Map'!$A$2:$A$668,B134,'Page-Keyword Map'!$H$2:$H$668)</f>
        <v>0</v>
      </c>
      <c r="U134" s="15" t="n">
        <f aca="false">COUNTIFS('Page-Keyword Map'!$A$2:$A$668,B134,'Page-Keyword Map'!$E$2:$E$668,"Nationwide")</f>
        <v>0</v>
      </c>
      <c r="V134" s="15" t="n">
        <f aca="false">COUNTIFS('Page-Keyword Map'!$A$2:$A$668,B134,'Page-Keyword Map'!$E$2:$E$668,"Provincial")</f>
        <v>0</v>
      </c>
      <c r="W134" s="15" t="n">
        <f aca="false">COUNTIFS('Page-Keyword Map'!$A$2:$A$668,B134,'Page-Keyword Map'!$E$2:$E$668,"City")</f>
        <v>0</v>
      </c>
      <c r="X134" s="15" t="str">
        <f aca="false">IF(O134="","",IF(ISNUMBER(SEARCH(O134,J134)),"Yes","No"))</f>
        <v/>
      </c>
      <c r="Y134" s="15" t="n">
        <v>0.7</v>
      </c>
      <c r="Z134" s="15" t="s">
        <v>663</v>
      </c>
      <c r="AA134" s="15" t="s">
        <v>131</v>
      </c>
      <c r="AB134" s="17"/>
      <c r="AC134" s="17"/>
    </row>
    <row r="135" customFormat="false" ht="23.85" hidden="false" customHeight="false" outlineLevel="0" collapsed="false">
      <c r="A135" s="15" t="s">
        <v>952</v>
      </c>
      <c r="B135" s="15" t="s">
        <v>953</v>
      </c>
      <c r="C135" s="15" t="s">
        <v>656</v>
      </c>
      <c r="D135" s="15" t="s">
        <v>90</v>
      </c>
      <c r="E135" s="15" t="s">
        <v>279</v>
      </c>
      <c r="F135" s="15"/>
      <c r="G135" s="15" t="s">
        <v>715</v>
      </c>
      <c r="H135" s="15"/>
      <c r="I135" s="15" t="s">
        <v>126</v>
      </c>
      <c r="J135" s="3" t="s">
        <v>954</v>
      </c>
      <c r="K135" s="15" t="n">
        <f aca="false">LEN(J135)</f>
        <v>61</v>
      </c>
      <c r="L135" s="3" t="s">
        <v>955</v>
      </c>
      <c r="M135" s="15" t="n">
        <f aca="false">LEN(L135)</f>
        <v>128</v>
      </c>
      <c r="N135" s="3" t="s">
        <v>956</v>
      </c>
      <c r="O135" s="15" t="s">
        <v>957</v>
      </c>
      <c r="P135" s="16" t="n">
        <v>240</v>
      </c>
      <c r="Q135" s="15" t="s">
        <v>662</v>
      </c>
      <c r="R135" s="15"/>
      <c r="S135" s="15" t="n">
        <f aca="false">COUNTIF('Page-Keyword Map'!$A$2:$A$668,B135)</f>
        <v>1</v>
      </c>
      <c r="T135" s="16" t="n">
        <f aca="false">SUMIF('Page-Keyword Map'!$A$2:$A$668,B135,'Page-Keyword Map'!$H$2:$H$668)</f>
        <v>240</v>
      </c>
      <c r="U135" s="15" t="n">
        <f aca="false">COUNTIFS('Page-Keyword Map'!$A$2:$A$668,B135,'Page-Keyword Map'!$E$2:$E$668,"Nationwide")</f>
        <v>0</v>
      </c>
      <c r="V135" s="15" t="n">
        <f aca="false">COUNTIFS('Page-Keyword Map'!$A$2:$A$668,B135,'Page-Keyword Map'!$E$2:$E$668,"Provincial")</f>
        <v>1</v>
      </c>
      <c r="W135" s="15" t="n">
        <f aca="false">COUNTIFS('Page-Keyword Map'!$A$2:$A$668,B135,'Page-Keyword Map'!$E$2:$E$668,"City")</f>
        <v>0</v>
      </c>
      <c r="X135" s="15" t="str">
        <f aca="false">IF(O135="","",IF(ISNUMBER(SEARCH(O135,J135)),"Yes","No"))</f>
        <v>No</v>
      </c>
      <c r="Y135" s="15" t="n">
        <v>0.7</v>
      </c>
      <c r="Z135" s="15" t="s">
        <v>663</v>
      </c>
      <c r="AA135" s="15" t="s">
        <v>131</v>
      </c>
      <c r="AB135" s="17"/>
      <c r="AC135" s="17"/>
    </row>
    <row r="136" customFormat="false" ht="23.85" hidden="false" customHeight="false" outlineLevel="0" collapsed="false">
      <c r="A136" s="15" t="s">
        <v>958</v>
      </c>
      <c r="B136" s="15" t="s">
        <v>959</v>
      </c>
      <c r="C136" s="15" t="s">
        <v>656</v>
      </c>
      <c r="D136" s="15" t="s">
        <v>90</v>
      </c>
      <c r="E136" s="15" t="s">
        <v>279</v>
      </c>
      <c r="F136" s="15"/>
      <c r="G136" s="15" t="s">
        <v>722</v>
      </c>
      <c r="H136" s="15"/>
      <c r="I136" s="15" t="s">
        <v>126</v>
      </c>
      <c r="J136" s="3" t="s">
        <v>960</v>
      </c>
      <c r="K136" s="15" t="n">
        <f aca="false">LEN(J136)</f>
        <v>74</v>
      </c>
      <c r="L136" s="3" t="s">
        <v>961</v>
      </c>
      <c r="M136" s="15" t="n">
        <f aca="false">LEN(L136)</f>
        <v>158</v>
      </c>
      <c r="N136" s="3" t="s">
        <v>962</v>
      </c>
      <c r="O136" s="15"/>
      <c r="P136" s="16"/>
      <c r="Q136" s="15"/>
      <c r="R136" s="15" t="s">
        <v>963</v>
      </c>
      <c r="S136" s="15" t="n">
        <f aca="false">COUNTIF('Page-Keyword Map'!$A$2:$A$668,B136)</f>
        <v>0</v>
      </c>
      <c r="T136" s="16" t="n">
        <f aca="false">SUMIF('Page-Keyword Map'!$A$2:$A$668,B136,'Page-Keyword Map'!$H$2:$H$668)</f>
        <v>0</v>
      </c>
      <c r="U136" s="15" t="n">
        <f aca="false">COUNTIFS('Page-Keyword Map'!$A$2:$A$668,B136,'Page-Keyword Map'!$E$2:$E$668,"Nationwide")</f>
        <v>0</v>
      </c>
      <c r="V136" s="15" t="n">
        <f aca="false">COUNTIFS('Page-Keyword Map'!$A$2:$A$668,B136,'Page-Keyword Map'!$E$2:$E$668,"Provincial")</f>
        <v>0</v>
      </c>
      <c r="W136" s="15" t="n">
        <f aca="false">COUNTIFS('Page-Keyword Map'!$A$2:$A$668,B136,'Page-Keyword Map'!$E$2:$E$668,"City")</f>
        <v>0</v>
      </c>
      <c r="X136" s="15" t="str">
        <f aca="false">IF(O136="","",IF(ISNUMBER(SEARCH(O136,J136)),"Yes","No"))</f>
        <v/>
      </c>
      <c r="Y136" s="15" t="n">
        <v>0.7</v>
      </c>
      <c r="Z136" s="15" t="s">
        <v>663</v>
      </c>
      <c r="AA136" s="15" t="s">
        <v>131</v>
      </c>
      <c r="AB136" s="17"/>
      <c r="AC136" s="17"/>
    </row>
    <row r="137" customFormat="false" ht="23.85" hidden="false" customHeight="false" outlineLevel="0" collapsed="false">
      <c r="A137" s="15" t="s">
        <v>964</v>
      </c>
      <c r="B137" s="15" t="s">
        <v>965</v>
      </c>
      <c r="C137" s="15" t="s">
        <v>656</v>
      </c>
      <c r="D137" s="15" t="s">
        <v>90</v>
      </c>
      <c r="E137" s="15" t="s">
        <v>279</v>
      </c>
      <c r="F137" s="15"/>
      <c r="G137" s="15" t="s">
        <v>729</v>
      </c>
      <c r="H137" s="15"/>
      <c r="I137" s="15" t="s">
        <v>126</v>
      </c>
      <c r="J137" s="3" t="s">
        <v>966</v>
      </c>
      <c r="K137" s="15" t="n">
        <f aca="false">LEN(J137)</f>
        <v>60</v>
      </c>
      <c r="L137" s="3" t="s">
        <v>967</v>
      </c>
      <c r="M137" s="15" t="n">
        <f aca="false">LEN(L137)</f>
        <v>138</v>
      </c>
      <c r="N137" s="3" t="s">
        <v>968</v>
      </c>
      <c r="O137" s="15" t="s">
        <v>969</v>
      </c>
      <c r="P137" s="16" t="n">
        <v>43</v>
      </c>
      <c r="Q137" s="15" t="s">
        <v>662</v>
      </c>
      <c r="R137" s="15"/>
      <c r="S137" s="15" t="n">
        <f aca="false">COUNTIF('Page-Keyword Map'!$A$2:$A$668,B137)</f>
        <v>1</v>
      </c>
      <c r="T137" s="16" t="n">
        <f aca="false">SUMIF('Page-Keyword Map'!$A$2:$A$668,B137,'Page-Keyword Map'!$H$2:$H$668)</f>
        <v>43</v>
      </c>
      <c r="U137" s="15" t="n">
        <f aca="false">COUNTIFS('Page-Keyword Map'!$A$2:$A$668,B137,'Page-Keyword Map'!$E$2:$E$668,"Nationwide")</f>
        <v>0</v>
      </c>
      <c r="V137" s="15" t="n">
        <f aca="false">COUNTIFS('Page-Keyword Map'!$A$2:$A$668,B137,'Page-Keyword Map'!$E$2:$E$668,"Provincial")</f>
        <v>1</v>
      </c>
      <c r="W137" s="15" t="n">
        <f aca="false">COUNTIFS('Page-Keyword Map'!$A$2:$A$668,B137,'Page-Keyword Map'!$E$2:$E$668,"City")</f>
        <v>0</v>
      </c>
      <c r="X137" s="15" t="str">
        <f aca="false">IF(O137="","",IF(ISNUMBER(SEARCH(O137,J137)),"Yes","No"))</f>
        <v>No</v>
      </c>
      <c r="Y137" s="15" t="n">
        <v>0.7</v>
      </c>
      <c r="Z137" s="15" t="s">
        <v>663</v>
      </c>
      <c r="AA137" s="15" t="s">
        <v>131</v>
      </c>
      <c r="AB137" s="17"/>
      <c r="AC137" s="17"/>
    </row>
    <row r="138" customFormat="false" ht="23.85" hidden="false" customHeight="false" outlineLevel="0" collapsed="false">
      <c r="A138" s="15" t="s">
        <v>970</v>
      </c>
      <c r="B138" s="15" t="s">
        <v>971</v>
      </c>
      <c r="C138" s="15" t="s">
        <v>656</v>
      </c>
      <c r="D138" s="15" t="s">
        <v>90</v>
      </c>
      <c r="E138" s="15" t="s">
        <v>279</v>
      </c>
      <c r="F138" s="15"/>
      <c r="G138" s="15" t="s">
        <v>736</v>
      </c>
      <c r="H138" s="15"/>
      <c r="I138" s="15" t="s">
        <v>126</v>
      </c>
      <c r="J138" s="3" t="s">
        <v>972</v>
      </c>
      <c r="K138" s="15" t="n">
        <f aca="false">LEN(J138)</f>
        <v>66</v>
      </c>
      <c r="L138" s="3" t="s">
        <v>973</v>
      </c>
      <c r="M138" s="15" t="n">
        <f aca="false">LEN(L138)</f>
        <v>138</v>
      </c>
      <c r="N138" s="3" t="s">
        <v>974</v>
      </c>
      <c r="O138" s="15" t="s">
        <v>975</v>
      </c>
      <c r="P138" s="16" t="n">
        <v>22</v>
      </c>
      <c r="Q138" s="15" t="s">
        <v>662</v>
      </c>
      <c r="R138" s="15"/>
      <c r="S138" s="15" t="n">
        <f aca="false">COUNTIF('Page-Keyword Map'!$A$2:$A$668,B138)</f>
        <v>1</v>
      </c>
      <c r="T138" s="16" t="n">
        <f aca="false">SUMIF('Page-Keyword Map'!$A$2:$A$668,B138,'Page-Keyword Map'!$H$2:$H$668)</f>
        <v>22</v>
      </c>
      <c r="U138" s="15" t="n">
        <f aca="false">COUNTIFS('Page-Keyword Map'!$A$2:$A$668,B138,'Page-Keyword Map'!$E$2:$E$668,"Nationwide")</f>
        <v>0</v>
      </c>
      <c r="V138" s="15" t="n">
        <f aca="false">COUNTIFS('Page-Keyword Map'!$A$2:$A$668,B138,'Page-Keyword Map'!$E$2:$E$668,"Provincial")</f>
        <v>1</v>
      </c>
      <c r="W138" s="15" t="n">
        <f aca="false">COUNTIFS('Page-Keyword Map'!$A$2:$A$668,B138,'Page-Keyword Map'!$E$2:$E$668,"City")</f>
        <v>0</v>
      </c>
      <c r="X138" s="15" t="str">
        <f aca="false">IF(O138="","",IF(ISNUMBER(SEARCH(O138,J138)),"Yes","No"))</f>
        <v>No</v>
      </c>
      <c r="Y138" s="15" t="n">
        <v>0.7</v>
      </c>
      <c r="Z138" s="15" t="s">
        <v>663</v>
      </c>
      <c r="AA138" s="15" t="s">
        <v>131</v>
      </c>
      <c r="AB138" s="17"/>
      <c r="AC138" s="17"/>
    </row>
    <row r="139" customFormat="false" ht="23.85" hidden="false" customHeight="false" outlineLevel="0" collapsed="false">
      <c r="A139" s="15" t="s">
        <v>976</v>
      </c>
      <c r="B139" s="15" t="s">
        <v>977</v>
      </c>
      <c r="C139" s="15" t="s">
        <v>656</v>
      </c>
      <c r="D139" s="15" t="s">
        <v>90</v>
      </c>
      <c r="E139" s="15" t="s">
        <v>279</v>
      </c>
      <c r="F139" s="15"/>
      <c r="G139" s="15" t="s">
        <v>743</v>
      </c>
      <c r="H139" s="15"/>
      <c r="I139" s="15" t="s">
        <v>126</v>
      </c>
      <c r="J139" s="3" t="s">
        <v>978</v>
      </c>
      <c r="K139" s="15" t="n">
        <f aca="false">LEN(J139)</f>
        <v>59</v>
      </c>
      <c r="L139" s="3" t="s">
        <v>979</v>
      </c>
      <c r="M139" s="15" t="n">
        <f aca="false">LEN(L139)</f>
        <v>157</v>
      </c>
      <c r="N139" s="3" t="s">
        <v>980</v>
      </c>
      <c r="O139" s="15"/>
      <c r="P139" s="16"/>
      <c r="Q139" s="15"/>
      <c r="R139" s="15" t="s">
        <v>981</v>
      </c>
      <c r="S139" s="15" t="n">
        <f aca="false">COUNTIF('Page-Keyword Map'!$A$2:$A$668,B139)</f>
        <v>0</v>
      </c>
      <c r="T139" s="16" t="n">
        <f aca="false">SUMIF('Page-Keyword Map'!$A$2:$A$668,B139,'Page-Keyword Map'!$H$2:$H$668)</f>
        <v>0</v>
      </c>
      <c r="U139" s="15" t="n">
        <f aca="false">COUNTIFS('Page-Keyword Map'!$A$2:$A$668,B139,'Page-Keyword Map'!$E$2:$E$668,"Nationwide")</f>
        <v>0</v>
      </c>
      <c r="V139" s="15" t="n">
        <f aca="false">COUNTIFS('Page-Keyword Map'!$A$2:$A$668,B139,'Page-Keyword Map'!$E$2:$E$668,"Provincial")</f>
        <v>0</v>
      </c>
      <c r="W139" s="15" t="n">
        <f aca="false">COUNTIFS('Page-Keyword Map'!$A$2:$A$668,B139,'Page-Keyword Map'!$E$2:$E$668,"City")</f>
        <v>0</v>
      </c>
      <c r="X139" s="15" t="str">
        <f aca="false">IF(O139="","",IF(ISNUMBER(SEARCH(O139,J139)),"Yes","No"))</f>
        <v/>
      </c>
      <c r="Y139" s="15" t="n">
        <v>0.7</v>
      </c>
      <c r="Z139" s="15" t="s">
        <v>663</v>
      </c>
      <c r="AA139" s="15" t="s">
        <v>131</v>
      </c>
      <c r="AB139" s="17"/>
      <c r="AC139" s="17"/>
    </row>
    <row r="140" customFormat="false" ht="23.85" hidden="false" customHeight="false" outlineLevel="0" collapsed="false">
      <c r="A140" s="15" t="s">
        <v>982</v>
      </c>
      <c r="B140" s="15" t="s">
        <v>983</v>
      </c>
      <c r="C140" s="15" t="s">
        <v>656</v>
      </c>
      <c r="D140" s="15" t="s">
        <v>76</v>
      </c>
      <c r="E140" s="15" t="s">
        <v>286</v>
      </c>
      <c r="F140" s="15"/>
      <c r="G140" s="15" t="s">
        <v>657</v>
      </c>
      <c r="H140" s="15"/>
      <c r="I140" s="15" t="s">
        <v>126</v>
      </c>
      <c r="J140" s="3" t="s">
        <v>984</v>
      </c>
      <c r="K140" s="15" t="n">
        <f aca="false">LEN(J140)</f>
        <v>67</v>
      </c>
      <c r="L140" s="3" t="s">
        <v>985</v>
      </c>
      <c r="M140" s="15" t="n">
        <f aca="false">LEN(L140)</f>
        <v>161</v>
      </c>
      <c r="N140" s="3" t="s">
        <v>986</v>
      </c>
      <c r="O140" s="15" t="s">
        <v>987</v>
      </c>
      <c r="P140" s="16" t="n">
        <v>66</v>
      </c>
      <c r="Q140" s="15" t="s">
        <v>662</v>
      </c>
      <c r="R140" s="15"/>
      <c r="S140" s="15" t="n">
        <f aca="false">COUNTIF('Page-Keyword Map'!$A$2:$A$668,B140)</f>
        <v>1</v>
      </c>
      <c r="T140" s="16" t="n">
        <f aca="false">SUMIF('Page-Keyword Map'!$A$2:$A$668,B140,'Page-Keyword Map'!$H$2:$H$668)</f>
        <v>66</v>
      </c>
      <c r="U140" s="15" t="n">
        <f aca="false">COUNTIFS('Page-Keyword Map'!$A$2:$A$668,B140,'Page-Keyword Map'!$E$2:$E$668,"Nationwide")</f>
        <v>0</v>
      </c>
      <c r="V140" s="15" t="n">
        <f aca="false">COUNTIFS('Page-Keyword Map'!$A$2:$A$668,B140,'Page-Keyword Map'!$E$2:$E$668,"Provincial")</f>
        <v>1</v>
      </c>
      <c r="W140" s="15" t="n">
        <f aca="false">COUNTIFS('Page-Keyword Map'!$A$2:$A$668,B140,'Page-Keyword Map'!$E$2:$E$668,"City")</f>
        <v>0</v>
      </c>
      <c r="X140" s="15" t="str">
        <f aca="false">IF(O140="","",IF(ISNUMBER(SEARCH(O140,J140)),"Yes","No"))</f>
        <v>No</v>
      </c>
      <c r="Y140" s="15" t="n">
        <v>0.7</v>
      </c>
      <c r="Z140" s="15" t="s">
        <v>663</v>
      </c>
      <c r="AA140" s="15" t="s">
        <v>131</v>
      </c>
      <c r="AB140" s="17"/>
      <c r="AC140" s="17"/>
    </row>
    <row r="141" customFormat="false" ht="23.85" hidden="false" customHeight="false" outlineLevel="0" collapsed="false">
      <c r="A141" s="15" t="s">
        <v>988</v>
      </c>
      <c r="B141" s="15" t="s">
        <v>989</v>
      </c>
      <c r="C141" s="15" t="s">
        <v>656</v>
      </c>
      <c r="D141" s="15" t="s">
        <v>76</v>
      </c>
      <c r="E141" s="15" t="s">
        <v>286</v>
      </c>
      <c r="F141" s="15"/>
      <c r="G141" s="15" t="s">
        <v>666</v>
      </c>
      <c r="H141" s="15"/>
      <c r="I141" s="15" t="s">
        <v>126</v>
      </c>
      <c r="J141" s="3" t="s">
        <v>990</v>
      </c>
      <c r="K141" s="15" t="n">
        <f aca="false">LEN(J141)</f>
        <v>76</v>
      </c>
      <c r="L141" s="3" t="s">
        <v>991</v>
      </c>
      <c r="M141" s="15" t="n">
        <f aca="false">LEN(L141)</f>
        <v>153</v>
      </c>
      <c r="N141" s="3" t="s">
        <v>992</v>
      </c>
      <c r="O141" s="15" t="s">
        <v>993</v>
      </c>
      <c r="P141" s="16" t="n">
        <v>77</v>
      </c>
      <c r="Q141" s="15" t="s">
        <v>662</v>
      </c>
      <c r="R141" s="15"/>
      <c r="S141" s="15" t="n">
        <f aca="false">COUNTIF('Page-Keyword Map'!$A$2:$A$668,B141)</f>
        <v>1</v>
      </c>
      <c r="T141" s="16" t="n">
        <f aca="false">SUMIF('Page-Keyword Map'!$A$2:$A$668,B141,'Page-Keyword Map'!$H$2:$H$668)</f>
        <v>77</v>
      </c>
      <c r="U141" s="15" t="n">
        <f aca="false">COUNTIFS('Page-Keyword Map'!$A$2:$A$668,B141,'Page-Keyword Map'!$E$2:$E$668,"Nationwide")</f>
        <v>0</v>
      </c>
      <c r="V141" s="15" t="n">
        <f aca="false">COUNTIFS('Page-Keyword Map'!$A$2:$A$668,B141,'Page-Keyword Map'!$E$2:$E$668,"Provincial")</f>
        <v>1</v>
      </c>
      <c r="W141" s="15" t="n">
        <f aca="false">COUNTIFS('Page-Keyword Map'!$A$2:$A$668,B141,'Page-Keyword Map'!$E$2:$E$668,"City")</f>
        <v>0</v>
      </c>
      <c r="X141" s="15" t="str">
        <f aca="false">IF(O141="","",IF(ISNUMBER(SEARCH(O141,J141)),"Yes","No"))</f>
        <v>No</v>
      </c>
      <c r="Y141" s="15" t="n">
        <v>0.7</v>
      </c>
      <c r="Z141" s="15" t="s">
        <v>663</v>
      </c>
      <c r="AA141" s="15" t="s">
        <v>131</v>
      </c>
      <c r="AB141" s="17"/>
      <c r="AC141" s="17"/>
    </row>
    <row r="142" customFormat="false" ht="23.85" hidden="false" customHeight="false" outlineLevel="0" collapsed="false">
      <c r="A142" s="15" t="s">
        <v>994</v>
      </c>
      <c r="B142" s="15" t="s">
        <v>995</v>
      </c>
      <c r="C142" s="15" t="s">
        <v>656</v>
      </c>
      <c r="D142" s="15" t="s">
        <v>76</v>
      </c>
      <c r="E142" s="15" t="s">
        <v>286</v>
      </c>
      <c r="F142" s="15"/>
      <c r="G142" s="15" t="s">
        <v>673</v>
      </c>
      <c r="H142" s="15"/>
      <c r="I142" s="15" t="s">
        <v>126</v>
      </c>
      <c r="J142" s="3" t="s">
        <v>996</v>
      </c>
      <c r="K142" s="15" t="n">
        <f aca="false">LEN(J142)</f>
        <v>68</v>
      </c>
      <c r="L142" s="3" t="s">
        <v>997</v>
      </c>
      <c r="M142" s="15" t="n">
        <f aca="false">LEN(L142)</f>
        <v>136</v>
      </c>
      <c r="N142" s="3" t="s">
        <v>998</v>
      </c>
      <c r="O142" s="15" t="s">
        <v>999</v>
      </c>
      <c r="P142" s="16" t="n">
        <v>23</v>
      </c>
      <c r="Q142" s="15" t="s">
        <v>662</v>
      </c>
      <c r="R142" s="15"/>
      <c r="S142" s="15" t="n">
        <f aca="false">COUNTIF('Page-Keyword Map'!$A$2:$A$668,B142)</f>
        <v>1</v>
      </c>
      <c r="T142" s="16" t="n">
        <f aca="false">SUMIF('Page-Keyword Map'!$A$2:$A$668,B142,'Page-Keyword Map'!$H$2:$H$668)</f>
        <v>23</v>
      </c>
      <c r="U142" s="15" t="n">
        <f aca="false">COUNTIFS('Page-Keyword Map'!$A$2:$A$668,B142,'Page-Keyword Map'!$E$2:$E$668,"Nationwide")</f>
        <v>0</v>
      </c>
      <c r="V142" s="15" t="n">
        <f aca="false">COUNTIFS('Page-Keyword Map'!$A$2:$A$668,B142,'Page-Keyword Map'!$E$2:$E$668,"Provincial")</f>
        <v>1</v>
      </c>
      <c r="W142" s="15" t="n">
        <f aca="false">COUNTIFS('Page-Keyword Map'!$A$2:$A$668,B142,'Page-Keyword Map'!$E$2:$E$668,"City")</f>
        <v>0</v>
      </c>
      <c r="X142" s="15" t="str">
        <f aca="false">IF(O142="","",IF(ISNUMBER(SEARCH(O142,J142)),"Yes","No"))</f>
        <v>No</v>
      </c>
      <c r="Y142" s="15" t="n">
        <v>0.7</v>
      </c>
      <c r="Z142" s="15" t="s">
        <v>663</v>
      </c>
      <c r="AA142" s="15" t="s">
        <v>131</v>
      </c>
      <c r="AB142" s="17"/>
      <c r="AC142" s="17"/>
    </row>
    <row r="143" customFormat="false" ht="23.85" hidden="false" customHeight="false" outlineLevel="0" collapsed="false">
      <c r="A143" s="15" t="s">
        <v>1000</v>
      </c>
      <c r="B143" s="15" t="s">
        <v>1001</v>
      </c>
      <c r="C143" s="15" t="s">
        <v>656</v>
      </c>
      <c r="D143" s="15" t="s">
        <v>76</v>
      </c>
      <c r="E143" s="15" t="s">
        <v>286</v>
      </c>
      <c r="F143" s="15"/>
      <c r="G143" s="15" t="s">
        <v>680</v>
      </c>
      <c r="H143" s="15"/>
      <c r="I143" s="15" t="s">
        <v>126</v>
      </c>
      <c r="J143" s="3" t="s">
        <v>1002</v>
      </c>
      <c r="K143" s="15" t="n">
        <f aca="false">LEN(J143)</f>
        <v>73</v>
      </c>
      <c r="L143" s="3" t="s">
        <v>1003</v>
      </c>
      <c r="M143" s="15" t="n">
        <f aca="false">LEN(L143)</f>
        <v>146</v>
      </c>
      <c r="N143" s="3" t="s">
        <v>1004</v>
      </c>
      <c r="O143" s="15"/>
      <c r="P143" s="16"/>
      <c r="Q143" s="15"/>
      <c r="R143" s="15" t="s">
        <v>1005</v>
      </c>
      <c r="S143" s="15" t="n">
        <f aca="false">COUNTIF('Page-Keyword Map'!$A$2:$A$668,B143)</f>
        <v>0</v>
      </c>
      <c r="T143" s="16" t="n">
        <f aca="false">SUMIF('Page-Keyword Map'!$A$2:$A$668,B143,'Page-Keyword Map'!$H$2:$H$668)</f>
        <v>0</v>
      </c>
      <c r="U143" s="15" t="n">
        <f aca="false">COUNTIFS('Page-Keyword Map'!$A$2:$A$668,B143,'Page-Keyword Map'!$E$2:$E$668,"Nationwide")</f>
        <v>0</v>
      </c>
      <c r="V143" s="15" t="n">
        <f aca="false">COUNTIFS('Page-Keyword Map'!$A$2:$A$668,B143,'Page-Keyword Map'!$E$2:$E$668,"Provincial")</f>
        <v>0</v>
      </c>
      <c r="W143" s="15" t="n">
        <f aca="false">COUNTIFS('Page-Keyword Map'!$A$2:$A$668,B143,'Page-Keyword Map'!$E$2:$E$668,"City")</f>
        <v>0</v>
      </c>
      <c r="X143" s="15" t="str">
        <f aca="false">IF(O143="","",IF(ISNUMBER(SEARCH(O143,J143)),"Yes","No"))</f>
        <v/>
      </c>
      <c r="Y143" s="15" t="n">
        <v>0.7</v>
      </c>
      <c r="Z143" s="15" t="s">
        <v>663</v>
      </c>
      <c r="AA143" s="15" t="s">
        <v>131</v>
      </c>
      <c r="AB143" s="17"/>
      <c r="AC143" s="17"/>
    </row>
    <row r="144" customFormat="false" ht="23.85" hidden="false" customHeight="false" outlineLevel="0" collapsed="false">
      <c r="A144" s="15" t="s">
        <v>1006</v>
      </c>
      <c r="B144" s="15" t="s">
        <v>1007</v>
      </c>
      <c r="C144" s="15" t="s">
        <v>656</v>
      </c>
      <c r="D144" s="15" t="s">
        <v>76</v>
      </c>
      <c r="E144" s="15" t="s">
        <v>286</v>
      </c>
      <c r="F144" s="15"/>
      <c r="G144" s="15" t="s">
        <v>687</v>
      </c>
      <c r="H144" s="15"/>
      <c r="I144" s="15" t="s">
        <v>126</v>
      </c>
      <c r="J144" s="3" t="s">
        <v>1008</v>
      </c>
      <c r="K144" s="15" t="n">
        <f aca="false">LEN(J144)</f>
        <v>85</v>
      </c>
      <c r="L144" s="3" t="s">
        <v>1009</v>
      </c>
      <c r="M144" s="15" t="n">
        <f aca="false">LEN(L144)</f>
        <v>163</v>
      </c>
      <c r="N144" s="3" t="s">
        <v>1010</v>
      </c>
      <c r="O144" s="15"/>
      <c r="P144" s="16"/>
      <c r="Q144" s="15"/>
      <c r="R144" s="15" t="s">
        <v>1011</v>
      </c>
      <c r="S144" s="15" t="n">
        <f aca="false">COUNTIF('Page-Keyword Map'!$A$2:$A$668,B144)</f>
        <v>0</v>
      </c>
      <c r="T144" s="16" t="n">
        <f aca="false">SUMIF('Page-Keyword Map'!$A$2:$A$668,B144,'Page-Keyword Map'!$H$2:$H$668)</f>
        <v>0</v>
      </c>
      <c r="U144" s="15" t="n">
        <f aca="false">COUNTIFS('Page-Keyword Map'!$A$2:$A$668,B144,'Page-Keyword Map'!$E$2:$E$668,"Nationwide")</f>
        <v>0</v>
      </c>
      <c r="V144" s="15" t="n">
        <f aca="false">COUNTIFS('Page-Keyword Map'!$A$2:$A$668,B144,'Page-Keyword Map'!$E$2:$E$668,"Provincial")</f>
        <v>0</v>
      </c>
      <c r="W144" s="15" t="n">
        <f aca="false">COUNTIFS('Page-Keyword Map'!$A$2:$A$668,B144,'Page-Keyword Map'!$E$2:$E$668,"City")</f>
        <v>0</v>
      </c>
      <c r="X144" s="15" t="str">
        <f aca="false">IF(O144="","",IF(ISNUMBER(SEARCH(O144,J144)),"Yes","No"))</f>
        <v/>
      </c>
      <c r="Y144" s="15" t="n">
        <v>0.7</v>
      </c>
      <c r="Z144" s="15" t="s">
        <v>663</v>
      </c>
      <c r="AA144" s="15" t="s">
        <v>131</v>
      </c>
      <c r="AB144" s="17"/>
      <c r="AC144" s="17"/>
    </row>
    <row r="145" customFormat="false" ht="23.85" hidden="false" customHeight="false" outlineLevel="0" collapsed="false">
      <c r="A145" s="15" t="s">
        <v>1012</v>
      </c>
      <c r="B145" s="15" t="s">
        <v>1013</v>
      </c>
      <c r="C145" s="15" t="s">
        <v>656</v>
      </c>
      <c r="D145" s="15" t="s">
        <v>76</v>
      </c>
      <c r="E145" s="15" t="s">
        <v>286</v>
      </c>
      <c r="F145" s="15"/>
      <c r="G145" s="15" t="s">
        <v>694</v>
      </c>
      <c r="H145" s="15"/>
      <c r="I145" s="15" t="s">
        <v>126</v>
      </c>
      <c r="J145" s="3" t="s">
        <v>1014</v>
      </c>
      <c r="K145" s="15" t="n">
        <f aca="false">LEN(J145)</f>
        <v>81</v>
      </c>
      <c r="L145" s="3" t="s">
        <v>1015</v>
      </c>
      <c r="M145" s="15" t="n">
        <f aca="false">LEN(L145)</f>
        <v>161</v>
      </c>
      <c r="N145" s="3" t="s">
        <v>1016</v>
      </c>
      <c r="O145" s="15"/>
      <c r="P145" s="16"/>
      <c r="Q145" s="15"/>
      <c r="R145" s="15" t="s">
        <v>1017</v>
      </c>
      <c r="S145" s="15" t="n">
        <f aca="false">COUNTIF('Page-Keyword Map'!$A$2:$A$668,B145)</f>
        <v>0</v>
      </c>
      <c r="T145" s="16" t="n">
        <f aca="false">SUMIF('Page-Keyword Map'!$A$2:$A$668,B145,'Page-Keyword Map'!$H$2:$H$668)</f>
        <v>0</v>
      </c>
      <c r="U145" s="15" t="n">
        <f aca="false">COUNTIFS('Page-Keyword Map'!$A$2:$A$668,B145,'Page-Keyword Map'!$E$2:$E$668,"Nationwide")</f>
        <v>0</v>
      </c>
      <c r="V145" s="15" t="n">
        <f aca="false">COUNTIFS('Page-Keyword Map'!$A$2:$A$668,B145,'Page-Keyword Map'!$E$2:$E$668,"Provincial")</f>
        <v>0</v>
      </c>
      <c r="W145" s="15" t="n">
        <f aca="false">COUNTIFS('Page-Keyword Map'!$A$2:$A$668,B145,'Page-Keyword Map'!$E$2:$E$668,"City")</f>
        <v>0</v>
      </c>
      <c r="X145" s="15" t="str">
        <f aca="false">IF(O145="","",IF(ISNUMBER(SEARCH(O145,J145)),"Yes","No"))</f>
        <v/>
      </c>
      <c r="Y145" s="15" t="n">
        <v>0.7</v>
      </c>
      <c r="Z145" s="15" t="s">
        <v>663</v>
      </c>
      <c r="AA145" s="15" t="s">
        <v>131</v>
      </c>
      <c r="AB145" s="17"/>
      <c r="AC145" s="17"/>
    </row>
    <row r="146" customFormat="false" ht="23.85" hidden="false" customHeight="false" outlineLevel="0" collapsed="false">
      <c r="A146" s="15" t="s">
        <v>1018</v>
      </c>
      <c r="B146" s="15" t="s">
        <v>1019</v>
      </c>
      <c r="C146" s="15" t="s">
        <v>656</v>
      </c>
      <c r="D146" s="15" t="s">
        <v>76</v>
      </c>
      <c r="E146" s="15" t="s">
        <v>286</v>
      </c>
      <c r="F146" s="15"/>
      <c r="G146" s="15" t="s">
        <v>701</v>
      </c>
      <c r="H146" s="15"/>
      <c r="I146" s="15" t="s">
        <v>126</v>
      </c>
      <c r="J146" s="3" t="s">
        <v>1020</v>
      </c>
      <c r="K146" s="15" t="n">
        <f aca="false">LEN(J146)</f>
        <v>71</v>
      </c>
      <c r="L146" s="3" t="s">
        <v>1021</v>
      </c>
      <c r="M146" s="15" t="n">
        <f aca="false">LEN(L146)</f>
        <v>160</v>
      </c>
      <c r="N146" s="3" t="s">
        <v>1022</v>
      </c>
      <c r="O146" s="15"/>
      <c r="P146" s="16"/>
      <c r="Q146" s="15"/>
      <c r="R146" s="15" t="s">
        <v>1023</v>
      </c>
      <c r="S146" s="15" t="n">
        <f aca="false">COUNTIF('Page-Keyword Map'!$A$2:$A$668,B146)</f>
        <v>0</v>
      </c>
      <c r="T146" s="16" t="n">
        <f aca="false">SUMIF('Page-Keyword Map'!$A$2:$A$668,B146,'Page-Keyword Map'!$H$2:$H$668)</f>
        <v>0</v>
      </c>
      <c r="U146" s="15" t="n">
        <f aca="false">COUNTIFS('Page-Keyword Map'!$A$2:$A$668,B146,'Page-Keyword Map'!$E$2:$E$668,"Nationwide")</f>
        <v>0</v>
      </c>
      <c r="V146" s="15" t="n">
        <f aca="false">COUNTIFS('Page-Keyword Map'!$A$2:$A$668,B146,'Page-Keyword Map'!$E$2:$E$668,"Provincial")</f>
        <v>0</v>
      </c>
      <c r="W146" s="15" t="n">
        <f aca="false">COUNTIFS('Page-Keyword Map'!$A$2:$A$668,B146,'Page-Keyword Map'!$E$2:$E$668,"City")</f>
        <v>0</v>
      </c>
      <c r="X146" s="15" t="str">
        <f aca="false">IF(O146="","",IF(ISNUMBER(SEARCH(O146,J146)),"Yes","No"))</f>
        <v/>
      </c>
      <c r="Y146" s="15" t="n">
        <v>0.7</v>
      </c>
      <c r="Z146" s="15" t="s">
        <v>663</v>
      </c>
      <c r="AA146" s="15" t="s">
        <v>131</v>
      </c>
      <c r="AB146" s="17"/>
      <c r="AC146" s="17"/>
    </row>
    <row r="147" customFormat="false" ht="23.85" hidden="false" customHeight="false" outlineLevel="0" collapsed="false">
      <c r="A147" s="15" t="s">
        <v>1024</v>
      </c>
      <c r="B147" s="15" t="s">
        <v>1025</v>
      </c>
      <c r="C147" s="15" t="s">
        <v>656</v>
      </c>
      <c r="D147" s="15" t="s">
        <v>76</v>
      </c>
      <c r="E147" s="15" t="s">
        <v>286</v>
      </c>
      <c r="F147" s="15"/>
      <c r="G147" s="15" t="s">
        <v>708</v>
      </c>
      <c r="H147" s="15"/>
      <c r="I147" s="15" t="s">
        <v>126</v>
      </c>
      <c r="J147" s="3" t="s">
        <v>1026</v>
      </c>
      <c r="K147" s="15" t="n">
        <f aca="false">LEN(J147)</f>
        <v>67</v>
      </c>
      <c r="L147" s="3" t="s">
        <v>1027</v>
      </c>
      <c r="M147" s="15" t="n">
        <f aca="false">LEN(L147)</f>
        <v>161</v>
      </c>
      <c r="N147" s="3" t="s">
        <v>1028</v>
      </c>
      <c r="O147" s="15"/>
      <c r="P147" s="16"/>
      <c r="Q147" s="15"/>
      <c r="R147" s="15" t="s">
        <v>1029</v>
      </c>
      <c r="S147" s="15" t="n">
        <f aca="false">COUNTIF('Page-Keyword Map'!$A$2:$A$668,B147)</f>
        <v>0</v>
      </c>
      <c r="T147" s="16" t="n">
        <f aca="false">SUMIF('Page-Keyword Map'!$A$2:$A$668,B147,'Page-Keyword Map'!$H$2:$H$668)</f>
        <v>0</v>
      </c>
      <c r="U147" s="15" t="n">
        <f aca="false">COUNTIFS('Page-Keyword Map'!$A$2:$A$668,B147,'Page-Keyword Map'!$E$2:$E$668,"Nationwide")</f>
        <v>0</v>
      </c>
      <c r="V147" s="15" t="n">
        <f aca="false">COUNTIFS('Page-Keyword Map'!$A$2:$A$668,B147,'Page-Keyword Map'!$E$2:$E$668,"Provincial")</f>
        <v>0</v>
      </c>
      <c r="W147" s="15" t="n">
        <f aca="false">COUNTIFS('Page-Keyword Map'!$A$2:$A$668,B147,'Page-Keyword Map'!$E$2:$E$668,"City")</f>
        <v>0</v>
      </c>
      <c r="X147" s="15" t="str">
        <f aca="false">IF(O147="","",IF(ISNUMBER(SEARCH(O147,J147)),"Yes","No"))</f>
        <v/>
      </c>
      <c r="Y147" s="15" t="n">
        <v>0.7</v>
      </c>
      <c r="Z147" s="15" t="s">
        <v>663</v>
      </c>
      <c r="AA147" s="15" t="s">
        <v>131</v>
      </c>
      <c r="AB147" s="17"/>
      <c r="AC147" s="17"/>
    </row>
    <row r="148" customFormat="false" ht="23.85" hidden="false" customHeight="false" outlineLevel="0" collapsed="false">
      <c r="A148" s="15" t="s">
        <v>1030</v>
      </c>
      <c r="B148" s="15" t="s">
        <v>1031</v>
      </c>
      <c r="C148" s="15" t="s">
        <v>656</v>
      </c>
      <c r="D148" s="15" t="s">
        <v>76</v>
      </c>
      <c r="E148" s="15" t="s">
        <v>286</v>
      </c>
      <c r="F148" s="15"/>
      <c r="G148" s="15" t="s">
        <v>715</v>
      </c>
      <c r="H148" s="15"/>
      <c r="I148" s="15" t="s">
        <v>126</v>
      </c>
      <c r="J148" s="3" t="s">
        <v>1032</v>
      </c>
      <c r="K148" s="15" t="n">
        <f aca="false">LEN(J148)</f>
        <v>67</v>
      </c>
      <c r="L148" s="3" t="s">
        <v>1033</v>
      </c>
      <c r="M148" s="15" t="n">
        <f aca="false">LEN(L148)</f>
        <v>134</v>
      </c>
      <c r="N148" s="3" t="s">
        <v>1034</v>
      </c>
      <c r="O148" s="15" t="s">
        <v>1035</v>
      </c>
      <c r="P148" s="16" t="n">
        <v>220</v>
      </c>
      <c r="Q148" s="15" t="s">
        <v>662</v>
      </c>
      <c r="R148" s="15"/>
      <c r="S148" s="15" t="n">
        <f aca="false">COUNTIF('Page-Keyword Map'!$A$2:$A$668,B148)</f>
        <v>1</v>
      </c>
      <c r="T148" s="16" t="n">
        <f aca="false">SUMIF('Page-Keyword Map'!$A$2:$A$668,B148,'Page-Keyword Map'!$H$2:$H$668)</f>
        <v>220</v>
      </c>
      <c r="U148" s="15" t="n">
        <f aca="false">COUNTIFS('Page-Keyword Map'!$A$2:$A$668,B148,'Page-Keyword Map'!$E$2:$E$668,"Nationwide")</f>
        <v>0</v>
      </c>
      <c r="V148" s="15" t="n">
        <f aca="false">COUNTIFS('Page-Keyword Map'!$A$2:$A$668,B148,'Page-Keyword Map'!$E$2:$E$668,"Provincial")</f>
        <v>1</v>
      </c>
      <c r="W148" s="15" t="n">
        <f aca="false">COUNTIFS('Page-Keyword Map'!$A$2:$A$668,B148,'Page-Keyword Map'!$E$2:$E$668,"City")</f>
        <v>0</v>
      </c>
      <c r="X148" s="15" t="str">
        <f aca="false">IF(O148="","",IF(ISNUMBER(SEARCH(O148,J148)),"Yes","No"))</f>
        <v>No</v>
      </c>
      <c r="Y148" s="15" t="n">
        <v>0.7</v>
      </c>
      <c r="Z148" s="15" t="s">
        <v>663</v>
      </c>
      <c r="AA148" s="15" t="s">
        <v>131</v>
      </c>
      <c r="AB148" s="17"/>
      <c r="AC148" s="17"/>
    </row>
    <row r="149" customFormat="false" ht="23.85" hidden="false" customHeight="false" outlineLevel="0" collapsed="false">
      <c r="A149" s="15" t="s">
        <v>1036</v>
      </c>
      <c r="B149" s="15" t="s">
        <v>1037</v>
      </c>
      <c r="C149" s="15" t="s">
        <v>656</v>
      </c>
      <c r="D149" s="15" t="s">
        <v>76</v>
      </c>
      <c r="E149" s="15" t="s">
        <v>286</v>
      </c>
      <c r="F149" s="15"/>
      <c r="G149" s="15" t="s">
        <v>722</v>
      </c>
      <c r="H149" s="15"/>
      <c r="I149" s="15" t="s">
        <v>126</v>
      </c>
      <c r="J149" s="3" t="s">
        <v>1038</v>
      </c>
      <c r="K149" s="15" t="n">
        <f aca="false">LEN(J149)</f>
        <v>80</v>
      </c>
      <c r="L149" s="3" t="s">
        <v>1039</v>
      </c>
      <c r="M149" s="15" t="n">
        <f aca="false">LEN(L149)</f>
        <v>164</v>
      </c>
      <c r="N149" s="3" t="s">
        <v>1040</v>
      </c>
      <c r="O149" s="15"/>
      <c r="P149" s="16"/>
      <c r="Q149" s="15"/>
      <c r="R149" s="15" t="s">
        <v>1041</v>
      </c>
      <c r="S149" s="15" t="n">
        <f aca="false">COUNTIF('Page-Keyword Map'!$A$2:$A$668,B149)</f>
        <v>0</v>
      </c>
      <c r="T149" s="16" t="n">
        <f aca="false">SUMIF('Page-Keyword Map'!$A$2:$A$668,B149,'Page-Keyword Map'!$H$2:$H$668)</f>
        <v>0</v>
      </c>
      <c r="U149" s="15" t="n">
        <f aca="false">COUNTIFS('Page-Keyword Map'!$A$2:$A$668,B149,'Page-Keyword Map'!$E$2:$E$668,"Nationwide")</f>
        <v>0</v>
      </c>
      <c r="V149" s="15" t="n">
        <f aca="false">COUNTIFS('Page-Keyword Map'!$A$2:$A$668,B149,'Page-Keyword Map'!$E$2:$E$668,"Provincial")</f>
        <v>0</v>
      </c>
      <c r="W149" s="15" t="n">
        <f aca="false">COUNTIFS('Page-Keyword Map'!$A$2:$A$668,B149,'Page-Keyword Map'!$E$2:$E$668,"City")</f>
        <v>0</v>
      </c>
      <c r="X149" s="15" t="str">
        <f aca="false">IF(O149="","",IF(ISNUMBER(SEARCH(O149,J149)),"Yes","No"))</f>
        <v/>
      </c>
      <c r="Y149" s="15" t="n">
        <v>0.7</v>
      </c>
      <c r="Z149" s="15" t="s">
        <v>663</v>
      </c>
      <c r="AA149" s="15" t="s">
        <v>131</v>
      </c>
      <c r="AB149" s="17"/>
      <c r="AC149" s="17"/>
    </row>
    <row r="150" customFormat="false" ht="23.85" hidden="false" customHeight="false" outlineLevel="0" collapsed="false">
      <c r="A150" s="15" t="s">
        <v>1042</v>
      </c>
      <c r="B150" s="15" t="s">
        <v>1043</v>
      </c>
      <c r="C150" s="15" t="s">
        <v>656</v>
      </c>
      <c r="D150" s="15" t="s">
        <v>76</v>
      </c>
      <c r="E150" s="15" t="s">
        <v>286</v>
      </c>
      <c r="F150" s="15"/>
      <c r="G150" s="15" t="s">
        <v>729</v>
      </c>
      <c r="H150" s="15"/>
      <c r="I150" s="15" t="s">
        <v>126</v>
      </c>
      <c r="J150" s="3" t="s">
        <v>1044</v>
      </c>
      <c r="K150" s="15" t="n">
        <f aca="false">LEN(J150)</f>
        <v>66</v>
      </c>
      <c r="L150" s="3" t="s">
        <v>1045</v>
      </c>
      <c r="M150" s="15" t="n">
        <f aca="false">LEN(L150)</f>
        <v>144</v>
      </c>
      <c r="N150" s="3" t="s">
        <v>1046</v>
      </c>
      <c r="O150" s="15" t="s">
        <v>1047</v>
      </c>
      <c r="P150" s="16" t="n">
        <v>39</v>
      </c>
      <c r="Q150" s="15" t="s">
        <v>662</v>
      </c>
      <c r="R150" s="15"/>
      <c r="S150" s="15" t="n">
        <f aca="false">COUNTIF('Page-Keyword Map'!$A$2:$A$668,B150)</f>
        <v>1</v>
      </c>
      <c r="T150" s="16" t="n">
        <f aca="false">SUMIF('Page-Keyword Map'!$A$2:$A$668,B150,'Page-Keyword Map'!$H$2:$H$668)</f>
        <v>39</v>
      </c>
      <c r="U150" s="15" t="n">
        <f aca="false">COUNTIFS('Page-Keyword Map'!$A$2:$A$668,B150,'Page-Keyword Map'!$E$2:$E$668,"Nationwide")</f>
        <v>0</v>
      </c>
      <c r="V150" s="15" t="n">
        <f aca="false">COUNTIFS('Page-Keyword Map'!$A$2:$A$668,B150,'Page-Keyword Map'!$E$2:$E$668,"Provincial")</f>
        <v>1</v>
      </c>
      <c r="W150" s="15" t="n">
        <f aca="false">COUNTIFS('Page-Keyword Map'!$A$2:$A$668,B150,'Page-Keyword Map'!$E$2:$E$668,"City")</f>
        <v>0</v>
      </c>
      <c r="X150" s="15" t="str">
        <f aca="false">IF(O150="","",IF(ISNUMBER(SEARCH(O150,J150)),"Yes","No"))</f>
        <v>No</v>
      </c>
      <c r="Y150" s="15" t="n">
        <v>0.7</v>
      </c>
      <c r="Z150" s="15" t="s">
        <v>663</v>
      </c>
      <c r="AA150" s="15" t="s">
        <v>131</v>
      </c>
      <c r="AB150" s="17"/>
      <c r="AC150" s="17"/>
    </row>
    <row r="151" customFormat="false" ht="23.85" hidden="false" customHeight="false" outlineLevel="0" collapsed="false">
      <c r="A151" s="15" t="s">
        <v>1048</v>
      </c>
      <c r="B151" s="15" t="s">
        <v>1049</v>
      </c>
      <c r="C151" s="15" t="s">
        <v>656</v>
      </c>
      <c r="D151" s="15" t="s">
        <v>76</v>
      </c>
      <c r="E151" s="15" t="s">
        <v>286</v>
      </c>
      <c r="F151" s="15"/>
      <c r="G151" s="15" t="s">
        <v>736</v>
      </c>
      <c r="H151" s="15"/>
      <c r="I151" s="15" t="s">
        <v>126</v>
      </c>
      <c r="J151" s="3" t="s">
        <v>1050</v>
      </c>
      <c r="K151" s="15" t="n">
        <f aca="false">LEN(J151)</f>
        <v>72</v>
      </c>
      <c r="L151" s="3" t="s">
        <v>1051</v>
      </c>
      <c r="M151" s="15" t="n">
        <f aca="false">LEN(L151)</f>
        <v>144</v>
      </c>
      <c r="N151" s="3" t="s">
        <v>1052</v>
      </c>
      <c r="O151" s="15" t="s">
        <v>1053</v>
      </c>
      <c r="P151" s="16" t="n">
        <v>20</v>
      </c>
      <c r="Q151" s="15" t="s">
        <v>662</v>
      </c>
      <c r="R151" s="15"/>
      <c r="S151" s="15" t="n">
        <f aca="false">COUNTIF('Page-Keyword Map'!$A$2:$A$668,B151)</f>
        <v>1</v>
      </c>
      <c r="T151" s="16" t="n">
        <f aca="false">SUMIF('Page-Keyword Map'!$A$2:$A$668,B151,'Page-Keyword Map'!$H$2:$H$668)</f>
        <v>20</v>
      </c>
      <c r="U151" s="15" t="n">
        <f aca="false">COUNTIFS('Page-Keyword Map'!$A$2:$A$668,B151,'Page-Keyword Map'!$E$2:$E$668,"Nationwide")</f>
        <v>0</v>
      </c>
      <c r="V151" s="15" t="n">
        <f aca="false">COUNTIFS('Page-Keyword Map'!$A$2:$A$668,B151,'Page-Keyword Map'!$E$2:$E$668,"Provincial")</f>
        <v>1</v>
      </c>
      <c r="W151" s="15" t="n">
        <f aca="false">COUNTIFS('Page-Keyword Map'!$A$2:$A$668,B151,'Page-Keyword Map'!$E$2:$E$668,"City")</f>
        <v>0</v>
      </c>
      <c r="X151" s="15" t="str">
        <f aca="false">IF(O151="","",IF(ISNUMBER(SEARCH(O151,J151)),"Yes","No"))</f>
        <v>No</v>
      </c>
      <c r="Y151" s="15" t="n">
        <v>0.7</v>
      </c>
      <c r="Z151" s="15" t="s">
        <v>663</v>
      </c>
      <c r="AA151" s="15" t="s">
        <v>131</v>
      </c>
      <c r="AB151" s="17"/>
      <c r="AC151" s="17"/>
    </row>
    <row r="152" customFormat="false" ht="23.85" hidden="false" customHeight="false" outlineLevel="0" collapsed="false">
      <c r="A152" s="15" t="s">
        <v>1054</v>
      </c>
      <c r="B152" s="15" t="s">
        <v>1055</v>
      </c>
      <c r="C152" s="15" t="s">
        <v>656</v>
      </c>
      <c r="D152" s="15" t="s">
        <v>76</v>
      </c>
      <c r="E152" s="15" t="s">
        <v>286</v>
      </c>
      <c r="F152" s="15"/>
      <c r="G152" s="15" t="s">
        <v>743</v>
      </c>
      <c r="H152" s="15"/>
      <c r="I152" s="15" t="s">
        <v>126</v>
      </c>
      <c r="J152" s="3" t="s">
        <v>1056</v>
      </c>
      <c r="K152" s="15" t="n">
        <f aca="false">LEN(J152)</f>
        <v>65</v>
      </c>
      <c r="L152" s="3" t="s">
        <v>1057</v>
      </c>
      <c r="M152" s="15" t="n">
        <f aca="false">LEN(L152)</f>
        <v>163</v>
      </c>
      <c r="N152" s="3" t="s">
        <v>1058</v>
      </c>
      <c r="O152" s="15"/>
      <c r="P152" s="16"/>
      <c r="Q152" s="15"/>
      <c r="R152" s="15" t="s">
        <v>1059</v>
      </c>
      <c r="S152" s="15" t="n">
        <f aca="false">COUNTIF('Page-Keyword Map'!$A$2:$A$668,B152)</f>
        <v>0</v>
      </c>
      <c r="T152" s="16" t="n">
        <f aca="false">SUMIF('Page-Keyword Map'!$A$2:$A$668,B152,'Page-Keyword Map'!$H$2:$H$668)</f>
        <v>0</v>
      </c>
      <c r="U152" s="15" t="n">
        <f aca="false">COUNTIFS('Page-Keyword Map'!$A$2:$A$668,B152,'Page-Keyword Map'!$E$2:$E$668,"Nationwide")</f>
        <v>0</v>
      </c>
      <c r="V152" s="15" t="n">
        <f aca="false">COUNTIFS('Page-Keyword Map'!$A$2:$A$668,B152,'Page-Keyword Map'!$E$2:$E$668,"Provincial")</f>
        <v>0</v>
      </c>
      <c r="W152" s="15" t="n">
        <f aca="false">COUNTIFS('Page-Keyword Map'!$A$2:$A$668,B152,'Page-Keyword Map'!$E$2:$E$668,"City")</f>
        <v>0</v>
      </c>
      <c r="X152" s="15" t="str">
        <f aca="false">IF(O152="","",IF(ISNUMBER(SEARCH(O152,J152)),"Yes","No"))</f>
        <v/>
      </c>
      <c r="Y152" s="15" t="n">
        <v>0.7</v>
      </c>
      <c r="Z152" s="15" t="s">
        <v>663</v>
      </c>
      <c r="AA152" s="15" t="s">
        <v>131</v>
      </c>
      <c r="AB152" s="17"/>
      <c r="AC152" s="17"/>
    </row>
    <row r="153" customFormat="false" ht="23.85" hidden="false" customHeight="false" outlineLevel="0" collapsed="false">
      <c r="A153" s="15" t="s">
        <v>1060</v>
      </c>
      <c r="B153" s="15" t="s">
        <v>1061</v>
      </c>
      <c r="C153" s="15" t="s">
        <v>656</v>
      </c>
      <c r="D153" s="15" t="s">
        <v>77</v>
      </c>
      <c r="E153" s="15" t="s">
        <v>293</v>
      </c>
      <c r="F153" s="15"/>
      <c r="G153" s="15" t="s">
        <v>657</v>
      </c>
      <c r="H153" s="15"/>
      <c r="I153" s="15" t="s">
        <v>126</v>
      </c>
      <c r="J153" s="3" t="s">
        <v>1062</v>
      </c>
      <c r="K153" s="15" t="n">
        <f aca="false">LEN(J153)</f>
        <v>61</v>
      </c>
      <c r="L153" s="3" t="s">
        <v>1063</v>
      </c>
      <c r="M153" s="15" t="n">
        <f aca="false">LEN(L153)</f>
        <v>155</v>
      </c>
      <c r="N153" s="3" t="s">
        <v>1064</v>
      </c>
      <c r="O153" s="15" t="s">
        <v>1065</v>
      </c>
      <c r="P153" s="16" t="n">
        <v>81</v>
      </c>
      <c r="Q153" s="15" t="s">
        <v>662</v>
      </c>
      <c r="R153" s="15"/>
      <c r="S153" s="15" t="n">
        <f aca="false">COUNTIF('Page-Keyword Map'!$A$2:$A$668,B153)</f>
        <v>1</v>
      </c>
      <c r="T153" s="16" t="n">
        <f aca="false">SUMIF('Page-Keyword Map'!$A$2:$A$668,B153,'Page-Keyword Map'!$H$2:$H$668)</f>
        <v>81</v>
      </c>
      <c r="U153" s="15" t="n">
        <f aca="false">COUNTIFS('Page-Keyword Map'!$A$2:$A$668,B153,'Page-Keyword Map'!$E$2:$E$668,"Nationwide")</f>
        <v>0</v>
      </c>
      <c r="V153" s="15" t="n">
        <f aca="false">COUNTIFS('Page-Keyword Map'!$A$2:$A$668,B153,'Page-Keyword Map'!$E$2:$E$668,"Provincial")</f>
        <v>1</v>
      </c>
      <c r="W153" s="15" t="n">
        <f aca="false">COUNTIFS('Page-Keyword Map'!$A$2:$A$668,B153,'Page-Keyword Map'!$E$2:$E$668,"City")</f>
        <v>0</v>
      </c>
      <c r="X153" s="15" t="str">
        <f aca="false">IF(O153="","",IF(ISNUMBER(SEARCH(O153,J153)),"Yes","No"))</f>
        <v>No</v>
      </c>
      <c r="Y153" s="15" t="n">
        <v>0.7</v>
      </c>
      <c r="Z153" s="15" t="s">
        <v>663</v>
      </c>
      <c r="AA153" s="15" t="s">
        <v>131</v>
      </c>
      <c r="AB153" s="17"/>
      <c r="AC153" s="17"/>
    </row>
    <row r="154" customFormat="false" ht="23.85" hidden="false" customHeight="false" outlineLevel="0" collapsed="false">
      <c r="A154" s="15" t="s">
        <v>1066</v>
      </c>
      <c r="B154" s="15" t="s">
        <v>1067</v>
      </c>
      <c r="C154" s="15" t="s">
        <v>656</v>
      </c>
      <c r="D154" s="15" t="s">
        <v>77</v>
      </c>
      <c r="E154" s="15" t="s">
        <v>293</v>
      </c>
      <c r="F154" s="15"/>
      <c r="G154" s="15" t="s">
        <v>666</v>
      </c>
      <c r="H154" s="15"/>
      <c r="I154" s="15" t="s">
        <v>126</v>
      </c>
      <c r="J154" s="3" t="s">
        <v>1068</v>
      </c>
      <c r="K154" s="15" t="n">
        <f aca="false">LEN(J154)</f>
        <v>70</v>
      </c>
      <c r="L154" s="3" t="s">
        <v>1069</v>
      </c>
      <c r="M154" s="15" t="n">
        <f aca="false">LEN(L154)</f>
        <v>147</v>
      </c>
      <c r="N154" s="3" t="s">
        <v>1070</v>
      </c>
      <c r="O154" s="15" t="s">
        <v>1071</v>
      </c>
      <c r="P154" s="16" t="n">
        <v>94</v>
      </c>
      <c r="Q154" s="15" t="s">
        <v>662</v>
      </c>
      <c r="R154" s="15"/>
      <c r="S154" s="15" t="n">
        <f aca="false">COUNTIF('Page-Keyword Map'!$A$2:$A$668,B154)</f>
        <v>1</v>
      </c>
      <c r="T154" s="16" t="n">
        <f aca="false">SUMIF('Page-Keyword Map'!$A$2:$A$668,B154,'Page-Keyword Map'!$H$2:$H$668)</f>
        <v>94</v>
      </c>
      <c r="U154" s="15" t="n">
        <f aca="false">COUNTIFS('Page-Keyword Map'!$A$2:$A$668,B154,'Page-Keyword Map'!$E$2:$E$668,"Nationwide")</f>
        <v>0</v>
      </c>
      <c r="V154" s="15" t="n">
        <f aca="false">COUNTIFS('Page-Keyword Map'!$A$2:$A$668,B154,'Page-Keyword Map'!$E$2:$E$668,"Provincial")</f>
        <v>1</v>
      </c>
      <c r="W154" s="15" t="n">
        <f aca="false">COUNTIFS('Page-Keyword Map'!$A$2:$A$668,B154,'Page-Keyword Map'!$E$2:$E$668,"City")</f>
        <v>0</v>
      </c>
      <c r="X154" s="15" t="str">
        <f aca="false">IF(O154="","",IF(ISNUMBER(SEARCH(O154,J154)),"Yes","No"))</f>
        <v>No</v>
      </c>
      <c r="Y154" s="15" t="n">
        <v>0.7</v>
      </c>
      <c r="Z154" s="15" t="s">
        <v>663</v>
      </c>
      <c r="AA154" s="15" t="s">
        <v>131</v>
      </c>
      <c r="AB154" s="17"/>
      <c r="AC154" s="17"/>
    </row>
    <row r="155" customFormat="false" ht="23.85" hidden="false" customHeight="false" outlineLevel="0" collapsed="false">
      <c r="A155" s="15" t="s">
        <v>1072</v>
      </c>
      <c r="B155" s="15" t="s">
        <v>1073</v>
      </c>
      <c r="C155" s="15" t="s">
        <v>656</v>
      </c>
      <c r="D155" s="15" t="s">
        <v>77</v>
      </c>
      <c r="E155" s="15" t="s">
        <v>293</v>
      </c>
      <c r="F155" s="15"/>
      <c r="G155" s="15" t="s">
        <v>673</v>
      </c>
      <c r="H155" s="15"/>
      <c r="I155" s="15" t="s">
        <v>126</v>
      </c>
      <c r="J155" s="3" t="s">
        <v>1074</v>
      </c>
      <c r="K155" s="15" t="n">
        <f aca="false">LEN(J155)</f>
        <v>62</v>
      </c>
      <c r="L155" s="3" t="s">
        <v>1075</v>
      </c>
      <c r="M155" s="15" t="n">
        <f aca="false">LEN(L155)</f>
        <v>130</v>
      </c>
      <c r="N155" s="3" t="s">
        <v>1076</v>
      </c>
      <c r="O155" s="15" t="s">
        <v>1077</v>
      </c>
      <c r="P155" s="16" t="n">
        <v>29</v>
      </c>
      <c r="Q155" s="15" t="s">
        <v>662</v>
      </c>
      <c r="R155" s="15"/>
      <c r="S155" s="15" t="n">
        <f aca="false">COUNTIF('Page-Keyword Map'!$A$2:$A$668,B155)</f>
        <v>1</v>
      </c>
      <c r="T155" s="16" t="n">
        <f aca="false">SUMIF('Page-Keyword Map'!$A$2:$A$668,B155,'Page-Keyword Map'!$H$2:$H$668)</f>
        <v>29</v>
      </c>
      <c r="U155" s="15" t="n">
        <f aca="false">COUNTIFS('Page-Keyword Map'!$A$2:$A$668,B155,'Page-Keyword Map'!$E$2:$E$668,"Nationwide")</f>
        <v>0</v>
      </c>
      <c r="V155" s="15" t="n">
        <f aca="false">COUNTIFS('Page-Keyword Map'!$A$2:$A$668,B155,'Page-Keyword Map'!$E$2:$E$668,"Provincial")</f>
        <v>1</v>
      </c>
      <c r="W155" s="15" t="n">
        <f aca="false">COUNTIFS('Page-Keyword Map'!$A$2:$A$668,B155,'Page-Keyword Map'!$E$2:$E$668,"City")</f>
        <v>0</v>
      </c>
      <c r="X155" s="15" t="str">
        <f aca="false">IF(O155="","",IF(ISNUMBER(SEARCH(O155,J155)),"Yes","No"))</f>
        <v>No</v>
      </c>
      <c r="Y155" s="15" t="n">
        <v>0.7</v>
      </c>
      <c r="Z155" s="15" t="s">
        <v>663</v>
      </c>
      <c r="AA155" s="15" t="s">
        <v>131</v>
      </c>
      <c r="AB155" s="17"/>
      <c r="AC155" s="17"/>
    </row>
    <row r="156" customFormat="false" ht="23.85" hidden="false" customHeight="false" outlineLevel="0" collapsed="false">
      <c r="A156" s="15" t="s">
        <v>1078</v>
      </c>
      <c r="B156" s="15" t="s">
        <v>1079</v>
      </c>
      <c r="C156" s="15" t="s">
        <v>656</v>
      </c>
      <c r="D156" s="15" t="s">
        <v>77</v>
      </c>
      <c r="E156" s="15" t="s">
        <v>293</v>
      </c>
      <c r="F156" s="15"/>
      <c r="G156" s="15" t="s">
        <v>680</v>
      </c>
      <c r="H156" s="15"/>
      <c r="I156" s="15" t="s">
        <v>126</v>
      </c>
      <c r="J156" s="3" t="s">
        <v>1080</v>
      </c>
      <c r="K156" s="15" t="n">
        <f aca="false">LEN(J156)</f>
        <v>67</v>
      </c>
      <c r="L156" s="3" t="s">
        <v>1081</v>
      </c>
      <c r="M156" s="15" t="n">
        <f aca="false">LEN(L156)</f>
        <v>140</v>
      </c>
      <c r="N156" s="3" t="s">
        <v>1082</v>
      </c>
      <c r="O156" s="15"/>
      <c r="P156" s="16"/>
      <c r="Q156" s="15"/>
      <c r="R156" s="15" t="s">
        <v>1083</v>
      </c>
      <c r="S156" s="15" t="n">
        <f aca="false">COUNTIF('Page-Keyword Map'!$A$2:$A$668,B156)</f>
        <v>0</v>
      </c>
      <c r="T156" s="16" t="n">
        <f aca="false">SUMIF('Page-Keyword Map'!$A$2:$A$668,B156,'Page-Keyword Map'!$H$2:$H$668)</f>
        <v>0</v>
      </c>
      <c r="U156" s="15" t="n">
        <f aca="false">COUNTIFS('Page-Keyword Map'!$A$2:$A$668,B156,'Page-Keyword Map'!$E$2:$E$668,"Nationwide")</f>
        <v>0</v>
      </c>
      <c r="V156" s="15" t="n">
        <f aca="false">COUNTIFS('Page-Keyword Map'!$A$2:$A$668,B156,'Page-Keyword Map'!$E$2:$E$668,"Provincial")</f>
        <v>0</v>
      </c>
      <c r="W156" s="15" t="n">
        <f aca="false">COUNTIFS('Page-Keyword Map'!$A$2:$A$668,B156,'Page-Keyword Map'!$E$2:$E$668,"City")</f>
        <v>0</v>
      </c>
      <c r="X156" s="15" t="str">
        <f aca="false">IF(O156="","",IF(ISNUMBER(SEARCH(O156,J156)),"Yes","No"))</f>
        <v/>
      </c>
      <c r="Y156" s="15" t="n">
        <v>0.7</v>
      </c>
      <c r="Z156" s="15" t="s">
        <v>663</v>
      </c>
      <c r="AA156" s="15" t="s">
        <v>131</v>
      </c>
      <c r="AB156" s="17"/>
      <c r="AC156" s="17"/>
    </row>
    <row r="157" customFormat="false" ht="23.85" hidden="false" customHeight="false" outlineLevel="0" collapsed="false">
      <c r="A157" s="15" t="s">
        <v>1084</v>
      </c>
      <c r="B157" s="15" t="s">
        <v>1085</v>
      </c>
      <c r="C157" s="15" t="s">
        <v>656</v>
      </c>
      <c r="D157" s="15" t="s">
        <v>77</v>
      </c>
      <c r="E157" s="15" t="s">
        <v>293</v>
      </c>
      <c r="F157" s="15"/>
      <c r="G157" s="15" t="s">
        <v>687</v>
      </c>
      <c r="H157" s="15"/>
      <c r="I157" s="15" t="s">
        <v>126</v>
      </c>
      <c r="J157" s="3" t="s">
        <v>1086</v>
      </c>
      <c r="K157" s="15" t="n">
        <f aca="false">LEN(J157)</f>
        <v>79</v>
      </c>
      <c r="L157" s="3" t="s">
        <v>1087</v>
      </c>
      <c r="M157" s="15" t="n">
        <f aca="false">LEN(L157)</f>
        <v>161</v>
      </c>
      <c r="N157" s="3" t="s">
        <v>1088</v>
      </c>
      <c r="O157" s="15"/>
      <c r="P157" s="16"/>
      <c r="Q157" s="15"/>
      <c r="R157" s="15" t="s">
        <v>1089</v>
      </c>
      <c r="S157" s="15" t="n">
        <f aca="false">COUNTIF('Page-Keyword Map'!$A$2:$A$668,B157)</f>
        <v>0</v>
      </c>
      <c r="T157" s="16" t="n">
        <f aca="false">SUMIF('Page-Keyword Map'!$A$2:$A$668,B157,'Page-Keyword Map'!$H$2:$H$668)</f>
        <v>0</v>
      </c>
      <c r="U157" s="15" t="n">
        <f aca="false">COUNTIFS('Page-Keyword Map'!$A$2:$A$668,B157,'Page-Keyword Map'!$E$2:$E$668,"Nationwide")</f>
        <v>0</v>
      </c>
      <c r="V157" s="15" t="n">
        <f aca="false">COUNTIFS('Page-Keyword Map'!$A$2:$A$668,B157,'Page-Keyword Map'!$E$2:$E$668,"Provincial")</f>
        <v>0</v>
      </c>
      <c r="W157" s="15" t="n">
        <f aca="false">COUNTIFS('Page-Keyword Map'!$A$2:$A$668,B157,'Page-Keyword Map'!$E$2:$E$668,"City")</f>
        <v>0</v>
      </c>
      <c r="X157" s="15" t="str">
        <f aca="false">IF(O157="","",IF(ISNUMBER(SEARCH(O157,J157)),"Yes","No"))</f>
        <v/>
      </c>
      <c r="Y157" s="15" t="n">
        <v>0.7</v>
      </c>
      <c r="Z157" s="15" t="s">
        <v>663</v>
      </c>
      <c r="AA157" s="15" t="s">
        <v>131</v>
      </c>
      <c r="AB157" s="17"/>
      <c r="AC157" s="17"/>
    </row>
    <row r="158" customFormat="false" ht="23.85" hidden="false" customHeight="false" outlineLevel="0" collapsed="false">
      <c r="A158" s="15" t="s">
        <v>1090</v>
      </c>
      <c r="B158" s="15" t="s">
        <v>1091</v>
      </c>
      <c r="C158" s="15" t="s">
        <v>656</v>
      </c>
      <c r="D158" s="15" t="s">
        <v>77</v>
      </c>
      <c r="E158" s="15" t="s">
        <v>293</v>
      </c>
      <c r="F158" s="15"/>
      <c r="G158" s="15" t="s">
        <v>694</v>
      </c>
      <c r="H158" s="15"/>
      <c r="I158" s="15" t="s">
        <v>126</v>
      </c>
      <c r="J158" s="3" t="s">
        <v>1092</v>
      </c>
      <c r="K158" s="15" t="n">
        <f aca="false">LEN(J158)</f>
        <v>75</v>
      </c>
      <c r="L158" s="3" t="s">
        <v>1093</v>
      </c>
      <c r="M158" s="15" t="n">
        <f aca="false">LEN(L158)</f>
        <v>162</v>
      </c>
      <c r="N158" s="3" t="s">
        <v>1094</v>
      </c>
      <c r="O158" s="15"/>
      <c r="P158" s="16"/>
      <c r="Q158" s="15"/>
      <c r="R158" s="15" t="s">
        <v>1095</v>
      </c>
      <c r="S158" s="15" t="n">
        <f aca="false">COUNTIF('Page-Keyword Map'!$A$2:$A$668,B158)</f>
        <v>0</v>
      </c>
      <c r="T158" s="16" t="n">
        <f aca="false">SUMIF('Page-Keyword Map'!$A$2:$A$668,B158,'Page-Keyword Map'!$H$2:$H$668)</f>
        <v>0</v>
      </c>
      <c r="U158" s="15" t="n">
        <f aca="false">COUNTIFS('Page-Keyword Map'!$A$2:$A$668,B158,'Page-Keyword Map'!$E$2:$E$668,"Nationwide")</f>
        <v>0</v>
      </c>
      <c r="V158" s="15" t="n">
        <f aca="false">COUNTIFS('Page-Keyword Map'!$A$2:$A$668,B158,'Page-Keyword Map'!$E$2:$E$668,"Provincial")</f>
        <v>0</v>
      </c>
      <c r="W158" s="15" t="n">
        <f aca="false">COUNTIFS('Page-Keyword Map'!$A$2:$A$668,B158,'Page-Keyword Map'!$E$2:$E$668,"City")</f>
        <v>0</v>
      </c>
      <c r="X158" s="15" t="str">
        <f aca="false">IF(O158="","",IF(ISNUMBER(SEARCH(O158,J158)),"Yes","No"))</f>
        <v/>
      </c>
      <c r="Y158" s="15" t="n">
        <v>0.7</v>
      </c>
      <c r="Z158" s="15" t="s">
        <v>663</v>
      </c>
      <c r="AA158" s="15" t="s">
        <v>131</v>
      </c>
      <c r="AB158" s="17"/>
      <c r="AC158" s="17"/>
    </row>
    <row r="159" customFormat="false" ht="23.85" hidden="false" customHeight="false" outlineLevel="0" collapsed="false">
      <c r="A159" s="15" t="s">
        <v>1096</v>
      </c>
      <c r="B159" s="15" t="s">
        <v>1097</v>
      </c>
      <c r="C159" s="15" t="s">
        <v>656</v>
      </c>
      <c r="D159" s="15" t="s">
        <v>77</v>
      </c>
      <c r="E159" s="15" t="s">
        <v>293</v>
      </c>
      <c r="F159" s="15"/>
      <c r="G159" s="15" t="s">
        <v>701</v>
      </c>
      <c r="H159" s="15"/>
      <c r="I159" s="15" t="s">
        <v>126</v>
      </c>
      <c r="J159" s="3" t="s">
        <v>1098</v>
      </c>
      <c r="K159" s="15" t="n">
        <f aca="false">LEN(J159)</f>
        <v>65</v>
      </c>
      <c r="L159" s="3" t="s">
        <v>1099</v>
      </c>
      <c r="M159" s="15" t="n">
        <f aca="false">LEN(L159)</f>
        <v>159</v>
      </c>
      <c r="N159" s="3" t="s">
        <v>1100</v>
      </c>
      <c r="O159" s="15" t="s">
        <v>1101</v>
      </c>
      <c r="P159" s="16" t="n">
        <v>21</v>
      </c>
      <c r="Q159" s="15" t="s">
        <v>662</v>
      </c>
      <c r="R159" s="15"/>
      <c r="S159" s="15" t="n">
        <f aca="false">COUNTIF('Page-Keyword Map'!$A$2:$A$668,B159)</f>
        <v>1</v>
      </c>
      <c r="T159" s="16" t="n">
        <f aca="false">SUMIF('Page-Keyword Map'!$A$2:$A$668,B159,'Page-Keyword Map'!$H$2:$H$668)</f>
        <v>21</v>
      </c>
      <c r="U159" s="15" t="n">
        <f aca="false">COUNTIFS('Page-Keyword Map'!$A$2:$A$668,B159,'Page-Keyword Map'!$E$2:$E$668,"Nationwide")</f>
        <v>0</v>
      </c>
      <c r="V159" s="15" t="n">
        <f aca="false">COUNTIFS('Page-Keyword Map'!$A$2:$A$668,B159,'Page-Keyword Map'!$E$2:$E$668,"Provincial")</f>
        <v>1</v>
      </c>
      <c r="W159" s="15" t="n">
        <f aca="false">COUNTIFS('Page-Keyword Map'!$A$2:$A$668,B159,'Page-Keyword Map'!$E$2:$E$668,"City")</f>
        <v>0</v>
      </c>
      <c r="X159" s="15" t="str">
        <f aca="false">IF(O159="","",IF(ISNUMBER(SEARCH(O159,J159)),"Yes","No"))</f>
        <v>No</v>
      </c>
      <c r="Y159" s="15" t="n">
        <v>0.7</v>
      </c>
      <c r="Z159" s="15" t="s">
        <v>663</v>
      </c>
      <c r="AA159" s="15" t="s">
        <v>131</v>
      </c>
      <c r="AB159" s="17"/>
      <c r="AC159" s="17"/>
    </row>
    <row r="160" customFormat="false" ht="23.85" hidden="false" customHeight="false" outlineLevel="0" collapsed="false">
      <c r="A160" s="15" t="s">
        <v>1102</v>
      </c>
      <c r="B160" s="15" t="s">
        <v>1103</v>
      </c>
      <c r="C160" s="15" t="s">
        <v>656</v>
      </c>
      <c r="D160" s="15" t="s">
        <v>77</v>
      </c>
      <c r="E160" s="15" t="s">
        <v>293</v>
      </c>
      <c r="F160" s="15"/>
      <c r="G160" s="15" t="s">
        <v>708</v>
      </c>
      <c r="H160" s="15"/>
      <c r="I160" s="15" t="s">
        <v>126</v>
      </c>
      <c r="J160" s="3" t="s">
        <v>1104</v>
      </c>
      <c r="K160" s="15" t="n">
        <f aca="false">LEN(J160)</f>
        <v>61</v>
      </c>
      <c r="L160" s="3" t="s">
        <v>1105</v>
      </c>
      <c r="M160" s="15" t="n">
        <f aca="false">LEN(L160)</f>
        <v>163</v>
      </c>
      <c r="N160" s="3" t="s">
        <v>1106</v>
      </c>
      <c r="O160" s="15"/>
      <c r="P160" s="16"/>
      <c r="Q160" s="15"/>
      <c r="R160" s="15" t="s">
        <v>1107</v>
      </c>
      <c r="S160" s="15" t="n">
        <f aca="false">COUNTIF('Page-Keyword Map'!$A$2:$A$668,B160)</f>
        <v>0</v>
      </c>
      <c r="T160" s="16" t="n">
        <f aca="false">SUMIF('Page-Keyword Map'!$A$2:$A$668,B160,'Page-Keyword Map'!$H$2:$H$668)</f>
        <v>0</v>
      </c>
      <c r="U160" s="15" t="n">
        <f aca="false">COUNTIFS('Page-Keyword Map'!$A$2:$A$668,B160,'Page-Keyword Map'!$E$2:$E$668,"Nationwide")</f>
        <v>0</v>
      </c>
      <c r="V160" s="15" t="n">
        <f aca="false">COUNTIFS('Page-Keyword Map'!$A$2:$A$668,B160,'Page-Keyword Map'!$E$2:$E$668,"Provincial")</f>
        <v>0</v>
      </c>
      <c r="W160" s="15" t="n">
        <f aca="false">COUNTIFS('Page-Keyword Map'!$A$2:$A$668,B160,'Page-Keyword Map'!$E$2:$E$668,"City")</f>
        <v>0</v>
      </c>
      <c r="X160" s="15" t="str">
        <f aca="false">IF(O160="","",IF(ISNUMBER(SEARCH(O160,J160)),"Yes","No"))</f>
        <v/>
      </c>
      <c r="Y160" s="15" t="n">
        <v>0.7</v>
      </c>
      <c r="Z160" s="15" t="s">
        <v>663</v>
      </c>
      <c r="AA160" s="15" t="s">
        <v>131</v>
      </c>
      <c r="AB160" s="17"/>
      <c r="AC160" s="17"/>
    </row>
    <row r="161" customFormat="false" ht="23.85" hidden="false" customHeight="false" outlineLevel="0" collapsed="false">
      <c r="A161" s="15" t="s">
        <v>1108</v>
      </c>
      <c r="B161" s="15" t="s">
        <v>1109</v>
      </c>
      <c r="C161" s="15" t="s">
        <v>656</v>
      </c>
      <c r="D161" s="15" t="s">
        <v>77</v>
      </c>
      <c r="E161" s="15" t="s">
        <v>293</v>
      </c>
      <c r="F161" s="15"/>
      <c r="G161" s="15" t="s">
        <v>715</v>
      </c>
      <c r="H161" s="15"/>
      <c r="I161" s="15" t="s">
        <v>126</v>
      </c>
      <c r="J161" s="3" t="s">
        <v>1110</v>
      </c>
      <c r="K161" s="15" t="n">
        <f aca="false">LEN(J161)</f>
        <v>61</v>
      </c>
      <c r="L161" s="3" t="s">
        <v>1111</v>
      </c>
      <c r="M161" s="15" t="n">
        <f aca="false">LEN(L161)</f>
        <v>128</v>
      </c>
      <c r="N161" s="3" t="s">
        <v>1112</v>
      </c>
      <c r="O161" s="15" t="s">
        <v>1113</v>
      </c>
      <c r="P161" s="16" t="n">
        <v>270</v>
      </c>
      <c r="Q161" s="15" t="s">
        <v>662</v>
      </c>
      <c r="R161" s="15"/>
      <c r="S161" s="15" t="n">
        <f aca="false">COUNTIF('Page-Keyword Map'!$A$2:$A$668,B161)</f>
        <v>1</v>
      </c>
      <c r="T161" s="16" t="n">
        <f aca="false">SUMIF('Page-Keyword Map'!$A$2:$A$668,B161,'Page-Keyword Map'!$H$2:$H$668)</f>
        <v>270</v>
      </c>
      <c r="U161" s="15" t="n">
        <f aca="false">COUNTIFS('Page-Keyword Map'!$A$2:$A$668,B161,'Page-Keyword Map'!$E$2:$E$668,"Nationwide")</f>
        <v>0</v>
      </c>
      <c r="V161" s="15" t="n">
        <f aca="false">COUNTIFS('Page-Keyword Map'!$A$2:$A$668,B161,'Page-Keyword Map'!$E$2:$E$668,"Provincial")</f>
        <v>1</v>
      </c>
      <c r="W161" s="15" t="n">
        <f aca="false">COUNTIFS('Page-Keyword Map'!$A$2:$A$668,B161,'Page-Keyword Map'!$E$2:$E$668,"City")</f>
        <v>0</v>
      </c>
      <c r="X161" s="15" t="str">
        <f aca="false">IF(O161="","",IF(ISNUMBER(SEARCH(O161,J161)),"Yes","No"))</f>
        <v>No</v>
      </c>
      <c r="Y161" s="15" t="n">
        <v>0.7</v>
      </c>
      <c r="Z161" s="15" t="s">
        <v>663</v>
      </c>
      <c r="AA161" s="15" t="s">
        <v>131</v>
      </c>
      <c r="AB161" s="17"/>
      <c r="AC161" s="17"/>
    </row>
    <row r="162" customFormat="false" ht="23.85" hidden="false" customHeight="false" outlineLevel="0" collapsed="false">
      <c r="A162" s="15" t="s">
        <v>1114</v>
      </c>
      <c r="B162" s="15" t="s">
        <v>1115</v>
      </c>
      <c r="C162" s="15" t="s">
        <v>656</v>
      </c>
      <c r="D162" s="15" t="s">
        <v>77</v>
      </c>
      <c r="E162" s="15" t="s">
        <v>293</v>
      </c>
      <c r="F162" s="15"/>
      <c r="G162" s="15" t="s">
        <v>722</v>
      </c>
      <c r="H162" s="15"/>
      <c r="I162" s="15" t="s">
        <v>126</v>
      </c>
      <c r="J162" s="3" t="s">
        <v>1116</v>
      </c>
      <c r="K162" s="15" t="n">
        <f aca="false">LEN(J162)</f>
        <v>74</v>
      </c>
      <c r="L162" s="3" t="s">
        <v>1117</v>
      </c>
      <c r="M162" s="15" t="n">
        <f aca="false">LEN(L162)</f>
        <v>158</v>
      </c>
      <c r="N162" s="3" t="s">
        <v>1118</v>
      </c>
      <c r="O162" s="15"/>
      <c r="P162" s="16"/>
      <c r="Q162" s="15"/>
      <c r="R162" s="15" t="s">
        <v>1119</v>
      </c>
      <c r="S162" s="15" t="n">
        <f aca="false">COUNTIF('Page-Keyword Map'!$A$2:$A$668,B162)</f>
        <v>0</v>
      </c>
      <c r="T162" s="16" t="n">
        <f aca="false">SUMIF('Page-Keyword Map'!$A$2:$A$668,B162,'Page-Keyword Map'!$H$2:$H$668)</f>
        <v>0</v>
      </c>
      <c r="U162" s="15" t="n">
        <f aca="false">COUNTIFS('Page-Keyword Map'!$A$2:$A$668,B162,'Page-Keyword Map'!$E$2:$E$668,"Nationwide")</f>
        <v>0</v>
      </c>
      <c r="V162" s="15" t="n">
        <f aca="false">COUNTIFS('Page-Keyword Map'!$A$2:$A$668,B162,'Page-Keyword Map'!$E$2:$E$668,"Provincial")</f>
        <v>0</v>
      </c>
      <c r="W162" s="15" t="n">
        <f aca="false">COUNTIFS('Page-Keyword Map'!$A$2:$A$668,B162,'Page-Keyword Map'!$E$2:$E$668,"City")</f>
        <v>0</v>
      </c>
      <c r="X162" s="15" t="str">
        <f aca="false">IF(O162="","",IF(ISNUMBER(SEARCH(O162,J162)),"Yes","No"))</f>
        <v/>
      </c>
      <c r="Y162" s="15" t="n">
        <v>0.7</v>
      </c>
      <c r="Z162" s="15" t="s">
        <v>663</v>
      </c>
      <c r="AA162" s="15" t="s">
        <v>131</v>
      </c>
      <c r="AB162" s="17"/>
      <c r="AC162" s="17"/>
    </row>
    <row r="163" customFormat="false" ht="23.85" hidden="false" customHeight="false" outlineLevel="0" collapsed="false">
      <c r="A163" s="15" t="s">
        <v>1120</v>
      </c>
      <c r="B163" s="15" t="s">
        <v>1121</v>
      </c>
      <c r="C163" s="15" t="s">
        <v>656</v>
      </c>
      <c r="D163" s="15" t="s">
        <v>77</v>
      </c>
      <c r="E163" s="15" t="s">
        <v>293</v>
      </c>
      <c r="F163" s="15"/>
      <c r="G163" s="15" t="s">
        <v>729</v>
      </c>
      <c r="H163" s="15"/>
      <c r="I163" s="15" t="s">
        <v>126</v>
      </c>
      <c r="J163" s="3" t="s">
        <v>1122</v>
      </c>
      <c r="K163" s="15" t="n">
        <f aca="false">LEN(J163)</f>
        <v>60</v>
      </c>
      <c r="L163" s="3" t="s">
        <v>1123</v>
      </c>
      <c r="M163" s="15" t="n">
        <f aca="false">LEN(L163)</f>
        <v>138</v>
      </c>
      <c r="N163" s="3" t="s">
        <v>1124</v>
      </c>
      <c r="O163" s="15" t="s">
        <v>1125</v>
      </c>
      <c r="P163" s="16" t="n">
        <v>47</v>
      </c>
      <c r="Q163" s="15" t="s">
        <v>662</v>
      </c>
      <c r="R163" s="15"/>
      <c r="S163" s="15" t="n">
        <f aca="false">COUNTIF('Page-Keyword Map'!$A$2:$A$668,B163)</f>
        <v>1</v>
      </c>
      <c r="T163" s="16" t="n">
        <f aca="false">SUMIF('Page-Keyword Map'!$A$2:$A$668,B163,'Page-Keyword Map'!$H$2:$H$668)</f>
        <v>47</v>
      </c>
      <c r="U163" s="15" t="n">
        <f aca="false">COUNTIFS('Page-Keyword Map'!$A$2:$A$668,B163,'Page-Keyword Map'!$E$2:$E$668,"Nationwide")</f>
        <v>0</v>
      </c>
      <c r="V163" s="15" t="n">
        <f aca="false">COUNTIFS('Page-Keyword Map'!$A$2:$A$668,B163,'Page-Keyword Map'!$E$2:$E$668,"Provincial")</f>
        <v>1</v>
      </c>
      <c r="W163" s="15" t="n">
        <f aca="false">COUNTIFS('Page-Keyword Map'!$A$2:$A$668,B163,'Page-Keyword Map'!$E$2:$E$668,"City")</f>
        <v>0</v>
      </c>
      <c r="X163" s="15" t="str">
        <f aca="false">IF(O163="","",IF(ISNUMBER(SEARCH(O163,J163)),"Yes","No"))</f>
        <v>No</v>
      </c>
      <c r="Y163" s="15" t="n">
        <v>0.7</v>
      </c>
      <c r="Z163" s="15" t="s">
        <v>663</v>
      </c>
      <c r="AA163" s="15" t="s">
        <v>131</v>
      </c>
      <c r="AB163" s="17"/>
      <c r="AC163" s="17"/>
    </row>
    <row r="164" customFormat="false" ht="23.85" hidden="false" customHeight="false" outlineLevel="0" collapsed="false">
      <c r="A164" s="15" t="s">
        <v>1126</v>
      </c>
      <c r="B164" s="15" t="s">
        <v>1127</v>
      </c>
      <c r="C164" s="15" t="s">
        <v>656</v>
      </c>
      <c r="D164" s="15" t="s">
        <v>77</v>
      </c>
      <c r="E164" s="15" t="s">
        <v>293</v>
      </c>
      <c r="F164" s="15"/>
      <c r="G164" s="15" t="s">
        <v>736</v>
      </c>
      <c r="H164" s="15"/>
      <c r="I164" s="15" t="s">
        <v>126</v>
      </c>
      <c r="J164" s="3" t="s">
        <v>1128</v>
      </c>
      <c r="K164" s="15" t="n">
        <f aca="false">LEN(J164)</f>
        <v>66</v>
      </c>
      <c r="L164" s="3" t="s">
        <v>1129</v>
      </c>
      <c r="M164" s="15" t="n">
        <f aca="false">LEN(L164)</f>
        <v>138</v>
      </c>
      <c r="N164" s="3" t="s">
        <v>1130</v>
      </c>
      <c r="O164" s="15" t="s">
        <v>1131</v>
      </c>
      <c r="P164" s="16" t="n">
        <v>25</v>
      </c>
      <c r="Q164" s="15" t="s">
        <v>662</v>
      </c>
      <c r="R164" s="15"/>
      <c r="S164" s="15" t="n">
        <f aca="false">COUNTIF('Page-Keyword Map'!$A$2:$A$668,B164)</f>
        <v>1</v>
      </c>
      <c r="T164" s="16" t="n">
        <f aca="false">SUMIF('Page-Keyword Map'!$A$2:$A$668,B164,'Page-Keyword Map'!$H$2:$H$668)</f>
        <v>25</v>
      </c>
      <c r="U164" s="15" t="n">
        <f aca="false">COUNTIFS('Page-Keyword Map'!$A$2:$A$668,B164,'Page-Keyword Map'!$E$2:$E$668,"Nationwide")</f>
        <v>0</v>
      </c>
      <c r="V164" s="15" t="n">
        <f aca="false">COUNTIFS('Page-Keyword Map'!$A$2:$A$668,B164,'Page-Keyword Map'!$E$2:$E$668,"Provincial")</f>
        <v>1</v>
      </c>
      <c r="W164" s="15" t="n">
        <f aca="false">COUNTIFS('Page-Keyword Map'!$A$2:$A$668,B164,'Page-Keyword Map'!$E$2:$E$668,"City")</f>
        <v>0</v>
      </c>
      <c r="X164" s="15" t="str">
        <f aca="false">IF(O164="","",IF(ISNUMBER(SEARCH(O164,J164)),"Yes","No"))</f>
        <v>No</v>
      </c>
      <c r="Y164" s="15" t="n">
        <v>0.7</v>
      </c>
      <c r="Z164" s="15" t="s">
        <v>663</v>
      </c>
      <c r="AA164" s="15" t="s">
        <v>131</v>
      </c>
      <c r="AB164" s="17"/>
      <c r="AC164" s="17"/>
    </row>
    <row r="165" customFormat="false" ht="23.85" hidden="false" customHeight="false" outlineLevel="0" collapsed="false">
      <c r="A165" s="15" t="s">
        <v>1132</v>
      </c>
      <c r="B165" s="15" t="s">
        <v>1133</v>
      </c>
      <c r="C165" s="15" t="s">
        <v>656</v>
      </c>
      <c r="D165" s="15" t="s">
        <v>77</v>
      </c>
      <c r="E165" s="15" t="s">
        <v>293</v>
      </c>
      <c r="F165" s="15"/>
      <c r="G165" s="15" t="s">
        <v>743</v>
      </c>
      <c r="H165" s="15"/>
      <c r="I165" s="15" t="s">
        <v>126</v>
      </c>
      <c r="J165" s="3" t="s">
        <v>1134</v>
      </c>
      <c r="K165" s="15" t="n">
        <f aca="false">LEN(J165)</f>
        <v>59</v>
      </c>
      <c r="L165" s="3" t="s">
        <v>1135</v>
      </c>
      <c r="M165" s="15" t="n">
        <f aca="false">LEN(L165)</f>
        <v>157</v>
      </c>
      <c r="N165" s="3" t="s">
        <v>1136</v>
      </c>
      <c r="O165" s="15"/>
      <c r="P165" s="16"/>
      <c r="Q165" s="15"/>
      <c r="R165" s="15" t="s">
        <v>1137</v>
      </c>
      <c r="S165" s="15" t="n">
        <f aca="false">COUNTIF('Page-Keyword Map'!$A$2:$A$668,B165)</f>
        <v>0</v>
      </c>
      <c r="T165" s="16" t="n">
        <f aca="false">SUMIF('Page-Keyword Map'!$A$2:$A$668,B165,'Page-Keyword Map'!$H$2:$H$668)</f>
        <v>0</v>
      </c>
      <c r="U165" s="15" t="n">
        <f aca="false">COUNTIFS('Page-Keyword Map'!$A$2:$A$668,B165,'Page-Keyword Map'!$E$2:$E$668,"Nationwide")</f>
        <v>0</v>
      </c>
      <c r="V165" s="15" t="n">
        <f aca="false">COUNTIFS('Page-Keyword Map'!$A$2:$A$668,B165,'Page-Keyword Map'!$E$2:$E$668,"Provincial")</f>
        <v>0</v>
      </c>
      <c r="W165" s="15" t="n">
        <f aca="false">COUNTIFS('Page-Keyword Map'!$A$2:$A$668,B165,'Page-Keyword Map'!$E$2:$E$668,"City")</f>
        <v>0</v>
      </c>
      <c r="X165" s="15" t="str">
        <f aca="false">IF(O165="","",IF(ISNUMBER(SEARCH(O165,J165)),"Yes","No"))</f>
        <v/>
      </c>
      <c r="Y165" s="15" t="n">
        <v>0.7</v>
      </c>
      <c r="Z165" s="15" t="s">
        <v>663</v>
      </c>
      <c r="AA165" s="15" t="s">
        <v>131</v>
      </c>
      <c r="AB165" s="17"/>
      <c r="AC165" s="17"/>
    </row>
    <row r="166" customFormat="false" ht="23.85" hidden="false" customHeight="false" outlineLevel="0" collapsed="false">
      <c r="A166" s="15" t="s">
        <v>1138</v>
      </c>
      <c r="B166" s="15" t="s">
        <v>1139</v>
      </c>
      <c r="C166" s="15" t="s">
        <v>656</v>
      </c>
      <c r="D166" s="15" t="s">
        <v>79</v>
      </c>
      <c r="E166" s="15" t="s">
        <v>300</v>
      </c>
      <c r="F166" s="15"/>
      <c r="G166" s="15" t="s">
        <v>657</v>
      </c>
      <c r="H166" s="15"/>
      <c r="I166" s="15" t="s">
        <v>126</v>
      </c>
      <c r="J166" s="3" t="s">
        <v>1140</v>
      </c>
      <c r="K166" s="15" t="n">
        <f aca="false">LEN(J166)</f>
        <v>55</v>
      </c>
      <c r="L166" s="3" t="s">
        <v>1141</v>
      </c>
      <c r="M166" s="15" t="n">
        <f aca="false">LEN(L166)</f>
        <v>149</v>
      </c>
      <c r="N166" s="3" t="s">
        <v>1142</v>
      </c>
      <c r="O166" s="15" t="s">
        <v>1143</v>
      </c>
      <c r="P166" s="16" t="n">
        <v>44</v>
      </c>
      <c r="Q166" s="15" t="s">
        <v>662</v>
      </c>
      <c r="R166" s="15"/>
      <c r="S166" s="15" t="n">
        <f aca="false">COUNTIF('Page-Keyword Map'!$A$2:$A$668,B166)</f>
        <v>1</v>
      </c>
      <c r="T166" s="16" t="n">
        <f aca="false">SUMIF('Page-Keyword Map'!$A$2:$A$668,B166,'Page-Keyword Map'!$H$2:$H$668)</f>
        <v>44</v>
      </c>
      <c r="U166" s="15" t="n">
        <f aca="false">COUNTIFS('Page-Keyword Map'!$A$2:$A$668,B166,'Page-Keyword Map'!$E$2:$E$668,"Nationwide")</f>
        <v>0</v>
      </c>
      <c r="V166" s="15" t="n">
        <f aca="false">COUNTIFS('Page-Keyword Map'!$A$2:$A$668,B166,'Page-Keyword Map'!$E$2:$E$668,"Provincial")</f>
        <v>1</v>
      </c>
      <c r="W166" s="15" t="n">
        <f aca="false">COUNTIFS('Page-Keyword Map'!$A$2:$A$668,B166,'Page-Keyword Map'!$E$2:$E$668,"City")</f>
        <v>0</v>
      </c>
      <c r="X166" s="15" t="str">
        <f aca="false">IF(O166="","",IF(ISNUMBER(SEARCH(O166,J166)),"Yes","No"))</f>
        <v>No</v>
      </c>
      <c r="Y166" s="15" t="n">
        <v>0.7</v>
      </c>
      <c r="Z166" s="15" t="s">
        <v>663</v>
      </c>
      <c r="AA166" s="15" t="s">
        <v>131</v>
      </c>
      <c r="AB166" s="17"/>
      <c r="AC166" s="17"/>
    </row>
    <row r="167" customFormat="false" ht="23.85" hidden="false" customHeight="false" outlineLevel="0" collapsed="false">
      <c r="A167" s="15" t="s">
        <v>1144</v>
      </c>
      <c r="B167" s="15" t="s">
        <v>1145</v>
      </c>
      <c r="C167" s="15" t="s">
        <v>656</v>
      </c>
      <c r="D167" s="15" t="s">
        <v>79</v>
      </c>
      <c r="E167" s="15" t="s">
        <v>300</v>
      </c>
      <c r="F167" s="15"/>
      <c r="G167" s="15" t="s">
        <v>666</v>
      </c>
      <c r="H167" s="15"/>
      <c r="I167" s="15" t="s">
        <v>126</v>
      </c>
      <c r="J167" s="3" t="s">
        <v>1146</v>
      </c>
      <c r="K167" s="15" t="n">
        <f aca="false">LEN(J167)</f>
        <v>64</v>
      </c>
      <c r="L167" s="3" t="s">
        <v>1147</v>
      </c>
      <c r="M167" s="15" t="n">
        <f aca="false">LEN(L167)</f>
        <v>141</v>
      </c>
      <c r="N167" s="3" t="s">
        <v>1148</v>
      </c>
      <c r="O167" s="15" t="s">
        <v>1149</v>
      </c>
      <c r="P167" s="16" t="n">
        <v>51</v>
      </c>
      <c r="Q167" s="15" t="s">
        <v>662</v>
      </c>
      <c r="R167" s="15"/>
      <c r="S167" s="15" t="n">
        <f aca="false">COUNTIF('Page-Keyword Map'!$A$2:$A$668,B167)</f>
        <v>1</v>
      </c>
      <c r="T167" s="16" t="n">
        <f aca="false">SUMIF('Page-Keyword Map'!$A$2:$A$668,B167,'Page-Keyword Map'!$H$2:$H$668)</f>
        <v>51</v>
      </c>
      <c r="U167" s="15" t="n">
        <f aca="false">COUNTIFS('Page-Keyword Map'!$A$2:$A$668,B167,'Page-Keyword Map'!$E$2:$E$668,"Nationwide")</f>
        <v>0</v>
      </c>
      <c r="V167" s="15" t="n">
        <f aca="false">COUNTIFS('Page-Keyword Map'!$A$2:$A$668,B167,'Page-Keyword Map'!$E$2:$E$668,"Provincial")</f>
        <v>1</v>
      </c>
      <c r="W167" s="15" t="n">
        <f aca="false">COUNTIFS('Page-Keyword Map'!$A$2:$A$668,B167,'Page-Keyword Map'!$E$2:$E$668,"City")</f>
        <v>0</v>
      </c>
      <c r="X167" s="15" t="str">
        <f aca="false">IF(O167="","",IF(ISNUMBER(SEARCH(O167,J167)),"Yes","No"))</f>
        <v>No</v>
      </c>
      <c r="Y167" s="15" t="n">
        <v>0.7</v>
      </c>
      <c r="Z167" s="15" t="s">
        <v>663</v>
      </c>
      <c r="AA167" s="15" t="s">
        <v>131</v>
      </c>
      <c r="AB167" s="17"/>
      <c r="AC167" s="17"/>
    </row>
    <row r="168" customFormat="false" ht="23.85" hidden="false" customHeight="false" outlineLevel="0" collapsed="false">
      <c r="A168" s="15" t="s">
        <v>1150</v>
      </c>
      <c r="B168" s="15" t="s">
        <v>1151</v>
      </c>
      <c r="C168" s="15" t="s">
        <v>656</v>
      </c>
      <c r="D168" s="15" t="s">
        <v>79</v>
      </c>
      <c r="E168" s="15" t="s">
        <v>300</v>
      </c>
      <c r="F168" s="15"/>
      <c r="G168" s="15" t="s">
        <v>673</v>
      </c>
      <c r="H168" s="15"/>
      <c r="I168" s="15" t="s">
        <v>126</v>
      </c>
      <c r="J168" s="3" t="s">
        <v>1152</v>
      </c>
      <c r="K168" s="15" t="n">
        <f aca="false">LEN(J168)</f>
        <v>56</v>
      </c>
      <c r="L168" s="3" t="s">
        <v>1153</v>
      </c>
      <c r="M168" s="15" t="n">
        <f aca="false">LEN(L168)</f>
        <v>124</v>
      </c>
      <c r="N168" s="3" t="s">
        <v>1154</v>
      </c>
      <c r="O168" s="15"/>
      <c r="P168" s="16"/>
      <c r="Q168" s="15"/>
      <c r="R168" s="15" t="s">
        <v>1155</v>
      </c>
      <c r="S168" s="15" t="n">
        <f aca="false">COUNTIF('Page-Keyword Map'!$A$2:$A$668,B168)</f>
        <v>0</v>
      </c>
      <c r="T168" s="16" t="n">
        <f aca="false">SUMIF('Page-Keyword Map'!$A$2:$A$668,B168,'Page-Keyword Map'!$H$2:$H$668)</f>
        <v>0</v>
      </c>
      <c r="U168" s="15" t="n">
        <f aca="false">COUNTIFS('Page-Keyword Map'!$A$2:$A$668,B168,'Page-Keyword Map'!$E$2:$E$668,"Nationwide")</f>
        <v>0</v>
      </c>
      <c r="V168" s="15" t="n">
        <f aca="false">COUNTIFS('Page-Keyword Map'!$A$2:$A$668,B168,'Page-Keyword Map'!$E$2:$E$668,"Provincial")</f>
        <v>0</v>
      </c>
      <c r="W168" s="15" t="n">
        <f aca="false">COUNTIFS('Page-Keyword Map'!$A$2:$A$668,B168,'Page-Keyword Map'!$E$2:$E$668,"City")</f>
        <v>0</v>
      </c>
      <c r="X168" s="15" t="str">
        <f aca="false">IF(O168="","",IF(ISNUMBER(SEARCH(O168,J168)),"Yes","No"))</f>
        <v/>
      </c>
      <c r="Y168" s="15" t="n">
        <v>0.7</v>
      </c>
      <c r="Z168" s="15" t="s">
        <v>663</v>
      </c>
      <c r="AA168" s="15" t="s">
        <v>131</v>
      </c>
      <c r="AB168" s="17"/>
      <c r="AC168" s="17"/>
    </row>
    <row r="169" customFormat="false" ht="23.85" hidden="false" customHeight="false" outlineLevel="0" collapsed="false">
      <c r="A169" s="15" t="s">
        <v>1156</v>
      </c>
      <c r="B169" s="15" t="s">
        <v>1157</v>
      </c>
      <c r="C169" s="15" t="s">
        <v>656</v>
      </c>
      <c r="D169" s="15" t="s">
        <v>79</v>
      </c>
      <c r="E169" s="15" t="s">
        <v>300</v>
      </c>
      <c r="F169" s="15"/>
      <c r="G169" s="15" t="s">
        <v>680</v>
      </c>
      <c r="H169" s="15"/>
      <c r="I169" s="15" t="s">
        <v>126</v>
      </c>
      <c r="J169" s="3" t="s">
        <v>1158</v>
      </c>
      <c r="K169" s="15" t="n">
        <f aca="false">LEN(J169)</f>
        <v>61</v>
      </c>
      <c r="L169" s="3" t="s">
        <v>1159</v>
      </c>
      <c r="M169" s="15" t="n">
        <f aca="false">LEN(L169)</f>
        <v>134</v>
      </c>
      <c r="N169" s="3" t="s">
        <v>1160</v>
      </c>
      <c r="O169" s="15"/>
      <c r="P169" s="16"/>
      <c r="Q169" s="15"/>
      <c r="R169" s="15" t="s">
        <v>1161</v>
      </c>
      <c r="S169" s="15" t="n">
        <f aca="false">COUNTIF('Page-Keyword Map'!$A$2:$A$668,B169)</f>
        <v>0</v>
      </c>
      <c r="T169" s="16" t="n">
        <f aca="false">SUMIF('Page-Keyword Map'!$A$2:$A$668,B169,'Page-Keyword Map'!$H$2:$H$668)</f>
        <v>0</v>
      </c>
      <c r="U169" s="15" t="n">
        <f aca="false">COUNTIFS('Page-Keyword Map'!$A$2:$A$668,B169,'Page-Keyword Map'!$E$2:$E$668,"Nationwide")</f>
        <v>0</v>
      </c>
      <c r="V169" s="15" t="n">
        <f aca="false">COUNTIFS('Page-Keyword Map'!$A$2:$A$668,B169,'Page-Keyword Map'!$E$2:$E$668,"Provincial")</f>
        <v>0</v>
      </c>
      <c r="W169" s="15" t="n">
        <f aca="false">COUNTIFS('Page-Keyword Map'!$A$2:$A$668,B169,'Page-Keyword Map'!$E$2:$E$668,"City")</f>
        <v>0</v>
      </c>
      <c r="X169" s="15" t="str">
        <f aca="false">IF(O169="","",IF(ISNUMBER(SEARCH(O169,J169)),"Yes","No"))</f>
        <v/>
      </c>
      <c r="Y169" s="15" t="n">
        <v>0.7</v>
      </c>
      <c r="Z169" s="15" t="s">
        <v>663</v>
      </c>
      <c r="AA169" s="15" t="s">
        <v>131</v>
      </c>
      <c r="AB169" s="17"/>
      <c r="AC169" s="17"/>
    </row>
    <row r="170" customFormat="false" ht="23.85" hidden="false" customHeight="false" outlineLevel="0" collapsed="false">
      <c r="A170" s="15" t="s">
        <v>1162</v>
      </c>
      <c r="B170" s="15" t="s">
        <v>1163</v>
      </c>
      <c r="C170" s="15" t="s">
        <v>656</v>
      </c>
      <c r="D170" s="15" t="s">
        <v>79</v>
      </c>
      <c r="E170" s="15" t="s">
        <v>300</v>
      </c>
      <c r="F170" s="15"/>
      <c r="G170" s="15" t="s">
        <v>687</v>
      </c>
      <c r="H170" s="15"/>
      <c r="I170" s="15" t="s">
        <v>126</v>
      </c>
      <c r="J170" s="3" t="s">
        <v>1164</v>
      </c>
      <c r="K170" s="15" t="n">
        <f aca="false">LEN(J170)</f>
        <v>73</v>
      </c>
      <c r="L170" s="3" t="s">
        <v>1165</v>
      </c>
      <c r="M170" s="15" t="n">
        <f aca="false">LEN(L170)</f>
        <v>164</v>
      </c>
      <c r="N170" s="3" t="s">
        <v>1166</v>
      </c>
      <c r="O170" s="15"/>
      <c r="P170" s="16"/>
      <c r="Q170" s="15"/>
      <c r="R170" s="15" t="s">
        <v>1167</v>
      </c>
      <c r="S170" s="15" t="n">
        <f aca="false">COUNTIF('Page-Keyword Map'!$A$2:$A$668,B170)</f>
        <v>0</v>
      </c>
      <c r="T170" s="16" t="n">
        <f aca="false">SUMIF('Page-Keyword Map'!$A$2:$A$668,B170,'Page-Keyword Map'!$H$2:$H$668)</f>
        <v>0</v>
      </c>
      <c r="U170" s="15" t="n">
        <f aca="false">COUNTIFS('Page-Keyword Map'!$A$2:$A$668,B170,'Page-Keyword Map'!$E$2:$E$668,"Nationwide")</f>
        <v>0</v>
      </c>
      <c r="V170" s="15" t="n">
        <f aca="false">COUNTIFS('Page-Keyword Map'!$A$2:$A$668,B170,'Page-Keyword Map'!$E$2:$E$668,"Provincial")</f>
        <v>0</v>
      </c>
      <c r="W170" s="15" t="n">
        <f aca="false">COUNTIFS('Page-Keyword Map'!$A$2:$A$668,B170,'Page-Keyword Map'!$E$2:$E$668,"City")</f>
        <v>0</v>
      </c>
      <c r="X170" s="15" t="str">
        <f aca="false">IF(O170="","",IF(ISNUMBER(SEARCH(O170,J170)),"Yes","No"))</f>
        <v/>
      </c>
      <c r="Y170" s="15" t="n">
        <v>0.7</v>
      </c>
      <c r="Z170" s="15" t="s">
        <v>663</v>
      </c>
      <c r="AA170" s="15" t="s">
        <v>131</v>
      </c>
      <c r="AB170" s="17"/>
      <c r="AC170" s="17"/>
    </row>
    <row r="171" customFormat="false" ht="23.85" hidden="false" customHeight="false" outlineLevel="0" collapsed="false">
      <c r="A171" s="15" t="s">
        <v>1168</v>
      </c>
      <c r="B171" s="15" t="s">
        <v>1169</v>
      </c>
      <c r="C171" s="15" t="s">
        <v>656</v>
      </c>
      <c r="D171" s="15" t="s">
        <v>79</v>
      </c>
      <c r="E171" s="15" t="s">
        <v>300</v>
      </c>
      <c r="F171" s="15"/>
      <c r="G171" s="15" t="s">
        <v>694</v>
      </c>
      <c r="H171" s="15"/>
      <c r="I171" s="15" t="s">
        <v>126</v>
      </c>
      <c r="J171" s="3" t="s">
        <v>1170</v>
      </c>
      <c r="K171" s="15" t="n">
        <f aca="false">LEN(J171)</f>
        <v>69</v>
      </c>
      <c r="L171" s="3" t="s">
        <v>1171</v>
      </c>
      <c r="M171" s="15" t="n">
        <f aca="false">LEN(L171)</f>
        <v>159</v>
      </c>
      <c r="N171" s="3" t="s">
        <v>1172</v>
      </c>
      <c r="O171" s="15"/>
      <c r="P171" s="16"/>
      <c r="Q171" s="15"/>
      <c r="R171" s="15" t="s">
        <v>1173</v>
      </c>
      <c r="S171" s="15" t="n">
        <f aca="false">COUNTIF('Page-Keyword Map'!$A$2:$A$668,B171)</f>
        <v>0</v>
      </c>
      <c r="T171" s="16" t="n">
        <f aca="false">SUMIF('Page-Keyword Map'!$A$2:$A$668,B171,'Page-Keyword Map'!$H$2:$H$668)</f>
        <v>0</v>
      </c>
      <c r="U171" s="15" t="n">
        <f aca="false">COUNTIFS('Page-Keyword Map'!$A$2:$A$668,B171,'Page-Keyword Map'!$E$2:$E$668,"Nationwide")</f>
        <v>0</v>
      </c>
      <c r="V171" s="15" t="n">
        <f aca="false">COUNTIFS('Page-Keyword Map'!$A$2:$A$668,B171,'Page-Keyword Map'!$E$2:$E$668,"Provincial")</f>
        <v>0</v>
      </c>
      <c r="W171" s="15" t="n">
        <f aca="false">COUNTIFS('Page-Keyword Map'!$A$2:$A$668,B171,'Page-Keyword Map'!$E$2:$E$668,"City")</f>
        <v>0</v>
      </c>
      <c r="X171" s="15" t="str">
        <f aca="false">IF(O171="","",IF(ISNUMBER(SEARCH(O171,J171)),"Yes","No"))</f>
        <v/>
      </c>
      <c r="Y171" s="15" t="n">
        <v>0.7</v>
      </c>
      <c r="Z171" s="15" t="s">
        <v>663</v>
      </c>
      <c r="AA171" s="15" t="s">
        <v>131</v>
      </c>
      <c r="AB171" s="17"/>
      <c r="AC171" s="17"/>
    </row>
    <row r="172" customFormat="false" ht="23.85" hidden="false" customHeight="false" outlineLevel="0" collapsed="false">
      <c r="A172" s="15" t="s">
        <v>1174</v>
      </c>
      <c r="B172" s="15" t="s">
        <v>1175</v>
      </c>
      <c r="C172" s="15" t="s">
        <v>656</v>
      </c>
      <c r="D172" s="15" t="s">
        <v>79</v>
      </c>
      <c r="E172" s="15" t="s">
        <v>300</v>
      </c>
      <c r="F172" s="15"/>
      <c r="G172" s="15" t="s">
        <v>701</v>
      </c>
      <c r="H172" s="15"/>
      <c r="I172" s="15" t="s">
        <v>126</v>
      </c>
      <c r="J172" s="3" t="s">
        <v>1176</v>
      </c>
      <c r="K172" s="15" t="n">
        <f aca="false">LEN(J172)</f>
        <v>59</v>
      </c>
      <c r="L172" s="3" t="s">
        <v>1177</v>
      </c>
      <c r="M172" s="15" t="n">
        <f aca="false">LEN(L172)</f>
        <v>160</v>
      </c>
      <c r="N172" s="3" t="s">
        <v>1178</v>
      </c>
      <c r="O172" s="15"/>
      <c r="P172" s="16"/>
      <c r="Q172" s="15"/>
      <c r="R172" s="15" t="s">
        <v>1179</v>
      </c>
      <c r="S172" s="15" t="n">
        <f aca="false">COUNTIF('Page-Keyword Map'!$A$2:$A$668,B172)</f>
        <v>0</v>
      </c>
      <c r="T172" s="16" t="n">
        <f aca="false">SUMIF('Page-Keyword Map'!$A$2:$A$668,B172,'Page-Keyword Map'!$H$2:$H$668)</f>
        <v>0</v>
      </c>
      <c r="U172" s="15" t="n">
        <f aca="false">COUNTIFS('Page-Keyword Map'!$A$2:$A$668,B172,'Page-Keyword Map'!$E$2:$E$668,"Nationwide")</f>
        <v>0</v>
      </c>
      <c r="V172" s="15" t="n">
        <f aca="false">COUNTIFS('Page-Keyword Map'!$A$2:$A$668,B172,'Page-Keyword Map'!$E$2:$E$668,"Provincial")</f>
        <v>0</v>
      </c>
      <c r="W172" s="15" t="n">
        <f aca="false">COUNTIFS('Page-Keyword Map'!$A$2:$A$668,B172,'Page-Keyword Map'!$E$2:$E$668,"City")</f>
        <v>0</v>
      </c>
      <c r="X172" s="15" t="str">
        <f aca="false">IF(O172="","",IF(ISNUMBER(SEARCH(O172,J172)),"Yes","No"))</f>
        <v/>
      </c>
      <c r="Y172" s="15" t="n">
        <v>0.7</v>
      </c>
      <c r="Z172" s="15" t="s">
        <v>663</v>
      </c>
      <c r="AA172" s="15" t="s">
        <v>131</v>
      </c>
      <c r="AB172" s="17"/>
      <c r="AC172" s="17"/>
    </row>
    <row r="173" customFormat="false" ht="23.85" hidden="false" customHeight="false" outlineLevel="0" collapsed="false">
      <c r="A173" s="15" t="s">
        <v>1180</v>
      </c>
      <c r="B173" s="15" t="s">
        <v>1181</v>
      </c>
      <c r="C173" s="15" t="s">
        <v>656</v>
      </c>
      <c r="D173" s="15" t="s">
        <v>79</v>
      </c>
      <c r="E173" s="15" t="s">
        <v>300</v>
      </c>
      <c r="F173" s="15"/>
      <c r="G173" s="15" t="s">
        <v>708</v>
      </c>
      <c r="H173" s="15"/>
      <c r="I173" s="15" t="s">
        <v>126</v>
      </c>
      <c r="J173" s="3" t="s">
        <v>1182</v>
      </c>
      <c r="K173" s="15" t="n">
        <f aca="false">LEN(J173)</f>
        <v>55</v>
      </c>
      <c r="L173" s="3" t="s">
        <v>1183</v>
      </c>
      <c r="M173" s="15" t="n">
        <f aca="false">LEN(L173)</f>
        <v>157</v>
      </c>
      <c r="N173" s="3" t="s">
        <v>1184</v>
      </c>
      <c r="O173" s="15"/>
      <c r="P173" s="16"/>
      <c r="Q173" s="15"/>
      <c r="R173" s="15" t="s">
        <v>1185</v>
      </c>
      <c r="S173" s="15" t="n">
        <f aca="false">COUNTIF('Page-Keyword Map'!$A$2:$A$668,B173)</f>
        <v>0</v>
      </c>
      <c r="T173" s="16" t="n">
        <f aca="false">SUMIF('Page-Keyword Map'!$A$2:$A$668,B173,'Page-Keyword Map'!$H$2:$H$668)</f>
        <v>0</v>
      </c>
      <c r="U173" s="15" t="n">
        <f aca="false">COUNTIFS('Page-Keyword Map'!$A$2:$A$668,B173,'Page-Keyword Map'!$E$2:$E$668,"Nationwide")</f>
        <v>0</v>
      </c>
      <c r="V173" s="15" t="n">
        <f aca="false">COUNTIFS('Page-Keyword Map'!$A$2:$A$668,B173,'Page-Keyword Map'!$E$2:$E$668,"Provincial")</f>
        <v>0</v>
      </c>
      <c r="W173" s="15" t="n">
        <f aca="false">COUNTIFS('Page-Keyword Map'!$A$2:$A$668,B173,'Page-Keyword Map'!$E$2:$E$668,"City")</f>
        <v>0</v>
      </c>
      <c r="X173" s="15" t="str">
        <f aca="false">IF(O173="","",IF(ISNUMBER(SEARCH(O173,J173)),"Yes","No"))</f>
        <v/>
      </c>
      <c r="Y173" s="15" t="n">
        <v>0.7</v>
      </c>
      <c r="Z173" s="15" t="s">
        <v>663</v>
      </c>
      <c r="AA173" s="15" t="s">
        <v>131</v>
      </c>
      <c r="AB173" s="17"/>
      <c r="AC173" s="17"/>
    </row>
    <row r="174" customFormat="false" ht="23.85" hidden="false" customHeight="false" outlineLevel="0" collapsed="false">
      <c r="A174" s="15" t="s">
        <v>1186</v>
      </c>
      <c r="B174" s="15" t="s">
        <v>1187</v>
      </c>
      <c r="C174" s="15" t="s">
        <v>656</v>
      </c>
      <c r="D174" s="15" t="s">
        <v>79</v>
      </c>
      <c r="E174" s="15" t="s">
        <v>300</v>
      </c>
      <c r="F174" s="15"/>
      <c r="G174" s="15" t="s">
        <v>715</v>
      </c>
      <c r="H174" s="15"/>
      <c r="I174" s="15" t="s">
        <v>126</v>
      </c>
      <c r="J174" s="3" t="s">
        <v>1188</v>
      </c>
      <c r="K174" s="15" t="n">
        <f aca="false">LEN(J174)</f>
        <v>55</v>
      </c>
      <c r="L174" s="3" t="s">
        <v>1189</v>
      </c>
      <c r="M174" s="15" t="n">
        <f aca="false">LEN(L174)</f>
        <v>122</v>
      </c>
      <c r="N174" s="3" t="s">
        <v>1190</v>
      </c>
      <c r="O174" s="15" t="s">
        <v>1191</v>
      </c>
      <c r="P174" s="16" t="n">
        <v>150</v>
      </c>
      <c r="Q174" s="15" t="s">
        <v>662</v>
      </c>
      <c r="R174" s="15"/>
      <c r="S174" s="15" t="n">
        <f aca="false">COUNTIF('Page-Keyword Map'!$A$2:$A$668,B174)</f>
        <v>1</v>
      </c>
      <c r="T174" s="16" t="n">
        <f aca="false">SUMIF('Page-Keyword Map'!$A$2:$A$668,B174,'Page-Keyword Map'!$H$2:$H$668)</f>
        <v>150</v>
      </c>
      <c r="U174" s="15" t="n">
        <f aca="false">COUNTIFS('Page-Keyword Map'!$A$2:$A$668,B174,'Page-Keyword Map'!$E$2:$E$668,"Nationwide")</f>
        <v>0</v>
      </c>
      <c r="V174" s="15" t="n">
        <f aca="false">COUNTIFS('Page-Keyword Map'!$A$2:$A$668,B174,'Page-Keyword Map'!$E$2:$E$668,"Provincial")</f>
        <v>1</v>
      </c>
      <c r="W174" s="15" t="n">
        <f aca="false">COUNTIFS('Page-Keyword Map'!$A$2:$A$668,B174,'Page-Keyword Map'!$E$2:$E$668,"City")</f>
        <v>0</v>
      </c>
      <c r="X174" s="15" t="str">
        <f aca="false">IF(O174="","",IF(ISNUMBER(SEARCH(O174,J174)),"Yes","No"))</f>
        <v>No</v>
      </c>
      <c r="Y174" s="15" t="n">
        <v>0.7</v>
      </c>
      <c r="Z174" s="15" t="s">
        <v>663</v>
      </c>
      <c r="AA174" s="15" t="s">
        <v>131</v>
      </c>
      <c r="AB174" s="17"/>
      <c r="AC174" s="17"/>
    </row>
    <row r="175" customFormat="false" ht="23.85" hidden="false" customHeight="false" outlineLevel="0" collapsed="false">
      <c r="A175" s="15" t="s">
        <v>1192</v>
      </c>
      <c r="B175" s="15" t="s">
        <v>1193</v>
      </c>
      <c r="C175" s="15" t="s">
        <v>656</v>
      </c>
      <c r="D175" s="15" t="s">
        <v>79</v>
      </c>
      <c r="E175" s="15" t="s">
        <v>300</v>
      </c>
      <c r="F175" s="15"/>
      <c r="G175" s="15" t="s">
        <v>722</v>
      </c>
      <c r="H175" s="15"/>
      <c r="I175" s="15" t="s">
        <v>126</v>
      </c>
      <c r="J175" s="3" t="s">
        <v>1194</v>
      </c>
      <c r="K175" s="15" t="n">
        <f aca="false">LEN(J175)</f>
        <v>68</v>
      </c>
      <c r="L175" s="3" t="s">
        <v>1195</v>
      </c>
      <c r="M175" s="15" t="n">
        <f aca="false">LEN(L175)</f>
        <v>159</v>
      </c>
      <c r="N175" s="3" t="s">
        <v>1196</v>
      </c>
      <c r="O175" s="15"/>
      <c r="P175" s="16"/>
      <c r="Q175" s="15"/>
      <c r="R175" s="15" t="s">
        <v>1197</v>
      </c>
      <c r="S175" s="15" t="n">
        <f aca="false">COUNTIF('Page-Keyword Map'!$A$2:$A$668,B175)</f>
        <v>0</v>
      </c>
      <c r="T175" s="16" t="n">
        <f aca="false">SUMIF('Page-Keyword Map'!$A$2:$A$668,B175,'Page-Keyword Map'!$H$2:$H$668)</f>
        <v>0</v>
      </c>
      <c r="U175" s="15" t="n">
        <f aca="false">COUNTIFS('Page-Keyword Map'!$A$2:$A$668,B175,'Page-Keyword Map'!$E$2:$E$668,"Nationwide")</f>
        <v>0</v>
      </c>
      <c r="V175" s="15" t="n">
        <f aca="false">COUNTIFS('Page-Keyword Map'!$A$2:$A$668,B175,'Page-Keyword Map'!$E$2:$E$668,"Provincial")</f>
        <v>0</v>
      </c>
      <c r="W175" s="15" t="n">
        <f aca="false">COUNTIFS('Page-Keyword Map'!$A$2:$A$668,B175,'Page-Keyword Map'!$E$2:$E$668,"City")</f>
        <v>0</v>
      </c>
      <c r="X175" s="15" t="str">
        <f aca="false">IF(O175="","",IF(ISNUMBER(SEARCH(O175,J175)),"Yes","No"))</f>
        <v/>
      </c>
      <c r="Y175" s="15" t="n">
        <v>0.7</v>
      </c>
      <c r="Z175" s="15" t="s">
        <v>663</v>
      </c>
      <c r="AA175" s="15" t="s">
        <v>131</v>
      </c>
      <c r="AB175" s="17"/>
      <c r="AC175" s="17"/>
    </row>
    <row r="176" customFormat="false" ht="23.85" hidden="false" customHeight="false" outlineLevel="0" collapsed="false">
      <c r="A176" s="15" t="s">
        <v>1198</v>
      </c>
      <c r="B176" s="15" t="s">
        <v>1199</v>
      </c>
      <c r="C176" s="15" t="s">
        <v>656</v>
      </c>
      <c r="D176" s="15" t="s">
        <v>79</v>
      </c>
      <c r="E176" s="15" t="s">
        <v>300</v>
      </c>
      <c r="F176" s="15"/>
      <c r="G176" s="15" t="s">
        <v>729</v>
      </c>
      <c r="H176" s="15"/>
      <c r="I176" s="15" t="s">
        <v>126</v>
      </c>
      <c r="J176" s="3" t="s">
        <v>1200</v>
      </c>
      <c r="K176" s="15" t="n">
        <f aca="false">LEN(J176)</f>
        <v>54</v>
      </c>
      <c r="L176" s="3" t="s">
        <v>1201</v>
      </c>
      <c r="M176" s="15" t="n">
        <f aca="false">LEN(L176)</f>
        <v>132</v>
      </c>
      <c r="N176" s="3" t="s">
        <v>1202</v>
      </c>
      <c r="O176" s="15" t="s">
        <v>1203</v>
      </c>
      <c r="P176" s="16" t="n">
        <v>26</v>
      </c>
      <c r="Q176" s="15" t="s">
        <v>662</v>
      </c>
      <c r="R176" s="15"/>
      <c r="S176" s="15" t="n">
        <f aca="false">COUNTIF('Page-Keyword Map'!$A$2:$A$668,B176)</f>
        <v>1</v>
      </c>
      <c r="T176" s="16" t="n">
        <f aca="false">SUMIF('Page-Keyword Map'!$A$2:$A$668,B176,'Page-Keyword Map'!$H$2:$H$668)</f>
        <v>26</v>
      </c>
      <c r="U176" s="15" t="n">
        <f aca="false">COUNTIFS('Page-Keyword Map'!$A$2:$A$668,B176,'Page-Keyword Map'!$E$2:$E$668,"Nationwide")</f>
        <v>0</v>
      </c>
      <c r="V176" s="15" t="n">
        <f aca="false">COUNTIFS('Page-Keyword Map'!$A$2:$A$668,B176,'Page-Keyword Map'!$E$2:$E$668,"Provincial")</f>
        <v>1</v>
      </c>
      <c r="W176" s="15" t="n">
        <f aca="false">COUNTIFS('Page-Keyword Map'!$A$2:$A$668,B176,'Page-Keyword Map'!$E$2:$E$668,"City")</f>
        <v>0</v>
      </c>
      <c r="X176" s="15" t="str">
        <f aca="false">IF(O176="","",IF(ISNUMBER(SEARCH(O176,J176)),"Yes","No"))</f>
        <v>No</v>
      </c>
      <c r="Y176" s="15" t="n">
        <v>0.7</v>
      </c>
      <c r="Z176" s="15" t="s">
        <v>663</v>
      </c>
      <c r="AA176" s="15" t="s">
        <v>131</v>
      </c>
      <c r="AB176" s="17"/>
      <c r="AC176" s="17"/>
    </row>
    <row r="177" customFormat="false" ht="23.85" hidden="false" customHeight="false" outlineLevel="0" collapsed="false">
      <c r="A177" s="15" t="s">
        <v>1204</v>
      </c>
      <c r="B177" s="15" t="s">
        <v>1205</v>
      </c>
      <c r="C177" s="15" t="s">
        <v>656</v>
      </c>
      <c r="D177" s="15" t="s">
        <v>79</v>
      </c>
      <c r="E177" s="15" t="s">
        <v>300</v>
      </c>
      <c r="F177" s="15"/>
      <c r="G177" s="15" t="s">
        <v>736</v>
      </c>
      <c r="H177" s="15"/>
      <c r="I177" s="15" t="s">
        <v>126</v>
      </c>
      <c r="J177" s="3" t="s">
        <v>1206</v>
      </c>
      <c r="K177" s="15" t="n">
        <f aca="false">LEN(J177)</f>
        <v>60</v>
      </c>
      <c r="L177" s="3" t="s">
        <v>1207</v>
      </c>
      <c r="M177" s="15" t="n">
        <f aca="false">LEN(L177)</f>
        <v>132</v>
      </c>
      <c r="N177" s="3" t="s">
        <v>1208</v>
      </c>
      <c r="O177" s="15"/>
      <c r="P177" s="16"/>
      <c r="Q177" s="15"/>
      <c r="R177" s="15" t="s">
        <v>1209</v>
      </c>
      <c r="S177" s="15" t="n">
        <f aca="false">COUNTIF('Page-Keyword Map'!$A$2:$A$668,B177)</f>
        <v>0</v>
      </c>
      <c r="T177" s="16" t="n">
        <f aca="false">SUMIF('Page-Keyword Map'!$A$2:$A$668,B177,'Page-Keyword Map'!$H$2:$H$668)</f>
        <v>0</v>
      </c>
      <c r="U177" s="15" t="n">
        <f aca="false">COUNTIFS('Page-Keyword Map'!$A$2:$A$668,B177,'Page-Keyword Map'!$E$2:$E$668,"Nationwide")</f>
        <v>0</v>
      </c>
      <c r="V177" s="15" t="n">
        <f aca="false">COUNTIFS('Page-Keyword Map'!$A$2:$A$668,B177,'Page-Keyword Map'!$E$2:$E$668,"Provincial")</f>
        <v>0</v>
      </c>
      <c r="W177" s="15" t="n">
        <f aca="false">COUNTIFS('Page-Keyword Map'!$A$2:$A$668,B177,'Page-Keyword Map'!$E$2:$E$668,"City")</f>
        <v>0</v>
      </c>
      <c r="X177" s="15" t="str">
        <f aca="false">IF(O177="","",IF(ISNUMBER(SEARCH(O177,J177)),"Yes","No"))</f>
        <v/>
      </c>
      <c r="Y177" s="15" t="n">
        <v>0.7</v>
      </c>
      <c r="Z177" s="15" t="s">
        <v>663</v>
      </c>
      <c r="AA177" s="15" t="s">
        <v>131</v>
      </c>
      <c r="AB177" s="17"/>
      <c r="AC177" s="17"/>
    </row>
    <row r="178" customFormat="false" ht="23.85" hidden="false" customHeight="false" outlineLevel="0" collapsed="false">
      <c r="A178" s="15" t="s">
        <v>1210</v>
      </c>
      <c r="B178" s="15" t="s">
        <v>1211</v>
      </c>
      <c r="C178" s="15" t="s">
        <v>656</v>
      </c>
      <c r="D178" s="15" t="s">
        <v>79</v>
      </c>
      <c r="E178" s="15" t="s">
        <v>300</v>
      </c>
      <c r="F178" s="15"/>
      <c r="G178" s="15" t="s">
        <v>743</v>
      </c>
      <c r="H178" s="15"/>
      <c r="I178" s="15" t="s">
        <v>126</v>
      </c>
      <c r="J178" s="3" t="s">
        <v>1212</v>
      </c>
      <c r="K178" s="15" t="n">
        <f aca="false">LEN(J178)</f>
        <v>53</v>
      </c>
      <c r="L178" s="3" t="s">
        <v>1213</v>
      </c>
      <c r="M178" s="15" t="n">
        <f aca="false">LEN(L178)</f>
        <v>151</v>
      </c>
      <c r="N178" s="3" t="s">
        <v>1214</v>
      </c>
      <c r="O178" s="15"/>
      <c r="P178" s="16"/>
      <c r="Q178" s="15"/>
      <c r="R178" s="15" t="s">
        <v>1215</v>
      </c>
      <c r="S178" s="15" t="n">
        <f aca="false">COUNTIF('Page-Keyword Map'!$A$2:$A$668,B178)</f>
        <v>0</v>
      </c>
      <c r="T178" s="16" t="n">
        <f aca="false">SUMIF('Page-Keyword Map'!$A$2:$A$668,B178,'Page-Keyword Map'!$H$2:$H$668)</f>
        <v>0</v>
      </c>
      <c r="U178" s="15" t="n">
        <f aca="false">COUNTIFS('Page-Keyword Map'!$A$2:$A$668,B178,'Page-Keyword Map'!$E$2:$E$668,"Nationwide")</f>
        <v>0</v>
      </c>
      <c r="V178" s="15" t="n">
        <f aca="false">COUNTIFS('Page-Keyword Map'!$A$2:$A$668,B178,'Page-Keyword Map'!$E$2:$E$668,"Provincial")</f>
        <v>0</v>
      </c>
      <c r="W178" s="15" t="n">
        <f aca="false">COUNTIFS('Page-Keyword Map'!$A$2:$A$668,B178,'Page-Keyword Map'!$E$2:$E$668,"City")</f>
        <v>0</v>
      </c>
      <c r="X178" s="15" t="str">
        <f aca="false">IF(O178="","",IF(ISNUMBER(SEARCH(O178,J178)),"Yes","No"))</f>
        <v/>
      </c>
      <c r="Y178" s="15" t="n">
        <v>0.7</v>
      </c>
      <c r="Z178" s="15" t="s">
        <v>663</v>
      </c>
      <c r="AA178" s="15" t="s">
        <v>131</v>
      </c>
      <c r="AB178" s="17"/>
      <c r="AC178" s="17"/>
    </row>
    <row r="179" customFormat="false" ht="23.85" hidden="false" customHeight="false" outlineLevel="0" collapsed="false">
      <c r="A179" s="15" t="s">
        <v>1216</v>
      </c>
      <c r="B179" s="15" t="s">
        <v>1217</v>
      </c>
      <c r="C179" s="15" t="s">
        <v>656</v>
      </c>
      <c r="D179" s="15" t="s">
        <v>78</v>
      </c>
      <c r="E179" s="15" t="s">
        <v>307</v>
      </c>
      <c r="F179" s="15"/>
      <c r="G179" s="15" t="s">
        <v>657</v>
      </c>
      <c r="H179" s="15"/>
      <c r="I179" s="15" t="s">
        <v>126</v>
      </c>
      <c r="J179" s="3" t="s">
        <v>1218</v>
      </c>
      <c r="K179" s="15" t="n">
        <f aca="false">LEN(J179)</f>
        <v>66</v>
      </c>
      <c r="L179" s="3" t="s">
        <v>1219</v>
      </c>
      <c r="M179" s="15" t="n">
        <f aca="false">LEN(L179)</f>
        <v>160</v>
      </c>
      <c r="N179" s="3" t="s">
        <v>1220</v>
      </c>
      <c r="O179" s="15" t="s">
        <v>1221</v>
      </c>
      <c r="P179" s="16" t="n">
        <v>410</v>
      </c>
      <c r="Q179" s="15" t="s">
        <v>662</v>
      </c>
      <c r="R179" s="15"/>
      <c r="S179" s="15" t="n">
        <f aca="false">COUNTIF('Page-Keyword Map'!$A$2:$A$668,B179)</f>
        <v>1</v>
      </c>
      <c r="T179" s="16" t="n">
        <f aca="false">SUMIF('Page-Keyword Map'!$A$2:$A$668,B179,'Page-Keyword Map'!$H$2:$H$668)</f>
        <v>410</v>
      </c>
      <c r="U179" s="15" t="n">
        <f aca="false">COUNTIFS('Page-Keyword Map'!$A$2:$A$668,B179,'Page-Keyword Map'!$E$2:$E$668,"Nationwide")</f>
        <v>0</v>
      </c>
      <c r="V179" s="15" t="n">
        <f aca="false">COUNTIFS('Page-Keyword Map'!$A$2:$A$668,B179,'Page-Keyword Map'!$E$2:$E$668,"Provincial")</f>
        <v>1</v>
      </c>
      <c r="W179" s="15" t="n">
        <f aca="false">COUNTIFS('Page-Keyword Map'!$A$2:$A$668,B179,'Page-Keyword Map'!$E$2:$E$668,"City")</f>
        <v>0</v>
      </c>
      <c r="X179" s="15" t="str">
        <f aca="false">IF(O179="","",IF(ISNUMBER(SEARCH(O179,J179)),"Yes","No"))</f>
        <v>No</v>
      </c>
      <c r="Y179" s="15" t="n">
        <v>0.7</v>
      </c>
      <c r="Z179" s="15" t="s">
        <v>663</v>
      </c>
      <c r="AA179" s="15" t="s">
        <v>131</v>
      </c>
      <c r="AB179" s="17"/>
      <c r="AC179" s="17"/>
    </row>
    <row r="180" customFormat="false" ht="23.85" hidden="false" customHeight="false" outlineLevel="0" collapsed="false">
      <c r="A180" s="15" t="s">
        <v>1222</v>
      </c>
      <c r="B180" s="15" t="s">
        <v>1223</v>
      </c>
      <c r="C180" s="15" t="s">
        <v>656</v>
      </c>
      <c r="D180" s="15" t="s">
        <v>78</v>
      </c>
      <c r="E180" s="15" t="s">
        <v>307</v>
      </c>
      <c r="F180" s="15"/>
      <c r="G180" s="15" t="s">
        <v>666</v>
      </c>
      <c r="H180" s="15"/>
      <c r="I180" s="15" t="s">
        <v>126</v>
      </c>
      <c r="J180" s="3" t="s">
        <v>1224</v>
      </c>
      <c r="K180" s="15" t="n">
        <f aca="false">LEN(J180)</f>
        <v>75</v>
      </c>
      <c r="L180" s="3" t="s">
        <v>1225</v>
      </c>
      <c r="M180" s="15" t="n">
        <f aca="false">LEN(L180)</f>
        <v>152</v>
      </c>
      <c r="N180" s="3" t="s">
        <v>1226</v>
      </c>
      <c r="O180" s="15" t="s">
        <v>1227</v>
      </c>
      <c r="P180" s="16" t="n">
        <v>470</v>
      </c>
      <c r="Q180" s="15" t="s">
        <v>662</v>
      </c>
      <c r="R180" s="15"/>
      <c r="S180" s="15" t="n">
        <f aca="false">COUNTIF('Page-Keyword Map'!$A$2:$A$668,B180)</f>
        <v>1</v>
      </c>
      <c r="T180" s="16" t="n">
        <f aca="false">SUMIF('Page-Keyword Map'!$A$2:$A$668,B180,'Page-Keyword Map'!$H$2:$H$668)</f>
        <v>470</v>
      </c>
      <c r="U180" s="15" t="n">
        <f aca="false">COUNTIFS('Page-Keyword Map'!$A$2:$A$668,B180,'Page-Keyword Map'!$E$2:$E$668,"Nationwide")</f>
        <v>0</v>
      </c>
      <c r="V180" s="15" t="n">
        <f aca="false">COUNTIFS('Page-Keyword Map'!$A$2:$A$668,B180,'Page-Keyword Map'!$E$2:$E$668,"Provincial")</f>
        <v>1</v>
      </c>
      <c r="W180" s="15" t="n">
        <f aca="false">COUNTIFS('Page-Keyword Map'!$A$2:$A$668,B180,'Page-Keyword Map'!$E$2:$E$668,"City")</f>
        <v>0</v>
      </c>
      <c r="X180" s="15" t="str">
        <f aca="false">IF(O180="","",IF(ISNUMBER(SEARCH(O180,J180)),"Yes","No"))</f>
        <v>No</v>
      </c>
      <c r="Y180" s="15" t="n">
        <v>0.7</v>
      </c>
      <c r="Z180" s="15" t="s">
        <v>663</v>
      </c>
      <c r="AA180" s="15" t="s">
        <v>131</v>
      </c>
      <c r="AB180" s="17"/>
      <c r="AC180" s="17"/>
    </row>
    <row r="181" customFormat="false" ht="23.85" hidden="false" customHeight="false" outlineLevel="0" collapsed="false">
      <c r="A181" s="15" t="s">
        <v>1228</v>
      </c>
      <c r="B181" s="15" t="s">
        <v>1229</v>
      </c>
      <c r="C181" s="15" t="s">
        <v>656</v>
      </c>
      <c r="D181" s="15" t="s">
        <v>78</v>
      </c>
      <c r="E181" s="15" t="s">
        <v>307</v>
      </c>
      <c r="F181" s="15"/>
      <c r="G181" s="15" t="s">
        <v>673</v>
      </c>
      <c r="H181" s="15"/>
      <c r="I181" s="15" t="s">
        <v>126</v>
      </c>
      <c r="J181" s="3" t="s">
        <v>1230</v>
      </c>
      <c r="K181" s="15" t="n">
        <f aca="false">LEN(J181)</f>
        <v>67</v>
      </c>
      <c r="L181" s="3" t="s">
        <v>1231</v>
      </c>
      <c r="M181" s="15" t="n">
        <f aca="false">LEN(L181)</f>
        <v>135</v>
      </c>
      <c r="N181" s="3" t="s">
        <v>1232</v>
      </c>
      <c r="O181" s="15" t="s">
        <v>1233</v>
      </c>
      <c r="P181" s="16" t="n">
        <v>140</v>
      </c>
      <c r="Q181" s="15" t="s">
        <v>662</v>
      </c>
      <c r="R181" s="15"/>
      <c r="S181" s="15" t="n">
        <f aca="false">COUNTIF('Page-Keyword Map'!$A$2:$A$668,B181)</f>
        <v>1</v>
      </c>
      <c r="T181" s="16" t="n">
        <f aca="false">SUMIF('Page-Keyword Map'!$A$2:$A$668,B181,'Page-Keyword Map'!$H$2:$H$668)</f>
        <v>140</v>
      </c>
      <c r="U181" s="15" t="n">
        <f aca="false">COUNTIFS('Page-Keyword Map'!$A$2:$A$668,B181,'Page-Keyword Map'!$E$2:$E$668,"Nationwide")</f>
        <v>0</v>
      </c>
      <c r="V181" s="15" t="n">
        <f aca="false">COUNTIFS('Page-Keyword Map'!$A$2:$A$668,B181,'Page-Keyword Map'!$E$2:$E$668,"Provincial")</f>
        <v>1</v>
      </c>
      <c r="W181" s="15" t="n">
        <f aca="false">COUNTIFS('Page-Keyword Map'!$A$2:$A$668,B181,'Page-Keyword Map'!$E$2:$E$668,"City")</f>
        <v>0</v>
      </c>
      <c r="X181" s="15" t="str">
        <f aca="false">IF(O181="","",IF(ISNUMBER(SEARCH(O181,J181)),"Yes","No"))</f>
        <v>No</v>
      </c>
      <c r="Y181" s="15" t="n">
        <v>0.7</v>
      </c>
      <c r="Z181" s="15" t="s">
        <v>663</v>
      </c>
      <c r="AA181" s="15" t="s">
        <v>131</v>
      </c>
      <c r="AB181" s="17"/>
      <c r="AC181" s="17"/>
    </row>
    <row r="182" customFormat="false" ht="23.85" hidden="false" customHeight="false" outlineLevel="0" collapsed="false">
      <c r="A182" s="15" t="s">
        <v>1234</v>
      </c>
      <c r="B182" s="15" t="s">
        <v>1235</v>
      </c>
      <c r="C182" s="15" t="s">
        <v>656</v>
      </c>
      <c r="D182" s="15" t="s">
        <v>78</v>
      </c>
      <c r="E182" s="15" t="s">
        <v>307</v>
      </c>
      <c r="F182" s="15"/>
      <c r="G182" s="15" t="s">
        <v>680</v>
      </c>
      <c r="H182" s="15"/>
      <c r="I182" s="15" t="s">
        <v>126</v>
      </c>
      <c r="J182" s="3" t="s">
        <v>1236</v>
      </c>
      <c r="K182" s="15" t="n">
        <f aca="false">LEN(J182)</f>
        <v>72</v>
      </c>
      <c r="L182" s="3" t="s">
        <v>1237</v>
      </c>
      <c r="M182" s="15" t="n">
        <f aca="false">LEN(L182)</f>
        <v>145</v>
      </c>
      <c r="N182" s="3" t="s">
        <v>1238</v>
      </c>
      <c r="O182" s="15" t="s">
        <v>1239</v>
      </c>
      <c r="P182" s="16" t="n">
        <v>88</v>
      </c>
      <c r="Q182" s="15" t="s">
        <v>662</v>
      </c>
      <c r="R182" s="15"/>
      <c r="S182" s="15" t="n">
        <f aca="false">COUNTIF('Page-Keyword Map'!$A$2:$A$668,B182)</f>
        <v>1</v>
      </c>
      <c r="T182" s="16" t="n">
        <f aca="false">SUMIF('Page-Keyword Map'!$A$2:$A$668,B182,'Page-Keyword Map'!$H$2:$H$668)</f>
        <v>88</v>
      </c>
      <c r="U182" s="15" t="n">
        <f aca="false">COUNTIFS('Page-Keyword Map'!$A$2:$A$668,B182,'Page-Keyword Map'!$E$2:$E$668,"Nationwide")</f>
        <v>0</v>
      </c>
      <c r="V182" s="15" t="n">
        <f aca="false">COUNTIFS('Page-Keyword Map'!$A$2:$A$668,B182,'Page-Keyword Map'!$E$2:$E$668,"Provincial")</f>
        <v>1</v>
      </c>
      <c r="W182" s="15" t="n">
        <f aca="false">COUNTIFS('Page-Keyword Map'!$A$2:$A$668,B182,'Page-Keyword Map'!$E$2:$E$668,"City")</f>
        <v>0</v>
      </c>
      <c r="X182" s="15" t="str">
        <f aca="false">IF(O182="","",IF(ISNUMBER(SEARCH(O182,J182)),"Yes","No"))</f>
        <v>No</v>
      </c>
      <c r="Y182" s="15" t="n">
        <v>0.7</v>
      </c>
      <c r="Z182" s="15" t="s">
        <v>663</v>
      </c>
      <c r="AA182" s="15" t="s">
        <v>131</v>
      </c>
      <c r="AB182" s="17"/>
      <c r="AC182" s="17"/>
    </row>
    <row r="183" customFormat="false" ht="23.85" hidden="false" customHeight="false" outlineLevel="0" collapsed="false">
      <c r="A183" s="15" t="s">
        <v>1240</v>
      </c>
      <c r="B183" s="15" t="s">
        <v>1241</v>
      </c>
      <c r="C183" s="15" t="s">
        <v>656</v>
      </c>
      <c r="D183" s="15" t="s">
        <v>78</v>
      </c>
      <c r="E183" s="15" t="s">
        <v>307</v>
      </c>
      <c r="F183" s="15"/>
      <c r="G183" s="15" t="s">
        <v>687</v>
      </c>
      <c r="H183" s="15"/>
      <c r="I183" s="15" t="s">
        <v>126</v>
      </c>
      <c r="J183" s="3" t="s">
        <v>1242</v>
      </c>
      <c r="K183" s="15" t="n">
        <f aca="false">LEN(J183)</f>
        <v>84</v>
      </c>
      <c r="L183" s="3" t="s">
        <v>1243</v>
      </c>
      <c r="M183" s="15" t="n">
        <f aca="false">LEN(L183)</f>
        <v>162</v>
      </c>
      <c r="N183" s="3" t="s">
        <v>1244</v>
      </c>
      <c r="O183" s="15" t="s">
        <v>1245</v>
      </c>
      <c r="P183" s="16" t="n">
        <v>60</v>
      </c>
      <c r="Q183" s="15" t="s">
        <v>662</v>
      </c>
      <c r="R183" s="15"/>
      <c r="S183" s="15" t="n">
        <f aca="false">COUNTIF('Page-Keyword Map'!$A$2:$A$668,B183)</f>
        <v>1</v>
      </c>
      <c r="T183" s="16" t="n">
        <f aca="false">SUMIF('Page-Keyword Map'!$A$2:$A$668,B183,'Page-Keyword Map'!$H$2:$H$668)</f>
        <v>60</v>
      </c>
      <c r="U183" s="15" t="n">
        <f aca="false">COUNTIFS('Page-Keyword Map'!$A$2:$A$668,B183,'Page-Keyword Map'!$E$2:$E$668,"Nationwide")</f>
        <v>0</v>
      </c>
      <c r="V183" s="15" t="n">
        <f aca="false">COUNTIFS('Page-Keyword Map'!$A$2:$A$668,B183,'Page-Keyword Map'!$E$2:$E$668,"Provincial")</f>
        <v>1</v>
      </c>
      <c r="W183" s="15" t="n">
        <f aca="false">COUNTIFS('Page-Keyword Map'!$A$2:$A$668,B183,'Page-Keyword Map'!$E$2:$E$668,"City")</f>
        <v>0</v>
      </c>
      <c r="X183" s="15" t="str">
        <f aca="false">IF(O183="","",IF(ISNUMBER(SEARCH(O183,J183)),"Yes","No"))</f>
        <v>No</v>
      </c>
      <c r="Y183" s="15" t="n">
        <v>0.7</v>
      </c>
      <c r="Z183" s="15" t="s">
        <v>663</v>
      </c>
      <c r="AA183" s="15" t="s">
        <v>131</v>
      </c>
      <c r="AB183" s="17"/>
      <c r="AC183" s="17"/>
    </row>
    <row r="184" customFormat="false" ht="23.85" hidden="false" customHeight="false" outlineLevel="0" collapsed="false">
      <c r="A184" s="15" t="s">
        <v>1246</v>
      </c>
      <c r="B184" s="15" t="s">
        <v>1247</v>
      </c>
      <c r="C184" s="15" t="s">
        <v>656</v>
      </c>
      <c r="D184" s="15" t="s">
        <v>78</v>
      </c>
      <c r="E184" s="15" t="s">
        <v>307</v>
      </c>
      <c r="F184" s="15"/>
      <c r="G184" s="15" t="s">
        <v>694</v>
      </c>
      <c r="H184" s="15"/>
      <c r="I184" s="15" t="s">
        <v>126</v>
      </c>
      <c r="J184" s="3" t="s">
        <v>1248</v>
      </c>
      <c r="K184" s="15" t="n">
        <f aca="false">LEN(J184)</f>
        <v>80</v>
      </c>
      <c r="L184" s="3" t="s">
        <v>1249</v>
      </c>
      <c r="M184" s="15" t="n">
        <f aca="false">LEN(L184)</f>
        <v>160</v>
      </c>
      <c r="N184" s="3" t="s">
        <v>1250</v>
      </c>
      <c r="O184" s="15"/>
      <c r="P184" s="16"/>
      <c r="Q184" s="15"/>
      <c r="R184" s="15" t="s">
        <v>1251</v>
      </c>
      <c r="S184" s="15" t="n">
        <f aca="false">COUNTIF('Page-Keyword Map'!$A$2:$A$668,B184)</f>
        <v>0</v>
      </c>
      <c r="T184" s="16" t="n">
        <f aca="false">SUMIF('Page-Keyword Map'!$A$2:$A$668,B184,'Page-Keyword Map'!$H$2:$H$668)</f>
        <v>0</v>
      </c>
      <c r="U184" s="15" t="n">
        <f aca="false">COUNTIFS('Page-Keyword Map'!$A$2:$A$668,B184,'Page-Keyword Map'!$E$2:$E$668,"Nationwide")</f>
        <v>0</v>
      </c>
      <c r="V184" s="15" t="n">
        <f aca="false">COUNTIFS('Page-Keyword Map'!$A$2:$A$668,B184,'Page-Keyword Map'!$E$2:$E$668,"Provincial")</f>
        <v>0</v>
      </c>
      <c r="W184" s="15" t="n">
        <f aca="false">COUNTIFS('Page-Keyword Map'!$A$2:$A$668,B184,'Page-Keyword Map'!$E$2:$E$668,"City")</f>
        <v>0</v>
      </c>
      <c r="X184" s="15" t="str">
        <f aca="false">IF(O184="","",IF(ISNUMBER(SEARCH(O184,J184)),"Yes","No"))</f>
        <v/>
      </c>
      <c r="Y184" s="15" t="n">
        <v>0.7</v>
      </c>
      <c r="Z184" s="15" t="s">
        <v>663</v>
      </c>
      <c r="AA184" s="15" t="s">
        <v>131</v>
      </c>
      <c r="AB184" s="17"/>
      <c r="AC184" s="17"/>
    </row>
    <row r="185" customFormat="false" ht="23.85" hidden="false" customHeight="false" outlineLevel="0" collapsed="false">
      <c r="A185" s="15" t="s">
        <v>1252</v>
      </c>
      <c r="B185" s="15" t="s">
        <v>1253</v>
      </c>
      <c r="C185" s="15" t="s">
        <v>656</v>
      </c>
      <c r="D185" s="15" t="s">
        <v>78</v>
      </c>
      <c r="E185" s="15" t="s">
        <v>307</v>
      </c>
      <c r="F185" s="15"/>
      <c r="G185" s="15" t="s">
        <v>701</v>
      </c>
      <c r="H185" s="15"/>
      <c r="I185" s="15" t="s">
        <v>126</v>
      </c>
      <c r="J185" s="3" t="s">
        <v>1254</v>
      </c>
      <c r="K185" s="15" t="n">
        <f aca="false">LEN(J185)</f>
        <v>70</v>
      </c>
      <c r="L185" s="3" t="s">
        <v>1255</v>
      </c>
      <c r="M185" s="15" t="n">
        <f aca="false">LEN(L185)</f>
        <v>164</v>
      </c>
      <c r="N185" s="3" t="s">
        <v>1256</v>
      </c>
      <c r="O185" s="15" t="s">
        <v>1257</v>
      </c>
      <c r="P185" s="16" t="n">
        <v>110</v>
      </c>
      <c r="Q185" s="15" t="s">
        <v>662</v>
      </c>
      <c r="R185" s="15"/>
      <c r="S185" s="15" t="n">
        <f aca="false">COUNTIF('Page-Keyword Map'!$A$2:$A$668,B185)</f>
        <v>1</v>
      </c>
      <c r="T185" s="16" t="n">
        <f aca="false">SUMIF('Page-Keyword Map'!$A$2:$A$668,B185,'Page-Keyword Map'!$H$2:$H$668)</f>
        <v>110</v>
      </c>
      <c r="U185" s="15" t="n">
        <f aca="false">COUNTIFS('Page-Keyword Map'!$A$2:$A$668,B185,'Page-Keyword Map'!$E$2:$E$668,"Nationwide")</f>
        <v>0</v>
      </c>
      <c r="V185" s="15" t="n">
        <f aca="false">COUNTIFS('Page-Keyword Map'!$A$2:$A$668,B185,'Page-Keyword Map'!$E$2:$E$668,"Provincial")</f>
        <v>1</v>
      </c>
      <c r="W185" s="15" t="n">
        <f aca="false">COUNTIFS('Page-Keyword Map'!$A$2:$A$668,B185,'Page-Keyword Map'!$E$2:$E$668,"City")</f>
        <v>0</v>
      </c>
      <c r="X185" s="15" t="str">
        <f aca="false">IF(O185="","",IF(ISNUMBER(SEARCH(O185,J185)),"Yes","No"))</f>
        <v>No</v>
      </c>
      <c r="Y185" s="15" t="n">
        <v>0.7</v>
      </c>
      <c r="Z185" s="15" t="s">
        <v>663</v>
      </c>
      <c r="AA185" s="15" t="s">
        <v>131</v>
      </c>
      <c r="AB185" s="17"/>
      <c r="AC185" s="17"/>
    </row>
    <row r="186" customFormat="false" ht="23.85" hidden="false" customHeight="false" outlineLevel="0" collapsed="false">
      <c r="A186" s="15" t="s">
        <v>1258</v>
      </c>
      <c r="B186" s="15" t="s">
        <v>1259</v>
      </c>
      <c r="C186" s="15" t="s">
        <v>656</v>
      </c>
      <c r="D186" s="15" t="s">
        <v>78</v>
      </c>
      <c r="E186" s="15" t="s">
        <v>307</v>
      </c>
      <c r="F186" s="15"/>
      <c r="G186" s="15" t="s">
        <v>708</v>
      </c>
      <c r="H186" s="15"/>
      <c r="I186" s="15" t="s">
        <v>126</v>
      </c>
      <c r="J186" s="3" t="s">
        <v>1260</v>
      </c>
      <c r="K186" s="15" t="n">
        <f aca="false">LEN(J186)</f>
        <v>66</v>
      </c>
      <c r="L186" s="3" t="s">
        <v>1261</v>
      </c>
      <c r="M186" s="15" t="n">
        <f aca="false">LEN(L186)</f>
        <v>160</v>
      </c>
      <c r="N186" s="3" t="s">
        <v>1262</v>
      </c>
      <c r="O186" s="15"/>
      <c r="P186" s="16"/>
      <c r="Q186" s="15"/>
      <c r="R186" s="15" t="s">
        <v>1263</v>
      </c>
      <c r="S186" s="15" t="n">
        <f aca="false">COUNTIF('Page-Keyword Map'!$A$2:$A$668,B186)</f>
        <v>0</v>
      </c>
      <c r="T186" s="16" t="n">
        <f aca="false">SUMIF('Page-Keyword Map'!$A$2:$A$668,B186,'Page-Keyword Map'!$H$2:$H$668)</f>
        <v>0</v>
      </c>
      <c r="U186" s="15" t="n">
        <f aca="false">COUNTIFS('Page-Keyword Map'!$A$2:$A$668,B186,'Page-Keyword Map'!$E$2:$E$668,"Nationwide")</f>
        <v>0</v>
      </c>
      <c r="V186" s="15" t="n">
        <f aca="false">COUNTIFS('Page-Keyword Map'!$A$2:$A$668,B186,'Page-Keyword Map'!$E$2:$E$668,"Provincial")</f>
        <v>0</v>
      </c>
      <c r="W186" s="15" t="n">
        <f aca="false">COUNTIFS('Page-Keyword Map'!$A$2:$A$668,B186,'Page-Keyword Map'!$E$2:$E$668,"City")</f>
        <v>0</v>
      </c>
      <c r="X186" s="15" t="str">
        <f aca="false">IF(O186="","",IF(ISNUMBER(SEARCH(O186,J186)),"Yes","No"))</f>
        <v/>
      </c>
      <c r="Y186" s="15" t="n">
        <v>0.7</v>
      </c>
      <c r="Z186" s="15" t="s">
        <v>663</v>
      </c>
      <c r="AA186" s="15" t="s">
        <v>131</v>
      </c>
      <c r="AB186" s="17"/>
      <c r="AC186" s="17"/>
    </row>
    <row r="187" customFormat="false" ht="23.85" hidden="false" customHeight="false" outlineLevel="0" collapsed="false">
      <c r="A187" s="15" t="s">
        <v>1264</v>
      </c>
      <c r="B187" s="15" t="s">
        <v>1265</v>
      </c>
      <c r="C187" s="15" t="s">
        <v>656</v>
      </c>
      <c r="D187" s="15" t="s">
        <v>78</v>
      </c>
      <c r="E187" s="15" t="s">
        <v>307</v>
      </c>
      <c r="F187" s="15"/>
      <c r="G187" s="15" t="s">
        <v>715</v>
      </c>
      <c r="H187" s="15"/>
      <c r="I187" s="15" t="s">
        <v>126</v>
      </c>
      <c r="J187" s="3" t="s">
        <v>1266</v>
      </c>
      <c r="K187" s="15" t="n">
        <f aca="false">LEN(J187)</f>
        <v>66</v>
      </c>
      <c r="L187" s="3" t="s">
        <v>1267</v>
      </c>
      <c r="M187" s="15" t="n">
        <f aca="false">LEN(L187)</f>
        <v>133</v>
      </c>
      <c r="N187" s="3" t="s">
        <v>1268</v>
      </c>
      <c r="O187" s="15" t="s">
        <v>1269</v>
      </c>
      <c r="P187" s="16" t="n">
        <v>1300</v>
      </c>
      <c r="Q187" s="15" t="s">
        <v>662</v>
      </c>
      <c r="R187" s="15"/>
      <c r="S187" s="15" t="n">
        <f aca="false">COUNTIF('Page-Keyword Map'!$A$2:$A$668,B187)</f>
        <v>1</v>
      </c>
      <c r="T187" s="16" t="n">
        <f aca="false">SUMIF('Page-Keyword Map'!$A$2:$A$668,B187,'Page-Keyword Map'!$H$2:$H$668)</f>
        <v>1300</v>
      </c>
      <c r="U187" s="15" t="n">
        <f aca="false">COUNTIFS('Page-Keyword Map'!$A$2:$A$668,B187,'Page-Keyword Map'!$E$2:$E$668,"Nationwide")</f>
        <v>0</v>
      </c>
      <c r="V187" s="15" t="n">
        <f aca="false">COUNTIFS('Page-Keyword Map'!$A$2:$A$668,B187,'Page-Keyword Map'!$E$2:$E$668,"Provincial")</f>
        <v>1</v>
      </c>
      <c r="W187" s="15" t="n">
        <f aca="false">COUNTIFS('Page-Keyword Map'!$A$2:$A$668,B187,'Page-Keyword Map'!$E$2:$E$668,"City")</f>
        <v>0</v>
      </c>
      <c r="X187" s="15" t="str">
        <f aca="false">IF(O187="","",IF(ISNUMBER(SEARCH(O187,J187)),"Yes","No"))</f>
        <v>No</v>
      </c>
      <c r="Y187" s="15" t="n">
        <v>0.7</v>
      </c>
      <c r="Z187" s="15" t="s">
        <v>663</v>
      </c>
      <c r="AA187" s="15" t="s">
        <v>131</v>
      </c>
      <c r="AB187" s="17"/>
      <c r="AC187" s="17"/>
    </row>
    <row r="188" customFormat="false" ht="23.85" hidden="false" customHeight="false" outlineLevel="0" collapsed="false">
      <c r="A188" s="15" t="s">
        <v>1270</v>
      </c>
      <c r="B188" s="15" t="s">
        <v>1271</v>
      </c>
      <c r="C188" s="15" t="s">
        <v>656</v>
      </c>
      <c r="D188" s="15" t="s">
        <v>78</v>
      </c>
      <c r="E188" s="15" t="s">
        <v>307</v>
      </c>
      <c r="F188" s="15"/>
      <c r="G188" s="15" t="s">
        <v>722</v>
      </c>
      <c r="H188" s="15"/>
      <c r="I188" s="15" t="s">
        <v>126</v>
      </c>
      <c r="J188" s="3" t="s">
        <v>1272</v>
      </c>
      <c r="K188" s="15" t="n">
        <f aca="false">LEN(J188)</f>
        <v>79</v>
      </c>
      <c r="L188" s="3" t="s">
        <v>1273</v>
      </c>
      <c r="M188" s="15" t="n">
        <f aca="false">LEN(L188)</f>
        <v>163</v>
      </c>
      <c r="N188" s="3" t="s">
        <v>1274</v>
      </c>
      <c r="O188" s="15" t="s">
        <v>1275</v>
      </c>
      <c r="P188" s="16" t="n">
        <v>20</v>
      </c>
      <c r="Q188" s="15" t="s">
        <v>662</v>
      </c>
      <c r="R188" s="15"/>
      <c r="S188" s="15" t="n">
        <f aca="false">COUNTIF('Page-Keyword Map'!$A$2:$A$668,B188)</f>
        <v>1</v>
      </c>
      <c r="T188" s="16" t="n">
        <f aca="false">SUMIF('Page-Keyword Map'!$A$2:$A$668,B188,'Page-Keyword Map'!$H$2:$H$668)</f>
        <v>20</v>
      </c>
      <c r="U188" s="15" t="n">
        <f aca="false">COUNTIFS('Page-Keyword Map'!$A$2:$A$668,B188,'Page-Keyword Map'!$E$2:$E$668,"Nationwide")</f>
        <v>0</v>
      </c>
      <c r="V188" s="15" t="n">
        <f aca="false">COUNTIFS('Page-Keyword Map'!$A$2:$A$668,B188,'Page-Keyword Map'!$E$2:$E$668,"Provincial")</f>
        <v>1</v>
      </c>
      <c r="W188" s="15" t="n">
        <f aca="false">COUNTIFS('Page-Keyword Map'!$A$2:$A$668,B188,'Page-Keyword Map'!$E$2:$E$668,"City")</f>
        <v>0</v>
      </c>
      <c r="X188" s="15" t="str">
        <f aca="false">IF(O188="","",IF(ISNUMBER(SEARCH(O188,J188)),"Yes","No"))</f>
        <v>No</v>
      </c>
      <c r="Y188" s="15" t="n">
        <v>0.7</v>
      </c>
      <c r="Z188" s="15" t="s">
        <v>663</v>
      </c>
      <c r="AA188" s="15" t="s">
        <v>131</v>
      </c>
      <c r="AB188" s="17"/>
      <c r="AC188" s="17"/>
    </row>
    <row r="189" customFormat="false" ht="23.85" hidden="false" customHeight="false" outlineLevel="0" collapsed="false">
      <c r="A189" s="15" t="s">
        <v>1276</v>
      </c>
      <c r="B189" s="15" t="s">
        <v>1277</v>
      </c>
      <c r="C189" s="15" t="s">
        <v>656</v>
      </c>
      <c r="D189" s="15" t="s">
        <v>78</v>
      </c>
      <c r="E189" s="15" t="s">
        <v>307</v>
      </c>
      <c r="F189" s="15"/>
      <c r="G189" s="15" t="s">
        <v>729</v>
      </c>
      <c r="H189" s="15"/>
      <c r="I189" s="15" t="s">
        <v>126</v>
      </c>
      <c r="J189" s="3" t="s">
        <v>1278</v>
      </c>
      <c r="K189" s="15" t="n">
        <f aca="false">LEN(J189)</f>
        <v>65</v>
      </c>
      <c r="L189" s="3" t="s">
        <v>1279</v>
      </c>
      <c r="M189" s="15" t="n">
        <f aca="false">LEN(L189)</f>
        <v>143</v>
      </c>
      <c r="N189" s="3" t="s">
        <v>1280</v>
      </c>
      <c r="O189" s="15" t="s">
        <v>1281</v>
      </c>
      <c r="P189" s="16" t="n">
        <v>240</v>
      </c>
      <c r="Q189" s="15" t="s">
        <v>662</v>
      </c>
      <c r="R189" s="15"/>
      <c r="S189" s="15" t="n">
        <f aca="false">COUNTIF('Page-Keyword Map'!$A$2:$A$668,B189)</f>
        <v>1</v>
      </c>
      <c r="T189" s="16" t="n">
        <f aca="false">SUMIF('Page-Keyword Map'!$A$2:$A$668,B189,'Page-Keyword Map'!$H$2:$H$668)</f>
        <v>240</v>
      </c>
      <c r="U189" s="15" t="n">
        <f aca="false">COUNTIFS('Page-Keyword Map'!$A$2:$A$668,B189,'Page-Keyword Map'!$E$2:$E$668,"Nationwide")</f>
        <v>0</v>
      </c>
      <c r="V189" s="15" t="n">
        <f aca="false">COUNTIFS('Page-Keyword Map'!$A$2:$A$668,B189,'Page-Keyword Map'!$E$2:$E$668,"Provincial")</f>
        <v>1</v>
      </c>
      <c r="W189" s="15" t="n">
        <f aca="false">COUNTIFS('Page-Keyword Map'!$A$2:$A$668,B189,'Page-Keyword Map'!$E$2:$E$668,"City")</f>
        <v>0</v>
      </c>
      <c r="X189" s="15" t="str">
        <f aca="false">IF(O189="","",IF(ISNUMBER(SEARCH(O189,J189)),"Yes","No"))</f>
        <v>No</v>
      </c>
      <c r="Y189" s="15" t="n">
        <v>0.7</v>
      </c>
      <c r="Z189" s="15" t="s">
        <v>663</v>
      </c>
      <c r="AA189" s="15" t="s">
        <v>131</v>
      </c>
      <c r="AB189" s="17"/>
      <c r="AC189" s="17"/>
    </row>
    <row r="190" customFormat="false" ht="23.85" hidden="false" customHeight="false" outlineLevel="0" collapsed="false">
      <c r="A190" s="15" t="s">
        <v>1282</v>
      </c>
      <c r="B190" s="15" t="s">
        <v>1283</v>
      </c>
      <c r="C190" s="15" t="s">
        <v>656</v>
      </c>
      <c r="D190" s="15" t="s">
        <v>78</v>
      </c>
      <c r="E190" s="15" t="s">
        <v>307</v>
      </c>
      <c r="F190" s="15"/>
      <c r="G190" s="15" t="s">
        <v>736</v>
      </c>
      <c r="H190" s="15"/>
      <c r="I190" s="15" t="s">
        <v>126</v>
      </c>
      <c r="J190" s="3" t="s">
        <v>1284</v>
      </c>
      <c r="K190" s="15" t="n">
        <f aca="false">LEN(J190)</f>
        <v>71</v>
      </c>
      <c r="L190" s="3" t="s">
        <v>1285</v>
      </c>
      <c r="M190" s="15" t="n">
        <f aca="false">LEN(L190)</f>
        <v>143</v>
      </c>
      <c r="N190" s="3" t="s">
        <v>1286</v>
      </c>
      <c r="O190" s="15" t="s">
        <v>1287</v>
      </c>
      <c r="P190" s="16" t="n">
        <v>120</v>
      </c>
      <c r="Q190" s="15" t="s">
        <v>662</v>
      </c>
      <c r="R190" s="15"/>
      <c r="S190" s="15" t="n">
        <f aca="false">COUNTIF('Page-Keyword Map'!$A$2:$A$668,B190)</f>
        <v>1</v>
      </c>
      <c r="T190" s="16" t="n">
        <f aca="false">SUMIF('Page-Keyword Map'!$A$2:$A$668,B190,'Page-Keyword Map'!$H$2:$H$668)</f>
        <v>120</v>
      </c>
      <c r="U190" s="15" t="n">
        <f aca="false">COUNTIFS('Page-Keyword Map'!$A$2:$A$668,B190,'Page-Keyword Map'!$E$2:$E$668,"Nationwide")</f>
        <v>0</v>
      </c>
      <c r="V190" s="15" t="n">
        <f aca="false">COUNTIFS('Page-Keyword Map'!$A$2:$A$668,B190,'Page-Keyword Map'!$E$2:$E$668,"Provincial")</f>
        <v>1</v>
      </c>
      <c r="W190" s="15" t="n">
        <f aca="false">COUNTIFS('Page-Keyword Map'!$A$2:$A$668,B190,'Page-Keyword Map'!$E$2:$E$668,"City")</f>
        <v>0</v>
      </c>
      <c r="X190" s="15" t="str">
        <f aca="false">IF(O190="","",IF(ISNUMBER(SEARCH(O190,J190)),"Yes","No"))</f>
        <v>No</v>
      </c>
      <c r="Y190" s="15" t="n">
        <v>0.7</v>
      </c>
      <c r="Z190" s="15" t="s">
        <v>663</v>
      </c>
      <c r="AA190" s="15" t="s">
        <v>131</v>
      </c>
      <c r="AB190" s="17"/>
      <c r="AC190" s="17"/>
    </row>
    <row r="191" customFormat="false" ht="23.85" hidden="false" customHeight="false" outlineLevel="0" collapsed="false">
      <c r="A191" s="15" t="s">
        <v>1288</v>
      </c>
      <c r="B191" s="15" t="s">
        <v>1289</v>
      </c>
      <c r="C191" s="15" t="s">
        <v>656</v>
      </c>
      <c r="D191" s="15" t="s">
        <v>78</v>
      </c>
      <c r="E191" s="15" t="s">
        <v>307</v>
      </c>
      <c r="F191" s="15"/>
      <c r="G191" s="15" t="s">
        <v>743</v>
      </c>
      <c r="H191" s="15"/>
      <c r="I191" s="15" t="s">
        <v>126</v>
      </c>
      <c r="J191" s="3" t="s">
        <v>1290</v>
      </c>
      <c r="K191" s="15" t="n">
        <f aca="false">LEN(J191)</f>
        <v>64</v>
      </c>
      <c r="L191" s="3" t="s">
        <v>1291</v>
      </c>
      <c r="M191" s="15" t="n">
        <f aca="false">LEN(L191)</f>
        <v>162</v>
      </c>
      <c r="N191" s="3" t="s">
        <v>1292</v>
      </c>
      <c r="O191" s="15"/>
      <c r="P191" s="16"/>
      <c r="Q191" s="15"/>
      <c r="R191" s="15" t="s">
        <v>1293</v>
      </c>
      <c r="S191" s="15" t="n">
        <f aca="false">COUNTIF('Page-Keyword Map'!$A$2:$A$668,B191)</f>
        <v>0</v>
      </c>
      <c r="T191" s="16" t="n">
        <f aca="false">SUMIF('Page-Keyword Map'!$A$2:$A$668,B191,'Page-Keyword Map'!$H$2:$H$668)</f>
        <v>0</v>
      </c>
      <c r="U191" s="15" t="n">
        <f aca="false">COUNTIFS('Page-Keyword Map'!$A$2:$A$668,B191,'Page-Keyword Map'!$E$2:$E$668,"Nationwide")</f>
        <v>0</v>
      </c>
      <c r="V191" s="15" t="n">
        <f aca="false">COUNTIFS('Page-Keyword Map'!$A$2:$A$668,B191,'Page-Keyword Map'!$E$2:$E$668,"Provincial")</f>
        <v>0</v>
      </c>
      <c r="W191" s="15" t="n">
        <f aca="false">COUNTIFS('Page-Keyword Map'!$A$2:$A$668,B191,'Page-Keyword Map'!$E$2:$E$668,"City")</f>
        <v>0</v>
      </c>
      <c r="X191" s="15" t="str">
        <f aca="false">IF(O191="","",IF(ISNUMBER(SEARCH(O191,J191)),"Yes","No"))</f>
        <v/>
      </c>
      <c r="Y191" s="15" t="n">
        <v>0.7</v>
      </c>
      <c r="Z191" s="15" t="s">
        <v>663</v>
      </c>
      <c r="AA191" s="15" t="s">
        <v>131</v>
      </c>
      <c r="AB191" s="17"/>
      <c r="AC191" s="17"/>
    </row>
    <row r="192" customFormat="false" ht="23.85" hidden="false" customHeight="false" outlineLevel="0" collapsed="false">
      <c r="A192" s="15" t="s">
        <v>1294</v>
      </c>
      <c r="B192" s="15" t="s">
        <v>1295</v>
      </c>
      <c r="C192" s="15" t="s">
        <v>656</v>
      </c>
      <c r="D192" s="15" t="s">
        <v>84</v>
      </c>
      <c r="E192" s="15" t="s">
        <v>314</v>
      </c>
      <c r="F192" s="15"/>
      <c r="G192" s="15" t="s">
        <v>657</v>
      </c>
      <c r="H192" s="15"/>
      <c r="I192" s="15" t="s">
        <v>126</v>
      </c>
      <c r="J192" s="3" t="s">
        <v>1296</v>
      </c>
      <c r="K192" s="15" t="n">
        <f aca="false">LEN(J192)</f>
        <v>55</v>
      </c>
      <c r="L192" s="3" t="s">
        <v>1297</v>
      </c>
      <c r="M192" s="15" t="n">
        <f aca="false">LEN(L192)</f>
        <v>149</v>
      </c>
      <c r="N192" s="3" t="s">
        <v>1298</v>
      </c>
      <c r="O192" s="15" t="s">
        <v>1299</v>
      </c>
      <c r="P192" s="16" t="n">
        <v>900</v>
      </c>
      <c r="Q192" s="15" t="s">
        <v>662</v>
      </c>
      <c r="R192" s="15"/>
      <c r="S192" s="15" t="n">
        <f aca="false">COUNTIF('Page-Keyword Map'!$A$2:$A$668,B192)</f>
        <v>1</v>
      </c>
      <c r="T192" s="16" t="n">
        <f aca="false">SUMIF('Page-Keyword Map'!$A$2:$A$668,B192,'Page-Keyword Map'!$H$2:$H$668)</f>
        <v>900</v>
      </c>
      <c r="U192" s="15" t="n">
        <f aca="false">COUNTIFS('Page-Keyword Map'!$A$2:$A$668,B192,'Page-Keyword Map'!$E$2:$E$668,"Nationwide")</f>
        <v>0</v>
      </c>
      <c r="V192" s="15" t="n">
        <f aca="false">COUNTIFS('Page-Keyword Map'!$A$2:$A$668,B192,'Page-Keyword Map'!$E$2:$E$668,"Provincial")</f>
        <v>1</v>
      </c>
      <c r="W192" s="15" t="n">
        <f aca="false">COUNTIFS('Page-Keyword Map'!$A$2:$A$668,B192,'Page-Keyword Map'!$E$2:$E$668,"City")</f>
        <v>0</v>
      </c>
      <c r="X192" s="15" t="str">
        <f aca="false">IF(O192="","",IF(ISNUMBER(SEARCH(O192,J192)),"Yes","No"))</f>
        <v>No</v>
      </c>
      <c r="Y192" s="15" t="n">
        <v>0.7</v>
      </c>
      <c r="Z192" s="15" t="s">
        <v>663</v>
      </c>
      <c r="AA192" s="15" t="s">
        <v>131</v>
      </c>
      <c r="AB192" s="17"/>
      <c r="AC192" s="17"/>
    </row>
    <row r="193" customFormat="false" ht="23.85" hidden="false" customHeight="false" outlineLevel="0" collapsed="false">
      <c r="A193" s="15" t="s">
        <v>1300</v>
      </c>
      <c r="B193" s="15" t="s">
        <v>1301</v>
      </c>
      <c r="C193" s="15" t="s">
        <v>656</v>
      </c>
      <c r="D193" s="15" t="s">
        <v>84</v>
      </c>
      <c r="E193" s="15" t="s">
        <v>314</v>
      </c>
      <c r="F193" s="15"/>
      <c r="G193" s="15" t="s">
        <v>666</v>
      </c>
      <c r="H193" s="15"/>
      <c r="I193" s="15" t="s">
        <v>126</v>
      </c>
      <c r="J193" s="3" t="s">
        <v>1302</v>
      </c>
      <c r="K193" s="15" t="n">
        <f aca="false">LEN(J193)</f>
        <v>64</v>
      </c>
      <c r="L193" s="3" t="s">
        <v>1303</v>
      </c>
      <c r="M193" s="15" t="n">
        <f aca="false">LEN(L193)</f>
        <v>141</v>
      </c>
      <c r="N193" s="3" t="s">
        <v>1304</v>
      </c>
      <c r="O193" s="15" t="s">
        <v>1305</v>
      </c>
      <c r="P193" s="16" t="n">
        <v>1000</v>
      </c>
      <c r="Q193" s="15" t="s">
        <v>662</v>
      </c>
      <c r="R193" s="15"/>
      <c r="S193" s="15" t="n">
        <f aca="false">COUNTIF('Page-Keyword Map'!$A$2:$A$668,B193)</f>
        <v>2</v>
      </c>
      <c r="T193" s="16" t="n">
        <f aca="false">SUMIF('Page-Keyword Map'!$A$2:$A$668,B193,'Page-Keyword Map'!$H$2:$H$668)</f>
        <v>1590</v>
      </c>
      <c r="U193" s="15" t="n">
        <f aca="false">COUNTIFS('Page-Keyword Map'!$A$2:$A$668,B193,'Page-Keyword Map'!$E$2:$E$668,"Nationwide")</f>
        <v>0</v>
      </c>
      <c r="V193" s="15" t="n">
        <f aca="false">COUNTIFS('Page-Keyword Map'!$A$2:$A$668,B193,'Page-Keyword Map'!$E$2:$E$668,"Provincial")</f>
        <v>2</v>
      </c>
      <c r="W193" s="15" t="n">
        <f aca="false">COUNTIFS('Page-Keyword Map'!$A$2:$A$668,B193,'Page-Keyword Map'!$E$2:$E$668,"City")</f>
        <v>0</v>
      </c>
      <c r="X193" s="15" t="str">
        <f aca="false">IF(O193="","",IF(ISNUMBER(SEARCH(O193,J193)),"Yes","No"))</f>
        <v>No</v>
      </c>
      <c r="Y193" s="15" t="n">
        <v>0.7</v>
      </c>
      <c r="Z193" s="15" t="s">
        <v>663</v>
      </c>
      <c r="AA193" s="15" t="s">
        <v>131</v>
      </c>
      <c r="AB193" s="17"/>
      <c r="AC193" s="17"/>
    </row>
    <row r="194" customFormat="false" ht="23.85" hidden="false" customHeight="false" outlineLevel="0" collapsed="false">
      <c r="A194" s="15" t="s">
        <v>1306</v>
      </c>
      <c r="B194" s="15" t="s">
        <v>1307</v>
      </c>
      <c r="C194" s="15" t="s">
        <v>656</v>
      </c>
      <c r="D194" s="15" t="s">
        <v>84</v>
      </c>
      <c r="E194" s="15" t="s">
        <v>314</v>
      </c>
      <c r="F194" s="15"/>
      <c r="G194" s="15" t="s">
        <v>673</v>
      </c>
      <c r="H194" s="15"/>
      <c r="I194" s="15" t="s">
        <v>126</v>
      </c>
      <c r="J194" s="3" t="s">
        <v>1308</v>
      </c>
      <c r="K194" s="15" t="n">
        <f aca="false">LEN(J194)</f>
        <v>56</v>
      </c>
      <c r="L194" s="3" t="s">
        <v>1309</v>
      </c>
      <c r="M194" s="15" t="n">
        <f aca="false">LEN(L194)</f>
        <v>124</v>
      </c>
      <c r="N194" s="3" t="s">
        <v>1310</v>
      </c>
      <c r="O194" s="15" t="s">
        <v>1311</v>
      </c>
      <c r="P194" s="16" t="n">
        <v>320</v>
      </c>
      <c r="Q194" s="15" t="s">
        <v>662</v>
      </c>
      <c r="R194" s="15"/>
      <c r="S194" s="15" t="n">
        <f aca="false">COUNTIF('Page-Keyword Map'!$A$2:$A$668,B194)</f>
        <v>1</v>
      </c>
      <c r="T194" s="16" t="n">
        <f aca="false">SUMIF('Page-Keyword Map'!$A$2:$A$668,B194,'Page-Keyword Map'!$H$2:$H$668)</f>
        <v>320</v>
      </c>
      <c r="U194" s="15" t="n">
        <f aca="false">COUNTIFS('Page-Keyword Map'!$A$2:$A$668,B194,'Page-Keyword Map'!$E$2:$E$668,"Nationwide")</f>
        <v>0</v>
      </c>
      <c r="V194" s="15" t="n">
        <f aca="false">COUNTIFS('Page-Keyword Map'!$A$2:$A$668,B194,'Page-Keyword Map'!$E$2:$E$668,"Provincial")</f>
        <v>1</v>
      </c>
      <c r="W194" s="15" t="n">
        <f aca="false">COUNTIFS('Page-Keyword Map'!$A$2:$A$668,B194,'Page-Keyword Map'!$E$2:$E$668,"City")</f>
        <v>0</v>
      </c>
      <c r="X194" s="15" t="str">
        <f aca="false">IF(O194="","",IF(ISNUMBER(SEARCH(O194,J194)),"Yes","No"))</f>
        <v>No</v>
      </c>
      <c r="Y194" s="15" t="n">
        <v>0.7</v>
      </c>
      <c r="Z194" s="15" t="s">
        <v>663</v>
      </c>
      <c r="AA194" s="15" t="s">
        <v>131</v>
      </c>
      <c r="AB194" s="17"/>
      <c r="AC194" s="17"/>
    </row>
    <row r="195" customFormat="false" ht="23.85" hidden="false" customHeight="false" outlineLevel="0" collapsed="false">
      <c r="A195" s="15" t="s">
        <v>1312</v>
      </c>
      <c r="B195" s="15" t="s">
        <v>1313</v>
      </c>
      <c r="C195" s="15" t="s">
        <v>656</v>
      </c>
      <c r="D195" s="15" t="s">
        <v>84</v>
      </c>
      <c r="E195" s="15" t="s">
        <v>314</v>
      </c>
      <c r="F195" s="15"/>
      <c r="G195" s="15" t="s">
        <v>680</v>
      </c>
      <c r="H195" s="15"/>
      <c r="I195" s="15" t="s">
        <v>126</v>
      </c>
      <c r="J195" s="3" t="s">
        <v>1314</v>
      </c>
      <c r="K195" s="15" t="n">
        <f aca="false">LEN(J195)</f>
        <v>61</v>
      </c>
      <c r="L195" s="3" t="s">
        <v>1315</v>
      </c>
      <c r="M195" s="15" t="n">
        <f aca="false">LEN(L195)</f>
        <v>134</v>
      </c>
      <c r="N195" s="3" t="s">
        <v>1316</v>
      </c>
      <c r="O195" s="15" t="s">
        <v>1317</v>
      </c>
      <c r="P195" s="16" t="n">
        <v>190</v>
      </c>
      <c r="Q195" s="15" t="s">
        <v>662</v>
      </c>
      <c r="R195" s="15"/>
      <c r="S195" s="15" t="n">
        <f aca="false">COUNTIF('Page-Keyword Map'!$A$2:$A$668,B195)</f>
        <v>1</v>
      </c>
      <c r="T195" s="16" t="n">
        <f aca="false">SUMIF('Page-Keyword Map'!$A$2:$A$668,B195,'Page-Keyword Map'!$H$2:$H$668)</f>
        <v>190</v>
      </c>
      <c r="U195" s="15" t="n">
        <f aca="false">COUNTIFS('Page-Keyword Map'!$A$2:$A$668,B195,'Page-Keyword Map'!$E$2:$E$668,"Nationwide")</f>
        <v>0</v>
      </c>
      <c r="V195" s="15" t="n">
        <f aca="false">COUNTIFS('Page-Keyword Map'!$A$2:$A$668,B195,'Page-Keyword Map'!$E$2:$E$668,"Provincial")</f>
        <v>1</v>
      </c>
      <c r="W195" s="15" t="n">
        <f aca="false">COUNTIFS('Page-Keyword Map'!$A$2:$A$668,B195,'Page-Keyword Map'!$E$2:$E$668,"City")</f>
        <v>0</v>
      </c>
      <c r="X195" s="15" t="str">
        <f aca="false">IF(O195="","",IF(ISNUMBER(SEARCH(O195,J195)),"Yes","No"))</f>
        <v>No</v>
      </c>
      <c r="Y195" s="15" t="n">
        <v>0.7</v>
      </c>
      <c r="Z195" s="15" t="s">
        <v>663</v>
      </c>
      <c r="AA195" s="15" t="s">
        <v>131</v>
      </c>
      <c r="AB195" s="17"/>
      <c r="AC195" s="17"/>
    </row>
    <row r="196" customFormat="false" ht="23.85" hidden="false" customHeight="false" outlineLevel="0" collapsed="false">
      <c r="A196" s="15" t="s">
        <v>1318</v>
      </c>
      <c r="B196" s="15" t="s">
        <v>1319</v>
      </c>
      <c r="C196" s="15" t="s">
        <v>656</v>
      </c>
      <c r="D196" s="15" t="s">
        <v>84</v>
      </c>
      <c r="E196" s="15" t="s">
        <v>314</v>
      </c>
      <c r="F196" s="15"/>
      <c r="G196" s="15" t="s">
        <v>687</v>
      </c>
      <c r="H196" s="15"/>
      <c r="I196" s="15" t="s">
        <v>126</v>
      </c>
      <c r="J196" s="3" t="s">
        <v>1320</v>
      </c>
      <c r="K196" s="15" t="n">
        <f aca="false">LEN(J196)</f>
        <v>73</v>
      </c>
      <c r="L196" s="3" t="s">
        <v>1321</v>
      </c>
      <c r="M196" s="15" t="n">
        <f aca="false">LEN(L196)</f>
        <v>164</v>
      </c>
      <c r="N196" s="3" t="s">
        <v>1322</v>
      </c>
      <c r="O196" s="15" t="s">
        <v>1323</v>
      </c>
      <c r="P196" s="16" t="n">
        <v>130</v>
      </c>
      <c r="Q196" s="15" t="s">
        <v>662</v>
      </c>
      <c r="R196" s="15"/>
      <c r="S196" s="15" t="n">
        <f aca="false">COUNTIF('Page-Keyword Map'!$A$2:$A$668,B196)</f>
        <v>1</v>
      </c>
      <c r="T196" s="16" t="n">
        <f aca="false">SUMIF('Page-Keyword Map'!$A$2:$A$668,B196,'Page-Keyword Map'!$H$2:$H$668)</f>
        <v>130</v>
      </c>
      <c r="U196" s="15" t="n">
        <f aca="false">COUNTIFS('Page-Keyword Map'!$A$2:$A$668,B196,'Page-Keyword Map'!$E$2:$E$668,"Nationwide")</f>
        <v>0</v>
      </c>
      <c r="V196" s="15" t="n">
        <f aca="false">COUNTIFS('Page-Keyword Map'!$A$2:$A$668,B196,'Page-Keyword Map'!$E$2:$E$668,"Provincial")</f>
        <v>1</v>
      </c>
      <c r="W196" s="15" t="n">
        <f aca="false">COUNTIFS('Page-Keyword Map'!$A$2:$A$668,B196,'Page-Keyword Map'!$E$2:$E$668,"City")</f>
        <v>0</v>
      </c>
      <c r="X196" s="15" t="str">
        <f aca="false">IF(O196="","",IF(ISNUMBER(SEARCH(O196,J196)),"Yes","No"))</f>
        <v>No</v>
      </c>
      <c r="Y196" s="15" t="n">
        <v>0.7</v>
      </c>
      <c r="Z196" s="15" t="s">
        <v>663</v>
      </c>
      <c r="AA196" s="15" t="s">
        <v>131</v>
      </c>
      <c r="AB196" s="17"/>
      <c r="AC196" s="17"/>
    </row>
    <row r="197" customFormat="false" ht="23.85" hidden="false" customHeight="false" outlineLevel="0" collapsed="false">
      <c r="A197" s="15" t="s">
        <v>1324</v>
      </c>
      <c r="B197" s="15" t="s">
        <v>1325</v>
      </c>
      <c r="C197" s="15" t="s">
        <v>656</v>
      </c>
      <c r="D197" s="15" t="s">
        <v>84</v>
      </c>
      <c r="E197" s="15" t="s">
        <v>314</v>
      </c>
      <c r="F197" s="15"/>
      <c r="G197" s="15" t="s">
        <v>694</v>
      </c>
      <c r="H197" s="15"/>
      <c r="I197" s="15" t="s">
        <v>126</v>
      </c>
      <c r="J197" s="3" t="s">
        <v>1326</v>
      </c>
      <c r="K197" s="15" t="n">
        <f aca="false">LEN(J197)</f>
        <v>69</v>
      </c>
      <c r="L197" s="3" t="s">
        <v>1327</v>
      </c>
      <c r="M197" s="15" t="n">
        <f aca="false">LEN(L197)</f>
        <v>159</v>
      </c>
      <c r="N197" s="3" t="s">
        <v>1328</v>
      </c>
      <c r="O197" s="15"/>
      <c r="P197" s="16"/>
      <c r="Q197" s="15"/>
      <c r="R197" s="15" t="s">
        <v>1329</v>
      </c>
      <c r="S197" s="15" t="n">
        <f aca="false">COUNTIF('Page-Keyword Map'!$A$2:$A$668,B197)</f>
        <v>0</v>
      </c>
      <c r="T197" s="16" t="n">
        <f aca="false">SUMIF('Page-Keyword Map'!$A$2:$A$668,B197,'Page-Keyword Map'!$H$2:$H$668)</f>
        <v>0</v>
      </c>
      <c r="U197" s="15" t="n">
        <f aca="false">COUNTIFS('Page-Keyword Map'!$A$2:$A$668,B197,'Page-Keyword Map'!$E$2:$E$668,"Nationwide")</f>
        <v>0</v>
      </c>
      <c r="V197" s="15" t="n">
        <f aca="false">COUNTIFS('Page-Keyword Map'!$A$2:$A$668,B197,'Page-Keyword Map'!$E$2:$E$668,"Provincial")</f>
        <v>0</v>
      </c>
      <c r="W197" s="15" t="n">
        <f aca="false">COUNTIFS('Page-Keyword Map'!$A$2:$A$668,B197,'Page-Keyword Map'!$E$2:$E$668,"City")</f>
        <v>0</v>
      </c>
      <c r="X197" s="15" t="str">
        <f aca="false">IF(O197="","",IF(ISNUMBER(SEARCH(O197,J197)),"Yes","No"))</f>
        <v/>
      </c>
      <c r="Y197" s="15" t="n">
        <v>0.7</v>
      </c>
      <c r="Z197" s="15" t="s">
        <v>663</v>
      </c>
      <c r="AA197" s="15" t="s">
        <v>131</v>
      </c>
      <c r="AB197" s="17"/>
      <c r="AC197" s="17"/>
    </row>
    <row r="198" customFormat="false" ht="23.85" hidden="false" customHeight="false" outlineLevel="0" collapsed="false">
      <c r="A198" s="15" t="s">
        <v>1330</v>
      </c>
      <c r="B198" s="15" t="s">
        <v>1331</v>
      </c>
      <c r="C198" s="15" t="s">
        <v>656</v>
      </c>
      <c r="D198" s="15" t="s">
        <v>84</v>
      </c>
      <c r="E198" s="15" t="s">
        <v>314</v>
      </c>
      <c r="F198" s="15"/>
      <c r="G198" s="15" t="s">
        <v>701</v>
      </c>
      <c r="H198" s="15"/>
      <c r="I198" s="15" t="s">
        <v>126</v>
      </c>
      <c r="J198" s="3" t="s">
        <v>1332</v>
      </c>
      <c r="K198" s="15" t="n">
        <f aca="false">LEN(J198)</f>
        <v>59</v>
      </c>
      <c r="L198" s="3" t="s">
        <v>1333</v>
      </c>
      <c r="M198" s="15" t="n">
        <f aca="false">LEN(L198)</f>
        <v>160</v>
      </c>
      <c r="N198" s="3" t="s">
        <v>1334</v>
      </c>
      <c r="O198" s="15" t="s">
        <v>1335</v>
      </c>
      <c r="P198" s="16" t="n">
        <v>240</v>
      </c>
      <c r="Q198" s="15" t="s">
        <v>662</v>
      </c>
      <c r="R198" s="15"/>
      <c r="S198" s="15" t="n">
        <f aca="false">COUNTIF('Page-Keyword Map'!$A$2:$A$668,B198)</f>
        <v>1</v>
      </c>
      <c r="T198" s="16" t="n">
        <f aca="false">SUMIF('Page-Keyword Map'!$A$2:$A$668,B198,'Page-Keyword Map'!$H$2:$H$668)</f>
        <v>240</v>
      </c>
      <c r="U198" s="15" t="n">
        <f aca="false">COUNTIFS('Page-Keyword Map'!$A$2:$A$668,B198,'Page-Keyword Map'!$E$2:$E$668,"Nationwide")</f>
        <v>0</v>
      </c>
      <c r="V198" s="15" t="n">
        <f aca="false">COUNTIFS('Page-Keyword Map'!$A$2:$A$668,B198,'Page-Keyword Map'!$E$2:$E$668,"Provincial")</f>
        <v>1</v>
      </c>
      <c r="W198" s="15" t="n">
        <f aca="false">COUNTIFS('Page-Keyword Map'!$A$2:$A$668,B198,'Page-Keyword Map'!$E$2:$E$668,"City")</f>
        <v>0</v>
      </c>
      <c r="X198" s="15" t="str">
        <f aca="false">IF(O198="","",IF(ISNUMBER(SEARCH(O198,J198)),"Yes","No"))</f>
        <v>No</v>
      </c>
      <c r="Y198" s="15" t="n">
        <v>0.7</v>
      </c>
      <c r="Z198" s="15" t="s">
        <v>663</v>
      </c>
      <c r="AA198" s="15" t="s">
        <v>131</v>
      </c>
      <c r="AB198" s="17"/>
      <c r="AC198" s="17"/>
    </row>
    <row r="199" customFormat="false" ht="23.85" hidden="false" customHeight="false" outlineLevel="0" collapsed="false">
      <c r="A199" s="15" t="s">
        <v>1336</v>
      </c>
      <c r="B199" s="15" t="s">
        <v>1337</v>
      </c>
      <c r="C199" s="15" t="s">
        <v>656</v>
      </c>
      <c r="D199" s="15" t="s">
        <v>84</v>
      </c>
      <c r="E199" s="15" t="s">
        <v>314</v>
      </c>
      <c r="F199" s="15"/>
      <c r="G199" s="15" t="s">
        <v>708</v>
      </c>
      <c r="H199" s="15"/>
      <c r="I199" s="15" t="s">
        <v>126</v>
      </c>
      <c r="J199" s="3" t="s">
        <v>1338</v>
      </c>
      <c r="K199" s="15" t="n">
        <f aca="false">LEN(J199)</f>
        <v>55</v>
      </c>
      <c r="L199" s="3" t="s">
        <v>1339</v>
      </c>
      <c r="M199" s="15" t="n">
        <f aca="false">LEN(L199)</f>
        <v>157</v>
      </c>
      <c r="N199" s="3" t="s">
        <v>1340</v>
      </c>
      <c r="O199" s="15"/>
      <c r="P199" s="16"/>
      <c r="Q199" s="15"/>
      <c r="R199" s="15" t="s">
        <v>1341</v>
      </c>
      <c r="S199" s="15" t="n">
        <f aca="false">COUNTIF('Page-Keyword Map'!$A$2:$A$668,B199)</f>
        <v>0</v>
      </c>
      <c r="T199" s="16" t="n">
        <f aca="false">SUMIF('Page-Keyword Map'!$A$2:$A$668,B199,'Page-Keyword Map'!$H$2:$H$668)</f>
        <v>0</v>
      </c>
      <c r="U199" s="15" t="n">
        <f aca="false">COUNTIFS('Page-Keyword Map'!$A$2:$A$668,B199,'Page-Keyword Map'!$E$2:$E$668,"Nationwide")</f>
        <v>0</v>
      </c>
      <c r="V199" s="15" t="n">
        <f aca="false">COUNTIFS('Page-Keyword Map'!$A$2:$A$668,B199,'Page-Keyword Map'!$E$2:$E$668,"Provincial")</f>
        <v>0</v>
      </c>
      <c r="W199" s="15" t="n">
        <f aca="false">COUNTIFS('Page-Keyword Map'!$A$2:$A$668,B199,'Page-Keyword Map'!$E$2:$E$668,"City")</f>
        <v>0</v>
      </c>
      <c r="X199" s="15" t="str">
        <f aca="false">IF(O199="","",IF(ISNUMBER(SEARCH(O199,J199)),"Yes","No"))</f>
        <v/>
      </c>
      <c r="Y199" s="15" t="n">
        <v>0.7</v>
      </c>
      <c r="Z199" s="15" t="s">
        <v>663</v>
      </c>
      <c r="AA199" s="15" t="s">
        <v>131</v>
      </c>
      <c r="AB199" s="17"/>
      <c r="AC199" s="17"/>
    </row>
    <row r="200" customFormat="false" ht="23.85" hidden="false" customHeight="false" outlineLevel="0" collapsed="false">
      <c r="A200" s="15" t="s">
        <v>1342</v>
      </c>
      <c r="B200" s="15" t="s">
        <v>1343</v>
      </c>
      <c r="C200" s="15" t="s">
        <v>656</v>
      </c>
      <c r="D200" s="15" t="s">
        <v>84</v>
      </c>
      <c r="E200" s="15" t="s">
        <v>314</v>
      </c>
      <c r="F200" s="15"/>
      <c r="G200" s="15" t="s">
        <v>715</v>
      </c>
      <c r="H200" s="15"/>
      <c r="I200" s="15" t="s">
        <v>126</v>
      </c>
      <c r="J200" s="3" t="s">
        <v>1344</v>
      </c>
      <c r="K200" s="15" t="n">
        <f aca="false">LEN(J200)</f>
        <v>55</v>
      </c>
      <c r="L200" s="3" t="s">
        <v>1345</v>
      </c>
      <c r="M200" s="15" t="n">
        <f aca="false">LEN(L200)</f>
        <v>122</v>
      </c>
      <c r="N200" s="3" t="s">
        <v>1346</v>
      </c>
      <c r="O200" s="15" t="s">
        <v>1347</v>
      </c>
      <c r="P200" s="16" t="n">
        <v>3000</v>
      </c>
      <c r="Q200" s="15" t="s">
        <v>662</v>
      </c>
      <c r="R200" s="15"/>
      <c r="S200" s="15" t="n">
        <f aca="false">COUNTIF('Page-Keyword Map'!$A$2:$A$668,B200)</f>
        <v>2</v>
      </c>
      <c r="T200" s="16" t="n">
        <f aca="false">SUMIF('Page-Keyword Map'!$A$2:$A$668,B200,'Page-Keyword Map'!$H$2:$H$668)</f>
        <v>3590</v>
      </c>
      <c r="U200" s="15" t="n">
        <f aca="false">COUNTIFS('Page-Keyword Map'!$A$2:$A$668,B200,'Page-Keyword Map'!$E$2:$E$668,"Nationwide")</f>
        <v>0</v>
      </c>
      <c r="V200" s="15" t="n">
        <f aca="false">COUNTIFS('Page-Keyword Map'!$A$2:$A$668,B200,'Page-Keyword Map'!$E$2:$E$668,"Provincial")</f>
        <v>2</v>
      </c>
      <c r="W200" s="15" t="n">
        <f aca="false">COUNTIFS('Page-Keyword Map'!$A$2:$A$668,B200,'Page-Keyword Map'!$E$2:$E$668,"City")</f>
        <v>0</v>
      </c>
      <c r="X200" s="15" t="str">
        <f aca="false">IF(O200="","",IF(ISNUMBER(SEARCH(O200,J200)),"Yes","No"))</f>
        <v>No</v>
      </c>
      <c r="Y200" s="15" t="n">
        <v>0.7</v>
      </c>
      <c r="Z200" s="15" t="s">
        <v>663</v>
      </c>
      <c r="AA200" s="15" t="s">
        <v>131</v>
      </c>
      <c r="AB200" s="17"/>
      <c r="AC200" s="17"/>
    </row>
    <row r="201" customFormat="false" ht="23.85" hidden="false" customHeight="false" outlineLevel="0" collapsed="false">
      <c r="A201" s="15" t="s">
        <v>1348</v>
      </c>
      <c r="B201" s="15" t="s">
        <v>1349</v>
      </c>
      <c r="C201" s="15" t="s">
        <v>656</v>
      </c>
      <c r="D201" s="15" t="s">
        <v>84</v>
      </c>
      <c r="E201" s="15" t="s">
        <v>314</v>
      </c>
      <c r="F201" s="15"/>
      <c r="G201" s="15" t="s">
        <v>722</v>
      </c>
      <c r="H201" s="15"/>
      <c r="I201" s="15" t="s">
        <v>126</v>
      </c>
      <c r="J201" s="3" t="s">
        <v>1350</v>
      </c>
      <c r="K201" s="15" t="n">
        <f aca="false">LEN(J201)</f>
        <v>68</v>
      </c>
      <c r="L201" s="3" t="s">
        <v>1351</v>
      </c>
      <c r="M201" s="15" t="n">
        <f aca="false">LEN(L201)</f>
        <v>159</v>
      </c>
      <c r="N201" s="3" t="s">
        <v>1352</v>
      </c>
      <c r="O201" s="15" t="s">
        <v>1353</v>
      </c>
      <c r="P201" s="16" t="n">
        <v>46</v>
      </c>
      <c r="Q201" s="15" t="s">
        <v>662</v>
      </c>
      <c r="R201" s="15"/>
      <c r="S201" s="15" t="n">
        <f aca="false">COUNTIF('Page-Keyword Map'!$A$2:$A$668,B201)</f>
        <v>1</v>
      </c>
      <c r="T201" s="16" t="n">
        <f aca="false">SUMIF('Page-Keyword Map'!$A$2:$A$668,B201,'Page-Keyword Map'!$H$2:$H$668)</f>
        <v>46</v>
      </c>
      <c r="U201" s="15" t="n">
        <f aca="false">COUNTIFS('Page-Keyword Map'!$A$2:$A$668,B201,'Page-Keyword Map'!$E$2:$E$668,"Nationwide")</f>
        <v>0</v>
      </c>
      <c r="V201" s="15" t="n">
        <f aca="false">COUNTIFS('Page-Keyword Map'!$A$2:$A$668,B201,'Page-Keyword Map'!$E$2:$E$668,"Provincial")</f>
        <v>1</v>
      </c>
      <c r="W201" s="15" t="n">
        <f aca="false">COUNTIFS('Page-Keyword Map'!$A$2:$A$668,B201,'Page-Keyword Map'!$E$2:$E$668,"City")</f>
        <v>0</v>
      </c>
      <c r="X201" s="15" t="str">
        <f aca="false">IF(O201="","",IF(ISNUMBER(SEARCH(O201,J201)),"Yes","No"))</f>
        <v>No</v>
      </c>
      <c r="Y201" s="15" t="n">
        <v>0.7</v>
      </c>
      <c r="Z201" s="15" t="s">
        <v>663</v>
      </c>
      <c r="AA201" s="15" t="s">
        <v>131</v>
      </c>
      <c r="AB201" s="17"/>
      <c r="AC201" s="17"/>
    </row>
    <row r="202" customFormat="false" ht="23.85" hidden="false" customHeight="false" outlineLevel="0" collapsed="false">
      <c r="A202" s="15" t="s">
        <v>1354</v>
      </c>
      <c r="B202" s="15" t="s">
        <v>1355</v>
      </c>
      <c r="C202" s="15" t="s">
        <v>656</v>
      </c>
      <c r="D202" s="15" t="s">
        <v>84</v>
      </c>
      <c r="E202" s="15" t="s">
        <v>314</v>
      </c>
      <c r="F202" s="15"/>
      <c r="G202" s="15" t="s">
        <v>729</v>
      </c>
      <c r="H202" s="15"/>
      <c r="I202" s="15" t="s">
        <v>126</v>
      </c>
      <c r="J202" s="3" t="s">
        <v>1356</v>
      </c>
      <c r="K202" s="15" t="n">
        <f aca="false">LEN(J202)</f>
        <v>54</v>
      </c>
      <c r="L202" s="3" t="s">
        <v>1357</v>
      </c>
      <c r="M202" s="15" t="n">
        <f aca="false">LEN(L202)</f>
        <v>132</v>
      </c>
      <c r="N202" s="3" t="s">
        <v>1358</v>
      </c>
      <c r="O202" s="15" t="s">
        <v>1359</v>
      </c>
      <c r="P202" s="16" t="n">
        <v>520</v>
      </c>
      <c r="Q202" s="15" t="s">
        <v>662</v>
      </c>
      <c r="R202" s="15"/>
      <c r="S202" s="15" t="n">
        <f aca="false">COUNTIF('Page-Keyword Map'!$A$2:$A$668,B202)</f>
        <v>1</v>
      </c>
      <c r="T202" s="16" t="n">
        <f aca="false">SUMIF('Page-Keyword Map'!$A$2:$A$668,B202,'Page-Keyword Map'!$H$2:$H$668)</f>
        <v>520</v>
      </c>
      <c r="U202" s="15" t="n">
        <f aca="false">COUNTIFS('Page-Keyword Map'!$A$2:$A$668,B202,'Page-Keyword Map'!$E$2:$E$668,"Nationwide")</f>
        <v>0</v>
      </c>
      <c r="V202" s="15" t="n">
        <f aca="false">COUNTIFS('Page-Keyword Map'!$A$2:$A$668,B202,'Page-Keyword Map'!$E$2:$E$668,"Provincial")</f>
        <v>1</v>
      </c>
      <c r="W202" s="15" t="n">
        <f aca="false">COUNTIFS('Page-Keyword Map'!$A$2:$A$668,B202,'Page-Keyword Map'!$E$2:$E$668,"City")</f>
        <v>0</v>
      </c>
      <c r="X202" s="15" t="str">
        <f aca="false">IF(O202="","",IF(ISNUMBER(SEARCH(O202,J202)),"Yes","No"))</f>
        <v>No</v>
      </c>
      <c r="Y202" s="15" t="n">
        <v>0.7</v>
      </c>
      <c r="Z202" s="15" t="s">
        <v>663</v>
      </c>
      <c r="AA202" s="15" t="s">
        <v>131</v>
      </c>
      <c r="AB202" s="17"/>
      <c r="AC202" s="17"/>
    </row>
    <row r="203" customFormat="false" ht="23.85" hidden="false" customHeight="false" outlineLevel="0" collapsed="false">
      <c r="A203" s="15" t="s">
        <v>1360</v>
      </c>
      <c r="B203" s="15" t="s">
        <v>1361</v>
      </c>
      <c r="C203" s="15" t="s">
        <v>656</v>
      </c>
      <c r="D203" s="15" t="s">
        <v>84</v>
      </c>
      <c r="E203" s="15" t="s">
        <v>314</v>
      </c>
      <c r="F203" s="15"/>
      <c r="G203" s="15" t="s">
        <v>736</v>
      </c>
      <c r="H203" s="15"/>
      <c r="I203" s="15" t="s">
        <v>126</v>
      </c>
      <c r="J203" s="3" t="s">
        <v>1362</v>
      </c>
      <c r="K203" s="15" t="n">
        <f aca="false">LEN(J203)</f>
        <v>60</v>
      </c>
      <c r="L203" s="3" t="s">
        <v>1363</v>
      </c>
      <c r="M203" s="15" t="n">
        <f aca="false">LEN(L203)</f>
        <v>132</v>
      </c>
      <c r="N203" s="3" t="s">
        <v>1364</v>
      </c>
      <c r="O203" s="15" t="s">
        <v>1365</v>
      </c>
      <c r="P203" s="16" t="n">
        <v>270</v>
      </c>
      <c r="Q203" s="15" t="s">
        <v>662</v>
      </c>
      <c r="R203" s="15"/>
      <c r="S203" s="15" t="n">
        <f aca="false">COUNTIF('Page-Keyword Map'!$A$2:$A$668,B203)</f>
        <v>1</v>
      </c>
      <c r="T203" s="16" t="n">
        <f aca="false">SUMIF('Page-Keyword Map'!$A$2:$A$668,B203,'Page-Keyword Map'!$H$2:$H$668)</f>
        <v>270</v>
      </c>
      <c r="U203" s="15" t="n">
        <f aca="false">COUNTIFS('Page-Keyword Map'!$A$2:$A$668,B203,'Page-Keyword Map'!$E$2:$E$668,"Nationwide")</f>
        <v>0</v>
      </c>
      <c r="V203" s="15" t="n">
        <f aca="false">COUNTIFS('Page-Keyword Map'!$A$2:$A$668,B203,'Page-Keyword Map'!$E$2:$E$668,"Provincial")</f>
        <v>1</v>
      </c>
      <c r="W203" s="15" t="n">
        <f aca="false">COUNTIFS('Page-Keyword Map'!$A$2:$A$668,B203,'Page-Keyword Map'!$E$2:$E$668,"City")</f>
        <v>0</v>
      </c>
      <c r="X203" s="15" t="str">
        <f aca="false">IF(O203="","",IF(ISNUMBER(SEARCH(O203,J203)),"Yes","No"))</f>
        <v>No</v>
      </c>
      <c r="Y203" s="15" t="n">
        <v>0.7</v>
      </c>
      <c r="Z203" s="15" t="s">
        <v>663</v>
      </c>
      <c r="AA203" s="15" t="s">
        <v>131</v>
      </c>
      <c r="AB203" s="17"/>
      <c r="AC203" s="17"/>
    </row>
    <row r="204" customFormat="false" ht="23.85" hidden="false" customHeight="false" outlineLevel="0" collapsed="false">
      <c r="A204" s="15" t="s">
        <v>1366</v>
      </c>
      <c r="B204" s="15" t="s">
        <v>1367</v>
      </c>
      <c r="C204" s="15" t="s">
        <v>656</v>
      </c>
      <c r="D204" s="15" t="s">
        <v>84</v>
      </c>
      <c r="E204" s="15" t="s">
        <v>314</v>
      </c>
      <c r="F204" s="15"/>
      <c r="G204" s="15" t="s">
        <v>743</v>
      </c>
      <c r="H204" s="15"/>
      <c r="I204" s="15" t="s">
        <v>126</v>
      </c>
      <c r="J204" s="3" t="s">
        <v>1368</v>
      </c>
      <c r="K204" s="15" t="n">
        <f aca="false">LEN(J204)</f>
        <v>53</v>
      </c>
      <c r="L204" s="3" t="s">
        <v>1369</v>
      </c>
      <c r="M204" s="15" t="n">
        <f aca="false">LEN(L204)</f>
        <v>151</v>
      </c>
      <c r="N204" s="3" t="s">
        <v>1370</v>
      </c>
      <c r="O204" s="15"/>
      <c r="P204" s="16"/>
      <c r="Q204" s="15"/>
      <c r="R204" s="15" t="s">
        <v>1371</v>
      </c>
      <c r="S204" s="15" t="n">
        <f aca="false">COUNTIF('Page-Keyword Map'!$A$2:$A$668,B204)</f>
        <v>0</v>
      </c>
      <c r="T204" s="16" t="n">
        <f aca="false">SUMIF('Page-Keyword Map'!$A$2:$A$668,B204,'Page-Keyword Map'!$H$2:$H$668)</f>
        <v>0</v>
      </c>
      <c r="U204" s="15" t="n">
        <f aca="false">COUNTIFS('Page-Keyword Map'!$A$2:$A$668,B204,'Page-Keyword Map'!$E$2:$E$668,"Nationwide")</f>
        <v>0</v>
      </c>
      <c r="V204" s="15" t="n">
        <f aca="false">COUNTIFS('Page-Keyword Map'!$A$2:$A$668,B204,'Page-Keyword Map'!$E$2:$E$668,"Provincial")</f>
        <v>0</v>
      </c>
      <c r="W204" s="15" t="n">
        <f aca="false">COUNTIFS('Page-Keyword Map'!$A$2:$A$668,B204,'Page-Keyword Map'!$E$2:$E$668,"City")</f>
        <v>0</v>
      </c>
      <c r="X204" s="15" t="str">
        <f aca="false">IF(O204="","",IF(ISNUMBER(SEARCH(O204,J204)),"Yes","No"))</f>
        <v/>
      </c>
      <c r="Y204" s="15" t="n">
        <v>0.7</v>
      </c>
      <c r="Z204" s="15" t="s">
        <v>663</v>
      </c>
      <c r="AA204" s="15" t="s">
        <v>131</v>
      </c>
      <c r="AB204" s="17"/>
      <c r="AC204" s="17"/>
    </row>
    <row r="205" customFormat="false" ht="23.85" hidden="false" customHeight="false" outlineLevel="0" collapsed="false">
      <c r="A205" s="15" t="s">
        <v>1372</v>
      </c>
      <c r="B205" s="15" t="s">
        <v>1373</v>
      </c>
      <c r="C205" s="15" t="s">
        <v>656</v>
      </c>
      <c r="D205" s="15" t="s">
        <v>74</v>
      </c>
      <c r="E205" s="15" t="s">
        <v>321</v>
      </c>
      <c r="F205" s="15"/>
      <c r="G205" s="15" t="s">
        <v>657</v>
      </c>
      <c r="H205" s="15"/>
      <c r="I205" s="15" t="s">
        <v>126</v>
      </c>
      <c r="J205" s="3" t="s">
        <v>1374</v>
      </c>
      <c r="K205" s="15" t="n">
        <f aca="false">LEN(J205)</f>
        <v>55</v>
      </c>
      <c r="L205" s="3" t="s">
        <v>1375</v>
      </c>
      <c r="M205" s="15" t="n">
        <f aca="false">LEN(L205)</f>
        <v>149</v>
      </c>
      <c r="N205" s="3" t="s">
        <v>1376</v>
      </c>
      <c r="O205" s="15" t="s">
        <v>1377</v>
      </c>
      <c r="P205" s="16" t="n">
        <v>280</v>
      </c>
      <c r="Q205" s="15" t="s">
        <v>662</v>
      </c>
      <c r="R205" s="15"/>
      <c r="S205" s="15" t="n">
        <f aca="false">COUNTIF('Page-Keyword Map'!$A$2:$A$668,B205)</f>
        <v>1</v>
      </c>
      <c r="T205" s="16" t="n">
        <f aca="false">SUMIF('Page-Keyword Map'!$A$2:$A$668,B205,'Page-Keyword Map'!$H$2:$H$668)</f>
        <v>280</v>
      </c>
      <c r="U205" s="15" t="n">
        <f aca="false">COUNTIFS('Page-Keyword Map'!$A$2:$A$668,B205,'Page-Keyword Map'!$E$2:$E$668,"Nationwide")</f>
        <v>0</v>
      </c>
      <c r="V205" s="15" t="n">
        <f aca="false">COUNTIFS('Page-Keyword Map'!$A$2:$A$668,B205,'Page-Keyword Map'!$E$2:$E$668,"Provincial")</f>
        <v>1</v>
      </c>
      <c r="W205" s="15" t="n">
        <f aca="false">COUNTIFS('Page-Keyword Map'!$A$2:$A$668,B205,'Page-Keyword Map'!$E$2:$E$668,"City")</f>
        <v>0</v>
      </c>
      <c r="X205" s="15" t="str">
        <f aca="false">IF(O205="","",IF(ISNUMBER(SEARCH(O205,J205)),"Yes","No"))</f>
        <v>No</v>
      </c>
      <c r="Y205" s="15" t="n">
        <v>0.7</v>
      </c>
      <c r="Z205" s="15" t="s">
        <v>663</v>
      </c>
      <c r="AA205" s="15" t="s">
        <v>131</v>
      </c>
      <c r="AB205" s="17"/>
      <c r="AC205" s="17"/>
    </row>
    <row r="206" customFormat="false" ht="23.85" hidden="false" customHeight="false" outlineLevel="0" collapsed="false">
      <c r="A206" s="15" t="s">
        <v>1378</v>
      </c>
      <c r="B206" s="15" t="s">
        <v>1379</v>
      </c>
      <c r="C206" s="15" t="s">
        <v>656</v>
      </c>
      <c r="D206" s="15" t="s">
        <v>74</v>
      </c>
      <c r="E206" s="15" t="s">
        <v>321</v>
      </c>
      <c r="F206" s="15"/>
      <c r="G206" s="15" t="s">
        <v>666</v>
      </c>
      <c r="H206" s="15"/>
      <c r="I206" s="15" t="s">
        <v>126</v>
      </c>
      <c r="J206" s="3" t="s">
        <v>1380</v>
      </c>
      <c r="K206" s="15" t="n">
        <f aca="false">LEN(J206)</f>
        <v>64</v>
      </c>
      <c r="L206" s="3" t="s">
        <v>1381</v>
      </c>
      <c r="M206" s="15" t="n">
        <f aca="false">LEN(L206)</f>
        <v>141</v>
      </c>
      <c r="N206" s="3" t="s">
        <v>1382</v>
      </c>
      <c r="O206" s="15" t="s">
        <v>1383</v>
      </c>
      <c r="P206" s="16" t="n">
        <v>320</v>
      </c>
      <c r="Q206" s="15" t="s">
        <v>662</v>
      </c>
      <c r="R206" s="15"/>
      <c r="S206" s="15" t="n">
        <f aca="false">COUNTIF('Page-Keyword Map'!$A$2:$A$668,B206)</f>
        <v>1</v>
      </c>
      <c r="T206" s="16" t="n">
        <f aca="false">SUMIF('Page-Keyword Map'!$A$2:$A$668,B206,'Page-Keyword Map'!$H$2:$H$668)</f>
        <v>320</v>
      </c>
      <c r="U206" s="15" t="n">
        <f aca="false">COUNTIFS('Page-Keyword Map'!$A$2:$A$668,B206,'Page-Keyword Map'!$E$2:$E$668,"Nationwide")</f>
        <v>0</v>
      </c>
      <c r="V206" s="15" t="n">
        <f aca="false">COUNTIFS('Page-Keyword Map'!$A$2:$A$668,B206,'Page-Keyword Map'!$E$2:$E$668,"Provincial")</f>
        <v>1</v>
      </c>
      <c r="W206" s="15" t="n">
        <f aca="false">COUNTIFS('Page-Keyword Map'!$A$2:$A$668,B206,'Page-Keyword Map'!$E$2:$E$668,"City")</f>
        <v>0</v>
      </c>
      <c r="X206" s="15" t="str">
        <f aca="false">IF(O206="","",IF(ISNUMBER(SEARCH(O206,J206)),"Yes","No"))</f>
        <v>No</v>
      </c>
      <c r="Y206" s="15" t="n">
        <v>0.7</v>
      </c>
      <c r="Z206" s="15" t="s">
        <v>663</v>
      </c>
      <c r="AA206" s="15" t="s">
        <v>131</v>
      </c>
      <c r="AB206" s="17"/>
      <c r="AC206" s="17"/>
    </row>
    <row r="207" customFormat="false" ht="23.85" hidden="false" customHeight="false" outlineLevel="0" collapsed="false">
      <c r="A207" s="15" t="s">
        <v>1384</v>
      </c>
      <c r="B207" s="15" t="s">
        <v>1385</v>
      </c>
      <c r="C207" s="15" t="s">
        <v>656</v>
      </c>
      <c r="D207" s="15" t="s">
        <v>74</v>
      </c>
      <c r="E207" s="15" t="s">
        <v>321</v>
      </c>
      <c r="F207" s="15"/>
      <c r="G207" s="15" t="s">
        <v>673</v>
      </c>
      <c r="H207" s="15"/>
      <c r="I207" s="15" t="s">
        <v>126</v>
      </c>
      <c r="J207" s="3" t="s">
        <v>1386</v>
      </c>
      <c r="K207" s="15" t="n">
        <f aca="false">LEN(J207)</f>
        <v>56</v>
      </c>
      <c r="L207" s="3" t="s">
        <v>1387</v>
      </c>
      <c r="M207" s="15" t="n">
        <f aca="false">LEN(L207)</f>
        <v>124</v>
      </c>
      <c r="N207" s="3" t="s">
        <v>1388</v>
      </c>
      <c r="O207" s="15" t="s">
        <v>1389</v>
      </c>
      <c r="P207" s="16" t="n">
        <v>98</v>
      </c>
      <c r="Q207" s="15" t="s">
        <v>662</v>
      </c>
      <c r="R207" s="15"/>
      <c r="S207" s="15" t="n">
        <f aca="false">COUNTIF('Page-Keyword Map'!$A$2:$A$668,B207)</f>
        <v>1</v>
      </c>
      <c r="T207" s="16" t="n">
        <f aca="false">SUMIF('Page-Keyword Map'!$A$2:$A$668,B207,'Page-Keyword Map'!$H$2:$H$668)</f>
        <v>98</v>
      </c>
      <c r="U207" s="15" t="n">
        <f aca="false">COUNTIFS('Page-Keyword Map'!$A$2:$A$668,B207,'Page-Keyword Map'!$E$2:$E$668,"Nationwide")</f>
        <v>0</v>
      </c>
      <c r="V207" s="15" t="n">
        <f aca="false">COUNTIFS('Page-Keyword Map'!$A$2:$A$668,B207,'Page-Keyword Map'!$E$2:$E$668,"Provincial")</f>
        <v>1</v>
      </c>
      <c r="W207" s="15" t="n">
        <f aca="false">COUNTIFS('Page-Keyword Map'!$A$2:$A$668,B207,'Page-Keyword Map'!$E$2:$E$668,"City")</f>
        <v>0</v>
      </c>
      <c r="X207" s="15" t="str">
        <f aca="false">IF(O207="","",IF(ISNUMBER(SEARCH(O207,J207)),"Yes","No"))</f>
        <v>No</v>
      </c>
      <c r="Y207" s="15" t="n">
        <v>0.7</v>
      </c>
      <c r="Z207" s="15" t="s">
        <v>663</v>
      </c>
      <c r="AA207" s="15" t="s">
        <v>131</v>
      </c>
      <c r="AB207" s="17"/>
      <c r="AC207" s="17"/>
    </row>
    <row r="208" customFormat="false" ht="23.85" hidden="false" customHeight="false" outlineLevel="0" collapsed="false">
      <c r="A208" s="15" t="s">
        <v>1390</v>
      </c>
      <c r="B208" s="15" t="s">
        <v>1391</v>
      </c>
      <c r="C208" s="15" t="s">
        <v>656</v>
      </c>
      <c r="D208" s="15" t="s">
        <v>74</v>
      </c>
      <c r="E208" s="15" t="s">
        <v>321</v>
      </c>
      <c r="F208" s="15"/>
      <c r="G208" s="15" t="s">
        <v>680</v>
      </c>
      <c r="H208" s="15"/>
      <c r="I208" s="15" t="s">
        <v>126</v>
      </c>
      <c r="J208" s="3" t="s">
        <v>1392</v>
      </c>
      <c r="K208" s="15" t="n">
        <f aca="false">LEN(J208)</f>
        <v>61</v>
      </c>
      <c r="L208" s="3" t="s">
        <v>1393</v>
      </c>
      <c r="M208" s="15" t="n">
        <f aca="false">LEN(L208)</f>
        <v>134</v>
      </c>
      <c r="N208" s="3" t="s">
        <v>1394</v>
      </c>
      <c r="O208" s="15" t="s">
        <v>1395</v>
      </c>
      <c r="P208" s="16" t="n">
        <v>60</v>
      </c>
      <c r="Q208" s="15" t="s">
        <v>662</v>
      </c>
      <c r="R208" s="15"/>
      <c r="S208" s="15" t="n">
        <f aca="false">COUNTIF('Page-Keyword Map'!$A$2:$A$668,B208)</f>
        <v>1</v>
      </c>
      <c r="T208" s="16" t="n">
        <f aca="false">SUMIF('Page-Keyword Map'!$A$2:$A$668,B208,'Page-Keyword Map'!$H$2:$H$668)</f>
        <v>60</v>
      </c>
      <c r="U208" s="15" t="n">
        <f aca="false">COUNTIFS('Page-Keyword Map'!$A$2:$A$668,B208,'Page-Keyword Map'!$E$2:$E$668,"Nationwide")</f>
        <v>0</v>
      </c>
      <c r="V208" s="15" t="n">
        <f aca="false">COUNTIFS('Page-Keyword Map'!$A$2:$A$668,B208,'Page-Keyword Map'!$E$2:$E$668,"Provincial")</f>
        <v>1</v>
      </c>
      <c r="W208" s="15" t="n">
        <f aca="false">COUNTIFS('Page-Keyword Map'!$A$2:$A$668,B208,'Page-Keyword Map'!$E$2:$E$668,"City")</f>
        <v>0</v>
      </c>
      <c r="X208" s="15" t="str">
        <f aca="false">IF(O208="","",IF(ISNUMBER(SEARCH(O208,J208)),"Yes","No"))</f>
        <v>No</v>
      </c>
      <c r="Y208" s="15" t="n">
        <v>0.7</v>
      </c>
      <c r="Z208" s="15" t="s">
        <v>663</v>
      </c>
      <c r="AA208" s="15" t="s">
        <v>131</v>
      </c>
      <c r="AB208" s="17"/>
      <c r="AC208" s="17"/>
    </row>
    <row r="209" customFormat="false" ht="23.85" hidden="false" customHeight="false" outlineLevel="0" collapsed="false">
      <c r="A209" s="15" t="s">
        <v>1396</v>
      </c>
      <c r="B209" s="15" t="s">
        <v>1397</v>
      </c>
      <c r="C209" s="15" t="s">
        <v>656</v>
      </c>
      <c r="D209" s="15" t="s">
        <v>74</v>
      </c>
      <c r="E209" s="15" t="s">
        <v>321</v>
      </c>
      <c r="F209" s="15"/>
      <c r="G209" s="15" t="s">
        <v>687</v>
      </c>
      <c r="H209" s="15"/>
      <c r="I209" s="15" t="s">
        <v>126</v>
      </c>
      <c r="J209" s="3" t="s">
        <v>1398</v>
      </c>
      <c r="K209" s="15" t="n">
        <f aca="false">LEN(J209)</f>
        <v>73</v>
      </c>
      <c r="L209" s="3" t="s">
        <v>1399</v>
      </c>
      <c r="M209" s="15" t="n">
        <f aca="false">LEN(L209)</f>
        <v>164</v>
      </c>
      <c r="N209" s="3" t="s">
        <v>1400</v>
      </c>
      <c r="O209" s="15" t="s">
        <v>1401</v>
      </c>
      <c r="P209" s="16" t="n">
        <v>41</v>
      </c>
      <c r="Q209" s="15" t="s">
        <v>662</v>
      </c>
      <c r="R209" s="15"/>
      <c r="S209" s="15" t="n">
        <f aca="false">COUNTIF('Page-Keyword Map'!$A$2:$A$668,B209)</f>
        <v>1</v>
      </c>
      <c r="T209" s="16" t="n">
        <f aca="false">SUMIF('Page-Keyword Map'!$A$2:$A$668,B209,'Page-Keyword Map'!$H$2:$H$668)</f>
        <v>41</v>
      </c>
      <c r="U209" s="15" t="n">
        <f aca="false">COUNTIFS('Page-Keyword Map'!$A$2:$A$668,B209,'Page-Keyword Map'!$E$2:$E$668,"Nationwide")</f>
        <v>0</v>
      </c>
      <c r="V209" s="15" t="n">
        <f aca="false">COUNTIFS('Page-Keyword Map'!$A$2:$A$668,B209,'Page-Keyword Map'!$E$2:$E$668,"Provincial")</f>
        <v>1</v>
      </c>
      <c r="W209" s="15" t="n">
        <f aca="false">COUNTIFS('Page-Keyword Map'!$A$2:$A$668,B209,'Page-Keyword Map'!$E$2:$E$668,"City")</f>
        <v>0</v>
      </c>
      <c r="X209" s="15" t="str">
        <f aca="false">IF(O209="","",IF(ISNUMBER(SEARCH(O209,J209)),"Yes","No"))</f>
        <v>No</v>
      </c>
      <c r="Y209" s="15" t="n">
        <v>0.7</v>
      </c>
      <c r="Z209" s="15" t="s">
        <v>663</v>
      </c>
      <c r="AA209" s="15" t="s">
        <v>131</v>
      </c>
      <c r="AB209" s="17"/>
      <c r="AC209" s="17"/>
    </row>
    <row r="210" customFormat="false" ht="23.85" hidden="false" customHeight="false" outlineLevel="0" collapsed="false">
      <c r="A210" s="15" t="s">
        <v>1402</v>
      </c>
      <c r="B210" s="15" t="s">
        <v>1403</v>
      </c>
      <c r="C210" s="15" t="s">
        <v>656</v>
      </c>
      <c r="D210" s="15" t="s">
        <v>74</v>
      </c>
      <c r="E210" s="15" t="s">
        <v>321</v>
      </c>
      <c r="F210" s="15"/>
      <c r="G210" s="15" t="s">
        <v>694</v>
      </c>
      <c r="H210" s="15"/>
      <c r="I210" s="15" t="s">
        <v>126</v>
      </c>
      <c r="J210" s="3" t="s">
        <v>1404</v>
      </c>
      <c r="K210" s="15" t="n">
        <f aca="false">LEN(J210)</f>
        <v>69</v>
      </c>
      <c r="L210" s="3" t="s">
        <v>1405</v>
      </c>
      <c r="M210" s="15" t="n">
        <f aca="false">LEN(L210)</f>
        <v>159</v>
      </c>
      <c r="N210" s="3" t="s">
        <v>1406</v>
      </c>
      <c r="O210" s="15"/>
      <c r="P210" s="16"/>
      <c r="Q210" s="15"/>
      <c r="R210" s="15" t="s">
        <v>1407</v>
      </c>
      <c r="S210" s="15" t="n">
        <f aca="false">COUNTIF('Page-Keyword Map'!$A$2:$A$668,B210)</f>
        <v>0</v>
      </c>
      <c r="T210" s="16" t="n">
        <f aca="false">SUMIF('Page-Keyword Map'!$A$2:$A$668,B210,'Page-Keyword Map'!$H$2:$H$668)</f>
        <v>0</v>
      </c>
      <c r="U210" s="15" t="n">
        <f aca="false">COUNTIFS('Page-Keyword Map'!$A$2:$A$668,B210,'Page-Keyword Map'!$E$2:$E$668,"Nationwide")</f>
        <v>0</v>
      </c>
      <c r="V210" s="15" t="n">
        <f aca="false">COUNTIFS('Page-Keyword Map'!$A$2:$A$668,B210,'Page-Keyword Map'!$E$2:$E$668,"Provincial")</f>
        <v>0</v>
      </c>
      <c r="W210" s="15" t="n">
        <f aca="false">COUNTIFS('Page-Keyword Map'!$A$2:$A$668,B210,'Page-Keyword Map'!$E$2:$E$668,"City")</f>
        <v>0</v>
      </c>
      <c r="X210" s="15" t="str">
        <f aca="false">IF(O210="","",IF(ISNUMBER(SEARCH(O210,J210)),"Yes","No"))</f>
        <v/>
      </c>
      <c r="Y210" s="15" t="n">
        <v>0.7</v>
      </c>
      <c r="Z210" s="15" t="s">
        <v>663</v>
      </c>
      <c r="AA210" s="15" t="s">
        <v>131</v>
      </c>
      <c r="AB210" s="17"/>
      <c r="AC210" s="17"/>
    </row>
    <row r="211" customFormat="false" ht="23.85" hidden="false" customHeight="false" outlineLevel="0" collapsed="false">
      <c r="A211" s="15" t="s">
        <v>1408</v>
      </c>
      <c r="B211" s="15" t="s">
        <v>1409</v>
      </c>
      <c r="C211" s="15" t="s">
        <v>656</v>
      </c>
      <c r="D211" s="15" t="s">
        <v>74</v>
      </c>
      <c r="E211" s="15" t="s">
        <v>321</v>
      </c>
      <c r="F211" s="15"/>
      <c r="G211" s="15" t="s">
        <v>701</v>
      </c>
      <c r="H211" s="15"/>
      <c r="I211" s="15" t="s">
        <v>126</v>
      </c>
      <c r="J211" s="3" t="s">
        <v>1410</v>
      </c>
      <c r="K211" s="15" t="n">
        <f aca="false">LEN(J211)</f>
        <v>59</v>
      </c>
      <c r="L211" s="3" t="s">
        <v>1411</v>
      </c>
      <c r="M211" s="15" t="n">
        <f aca="false">LEN(L211)</f>
        <v>160</v>
      </c>
      <c r="N211" s="3" t="s">
        <v>1412</v>
      </c>
      <c r="O211" s="15" t="s">
        <v>1413</v>
      </c>
      <c r="P211" s="16" t="n">
        <v>73</v>
      </c>
      <c r="Q211" s="15" t="s">
        <v>662</v>
      </c>
      <c r="R211" s="15"/>
      <c r="S211" s="15" t="n">
        <f aca="false">COUNTIF('Page-Keyword Map'!$A$2:$A$668,B211)</f>
        <v>1</v>
      </c>
      <c r="T211" s="16" t="n">
        <f aca="false">SUMIF('Page-Keyword Map'!$A$2:$A$668,B211,'Page-Keyword Map'!$H$2:$H$668)</f>
        <v>73</v>
      </c>
      <c r="U211" s="15" t="n">
        <f aca="false">COUNTIFS('Page-Keyword Map'!$A$2:$A$668,B211,'Page-Keyword Map'!$E$2:$E$668,"Nationwide")</f>
        <v>0</v>
      </c>
      <c r="V211" s="15" t="n">
        <f aca="false">COUNTIFS('Page-Keyword Map'!$A$2:$A$668,B211,'Page-Keyword Map'!$E$2:$E$668,"Provincial")</f>
        <v>1</v>
      </c>
      <c r="W211" s="15" t="n">
        <f aca="false">COUNTIFS('Page-Keyword Map'!$A$2:$A$668,B211,'Page-Keyword Map'!$E$2:$E$668,"City")</f>
        <v>0</v>
      </c>
      <c r="X211" s="15" t="str">
        <f aca="false">IF(O211="","",IF(ISNUMBER(SEARCH(O211,J211)),"Yes","No"))</f>
        <v>No</v>
      </c>
      <c r="Y211" s="15" t="n">
        <v>0.7</v>
      </c>
      <c r="Z211" s="15" t="s">
        <v>663</v>
      </c>
      <c r="AA211" s="15" t="s">
        <v>131</v>
      </c>
      <c r="AB211" s="17"/>
      <c r="AC211" s="17"/>
    </row>
    <row r="212" customFormat="false" ht="23.85" hidden="false" customHeight="false" outlineLevel="0" collapsed="false">
      <c r="A212" s="15" t="s">
        <v>1414</v>
      </c>
      <c r="B212" s="15" t="s">
        <v>1415</v>
      </c>
      <c r="C212" s="15" t="s">
        <v>656</v>
      </c>
      <c r="D212" s="15" t="s">
        <v>74</v>
      </c>
      <c r="E212" s="15" t="s">
        <v>321</v>
      </c>
      <c r="F212" s="15"/>
      <c r="G212" s="15" t="s">
        <v>708</v>
      </c>
      <c r="H212" s="15"/>
      <c r="I212" s="15" t="s">
        <v>126</v>
      </c>
      <c r="J212" s="3" t="s">
        <v>1416</v>
      </c>
      <c r="K212" s="15" t="n">
        <f aca="false">LEN(J212)</f>
        <v>55</v>
      </c>
      <c r="L212" s="3" t="s">
        <v>1417</v>
      </c>
      <c r="M212" s="15" t="n">
        <f aca="false">LEN(L212)</f>
        <v>157</v>
      </c>
      <c r="N212" s="3" t="s">
        <v>1418</v>
      </c>
      <c r="O212" s="15"/>
      <c r="P212" s="16"/>
      <c r="Q212" s="15"/>
      <c r="R212" s="15" t="s">
        <v>1419</v>
      </c>
      <c r="S212" s="15" t="n">
        <f aca="false">COUNTIF('Page-Keyword Map'!$A$2:$A$668,B212)</f>
        <v>0</v>
      </c>
      <c r="T212" s="16" t="n">
        <f aca="false">SUMIF('Page-Keyword Map'!$A$2:$A$668,B212,'Page-Keyword Map'!$H$2:$H$668)</f>
        <v>0</v>
      </c>
      <c r="U212" s="15" t="n">
        <f aca="false">COUNTIFS('Page-Keyword Map'!$A$2:$A$668,B212,'Page-Keyword Map'!$E$2:$E$668,"Nationwide")</f>
        <v>0</v>
      </c>
      <c r="V212" s="15" t="n">
        <f aca="false">COUNTIFS('Page-Keyword Map'!$A$2:$A$668,B212,'Page-Keyword Map'!$E$2:$E$668,"Provincial")</f>
        <v>0</v>
      </c>
      <c r="W212" s="15" t="n">
        <f aca="false">COUNTIFS('Page-Keyword Map'!$A$2:$A$668,B212,'Page-Keyword Map'!$E$2:$E$668,"City")</f>
        <v>0</v>
      </c>
      <c r="X212" s="15" t="str">
        <f aca="false">IF(O212="","",IF(ISNUMBER(SEARCH(O212,J212)),"Yes","No"))</f>
        <v/>
      </c>
      <c r="Y212" s="15" t="n">
        <v>0.7</v>
      </c>
      <c r="Z212" s="15" t="s">
        <v>663</v>
      </c>
      <c r="AA212" s="15" t="s">
        <v>131</v>
      </c>
      <c r="AB212" s="17"/>
      <c r="AC212" s="17"/>
    </row>
    <row r="213" customFormat="false" ht="23.85" hidden="false" customHeight="false" outlineLevel="0" collapsed="false">
      <c r="A213" s="15" t="s">
        <v>1420</v>
      </c>
      <c r="B213" s="15" t="s">
        <v>1421</v>
      </c>
      <c r="C213" s="15" t="s">
        <v>656</v>
      </c>
      <c r="D213" s="15" t="s">
        <v>74</v>
      </c>
      <c r="E213" s="15" t="s">
        <v>321</v>
      </c>
      <c r="F213" s="15"/>
      <c r="G213" s="15" t="s">
        <v>715</v>
      </c>
      <c r="H213" s="15"/>
      <c r="I213" s="15" t="s">
        <v>126</v>
      </c>
      <c r="J213" s="3" t="s">
        <v>1422</v>
      </c>
      <c r="K213" s="15" t="n">
        <f aca="false">LEN(J213)</f>
        <v>55</v>
      </c>
      <c r="L213" s="3" t="s">
        <v>1423</v>
      </c>
      <c r="M213" s="15" t="n">
        <f aca="false">LEN(L213)</f>
        <v>122</v>
      </c>
      <c r="N213" s="3" t="s">
        <v>1424</v>
      </c>
      <c r="O213" s="15" t="s">
        <v>1425</v>
      </c>
      <c r="P213" s="16" t="n">
        <v>910</v>
      </c>
      <c r="Q213" s="15" t="s">
        <v>662</v>
      </c>
      <c r="R213" s="15"/>
      <c r="S213" s="15" t="n">
        <f aca="false">COUNTIF('Page-Keyword Map'!$A$2:$A$668,B213)</f>
        <v>1</v>
      </c>
      <c r="T213" s="16" t="n">
        <f aca="false">SUMIF('Page-Keyword Map'!$A$2:$A$668,B213,'Page-Keyword Map'!$H$2:$H$668)</f>
        <v>910</v>
      </c>
      <c r="U213" s="15" t="n">
        <f aca="false">COUNTIFS('Page-Keyword Map'!$A$2:$A$668,B213,'Page-Keyword Map'!$E$2:$E$668,"Nationwide")</f>
        <v>0</v>
      </c>
      <c r="V213" s="15" t="n">
        <f aca="false">COUNTIFS('Page-Keyword Map'!$A$2:$A$668,B213,'Page-Keyword Map'!$E$2:$E$668,"Provincial")</f>
        <v>1</v>
      </c>
      <c r="W213" s="15" t="n">
        <f aca="false">COUNTIFS('Page-Keyword Map'!$A$2:$A$668,B213,'Page-Keyword Map'!$E$2:$E$668,"City")</f>
        <v>0</v>
      </c>
      <c r="X213" s="15" t="str">
        <f aca="false">IF(O213="","",IF(ISNUMBER(SEARCH(O213,J213)),"Yes","No"))</f>
        <v>No</v>
      </c>
      <c r="Y213" s="15" t="n">
        <v>0.7</v>
      </c>
      <c r="Z213" s="15" t="s">
        <v>663</v>
      </c>
      <c r="AA213" s="15" t="s">
        <v>131</v>
      </c>
      <c r="AB213" s="17"/>
      <c r="AC213" s="17"/>
    </row>
    <row r="214" customFormat="false" ht="23.85" hidden="false" customHeight="false" outlineLevel="0" collapsed="false">
      <c r="A214" s="15" t="s">
        <v>1426</v>
      </c>
      <c r="B214" s="15" t="s">
        <v>1427</v>
      </c>
      <c r="C214" s="15" t="s">
        <v>656</v>
      </c>
      <c r="D214" s="15" t="s">
        <v>74</v>
      </c>
      <c r="E214" s="15" t="s">
        <v>321</v>
      </c>
      <c r="F214" s="15"/>
      <c r="G214" s="15" t="s">
        <v>722</v>
      </c>
      <c r="H214" s="15"/>
      <c r="I214" s="15" t="s">
        <v>126</v>
      </c>
      <c r="J214" s="3" t="s">
        <v>1428</v>
      </c>
      <c r="K214" s="15" t="n">
        <f aca="false">LEN(J214)</f>
        <v>68</v>
      </c>
      <c r="L214" s="3" t="s">
        <v>1429</v>
      </c>
      <c r="M214" s="15" t="n">
        <f aca="false">LEN(L214)</f>
        <v>159</v>
      </c>
      <c r="N214" s="3" t="s">
        <v>1430</v>
      </c>
      <c r="O214" s="15"/>
      <c r="P214" s="16"/>
      <c r="Q214" s="15"/>
      <c r="R214" s="15" t="s">
        <v>1431</v>
      </c>
      <c r="S214" s="15" t="n">
        <f aca="false">COUNTIF('Page-Keyword Map'!$A$2:$A$668,B214)</f>
        <v>0</v>
      </c>
      <c r="T214" s="16" t="n">
        <f aca="false">SUMIF('Page-Keyword Map'!$A$2:$A$668,B214,'Page-Keyword Map'!$H$2:$H$668)</f>
        <v>0</v>
      </c>
      <c r="U214" s="15" t="n">
        <f aca="false">COUNTIFS('Page-Keyword Map'!$A$2:$A$668,B214,'Page-Keyword Map'!$E$2:$E$668,"Nationwide")</f>
        <v>0</v>
      </c>
      <c r="V214" s="15" t="n">
        <f aca="false">COUNTIFS('Page-Keyword Map'!$A$2:$A$668,B214,'Page-Keyword Map'!$E$2:$E$668,"Provincial")</f>
        <v>0</v>
      </c>
      <c r="W214" s="15" t="n">
        <f aca="false">COUNTIFS('Page-Keyword Map'!$A$2:$A$668,B214,'Page-Keyword Map'!$E$2:$E$668,"City")</f>
        <v>0</v>
      </c>
      <c r="X214" s="15" t="str">
        <f aca="false">IF(O214="","",IF(ISNUMBER(SEARCH(O214,J214)),"Yes","No"))</f>
        <v/>
      </c>
      <c r="Y214" s="15" t="n">
        <v>0.7</v>
      </c>
      <c r="Z214" s="15" t="s">
        <v>663</v>
      </c>
      <c r="AA214" s="15" t="s">
        <v>131</v>
      </c>
      <c r="AB214" s="17"/>
      <c r="AC214" s="17"/>
    </row>
    <row r="215" customFormat="false" ht="23.85" hidden="false" customHeight="false" outlineLevel="0" collapsed="false">
      <c r="A215" s="15" t="s">
        <v>1432</v>
      </c>
      <c r="B215" s="15" t="s">
        <v>1433</v>
      </c>
      <c r="C215" s="15" t="s">
        <v>656</v>
      </c>
      <c r="D215" s="15" t="s">
        <v>74</v>
      </c>
      <c r="E215" s="15" t="s">
        <v>321</v>
      </c>
      <c r="F215" s="15"/>
      <c r="G215" s="15" t="s">
        <v>729</v>
      </c>
      <c r="H215" s="15"/>
      <c r="I215" s="15" t="s">
        <v>126</v>
      </c>
      <c r="J215" s="3" t="s">
        <v>1434</v>
      </c>
      <c r="K215" s="15" t="n">
        <f aca="false">LEN(J215)</f>
        <v>54</v>
      </c>
      <c r="L215" s="3" t="s">
        <v>1435</v>
      </c>
      <c r="M215" s="15" t="n">
        <f aca="false">LEN(L215)</f>
        <v>132</v>
      </c>
      <c r="N215" s="3" t="s">
        <v>1436</v>
      </c>
      <c r="O215" s="15" t="s">
        <v>1437</v>
      </c>
      <c r="P215" s="16" t="n">
        <v>160</v>
      </c>
      <c r="Q215" s="15" t="s">
        <v>662</v>
      </c>
      <c r="R215" s="15"/>
      <c r="S215" s="15" t="n">
        <f aca="false">COUNTIF('Page-Keyword Map'!$A$2:$A$668,B215)</f>
        <v>1</v>
      </c>
      <c r="T215" s="16" t="n">
        <f aca="false">SUMIF('Page-Keyword Map'!$A$2:$A$668,B215,'Page-Keyword Map'!$H$2:$H$668)</f>
        <v>160</v>
      </c>
      <c r="U215" s="15" t="n">
        <f aca="false">COUNTIFS('Page-Keyword Map'!$A$2:$A$668,B215,'Page-Keyword Map'!$E$2:$E$668,"Nationwide")</f>
        <v>0</v>
      </c>
      <c r="V215" s="15" t="n">
        <f aca="false">COUNTIFS('Page-Keyword Map'!$A$2:$A$668,B215,'Page-Keyword Map'!$E$2:$E$668,"Provincial")</f>
        <v>1</v>
      </c>
      <c r="W215" s="15" t="n">
        <f aca="false">COUNTIFS('Page-Keyword Map'!$A$2:$A$668,B215,'Page-Keyword Map'!$E$2:$E$668,"City")</f>
        <v>0</v>
      </c>
      <c r="X215" s="15" t="str">
        <f aca="false">IF(O215="","",IF(ISNUMBER(SEARCH(O215,J215)),"Yes","No"))</f>
        <v>No</v>
      </c>
      <c r="Y215" s="15" t="n">
        <v>0.7</v>
      </c>
      <c r="Z215" s="15" t="s">
        <v>663</v>
      </c>
      <c r="AA215" s="15" t="s">
        <v>131</v>
      </c>
      <c r="AB215" s="17"/>
      <c r="AC215" s="17"/>
    </row>
    <row r="216" customFormat="false" ht="23.85" hidden="false" customHeight="false" outlineLevel="0" collapsed="false">
      <c r="A216" s="15" t="s">
        <v>1438</v>
      </c>
      <c r="B216" s="15" t="s">
        <v>1439</v>
      </c>
      <c r="C216" s="15" t="s">
        <v>656</v>
      </c>
      <c r="D216" s="15" t="s">
        <v>74</v>
      </c>
      <c r="E216" s="15" t="s">
        <v>321</v>
      </c>
      <c r="F216" s="15"/>
      <c r="G216" s="15" t="s">
        <v>736</v>
      </c>
      <c r="H216" s="15"/>
      <c r="I216" s="15" t="s">
        <v>126</v>
      </c>
      <c r="J216" s="3" t="s">
        <v>1440</v>
      </c>
      <c r="K216" s="15" t="n">
        <f aca="false">LEN(J216)</f>
        <v>60</v>
      </c>
      <c r="L216" s="3" t="s">
        <v>1441</v>
      </c>
      <c r="M216" s="15" t="n">
        <f aca="false">LEN(L216)</f>
        <v>132</v>
      </c>
      <c r="N216" s="3" t="s">
        <v>1442</v>
      </c>
      <c r="O216" s="15" t="s">
        <v>1443</v>
      </c>
      <c r="P216" s="16" t="n">
        <v>84</v>
      </c>
      <c r="Q216" s="15" t="s">
        <v>662</v>
      </c>
      <c r="R216" s="15"/>
      <c r="S216" s="15" t="n">
        <f aca="false">COUNTIF('Page-Keyword Map'!$A$2:$A$668,B216)</f>
        <v>1</v>
      </c>
      <c r="T216" s="16" t="n">
        <f aca="false">SUMIF('Page-Keyword Map'!$A$2:$A$668,B216,'Page-Keyword Map'!$H$2:$H$668)</f>
        <v>84</v>
      </c>
      <c r="U216" s="15" t="n">
        <f aca="false">COUNTIFS('Page-Keyword Map'!$A$2:$A$668,B216,'Page-Keyword Map'!$E$2:$E$668,"Nationwide")</f>
        <v>0</v>
      </c>
      <c r="V216" s="15" t="n">
        <f aca="false">COUNTIFS('Page-Keyword Map'!$A$2:$A$668,B216,'Page-Keyword Map'!$E$2:$E$668,"Provincial")</f>
        <v>1</v>
      </c>
      <c r="W216" s="15" t="n">
        <f aca="false">COUNTIFS('Page-Keyword Map'!$A$2:$A$668,B216,'Page-Keyword Map'!$E$2:$E$668,"City")</f>
        <v>0</v>
      </c>
      <c r="X216" s="15" t="str">
        <f aca="false">IF(O216="","",IF(ISNUMBER(SEARCH(O216,J216)),"Yes","No"))</f>
        <v>No</v>
      </c>
      <c r="Y216" s="15" t="n">
        <v>0.7</v>
      </c>
      <c r="Z216" s="15" t="s">
        <v>663</v>
      </c>
      <c r="AA216" s="15" t="s">
        <v>131</v>
      </c>
      <c r="AB216" s="17"/>
      <c r="AC216" s="17"/>
    </row>
    <row r="217" customFormat="false" ht="23.85" hidden="false" customHeight="false" outlineLevel="0" collapsed="false">
      <c r="A217" s="15" t="s">
        <v>1444</v>
      </c>
      <c r="B217" s="15" t="s">
        <v>1445</v>
      </c>
      <c r="C217" s="15" t="s">
        <v>656</v>
      </c>
      <c r="D217" s="15" t="s">
        <v>74</v>
      </c>
      <c r="E217" s="15" t="s">
        <v>321</v>
      </c>
      <c r="F217" s="15"/>
      <c r="G217" s="15" t="s">
        <v>743</v>
      </c>
      <c r="H217" s="15"/>
      <c r="I217" s="15" t="s">
        <v>126</v>
      </c>
      <c r="J217" s="3" t="s">
        <v>1446</v>
      </c>
      <c r="K217" s="15" t="n">
        <f aca="false">LEN(J217)</f>
        <v>53</v>
      </c>
      <c r="L217" s="3" t="s">
        <v>1447</v>
      </c>
      <c r="M217" s="15" t="n">
        <f aca="false">LEN(L217)</f>
        <v>151</v>
      </c>
      <c r="N217" s="3" t="s">
        <v>1448</v>
      </c>
      <c r="O217" s="15"/>
      <c r="P217" s="16"/>
      <c r="Q217" s="15"/>
      <c r="R217" s="15" t="s">
        <v>1449</v>
      </c>
      <c r="S217" s="15" t="n">
        <f aca="false">COUNTIF('Page-Keyword Map'!$A$2:$A$668,B217)</f>
        <v>0</v>
      </c>
      <c r="T217" s="16" t="n">
        <f aca="false">SUMIF('Page-Keyword Map'!$A$2:$A$668,B217,'Page-Keyword Map'!$H$2:$H$668)</f>
        <v>0</v>
      </c>
      <c r="U217" s="15" t="n">
        <f aca="false">COUNTIFS('Page-Keyword Map'!$A$2:$A$668,B217,'Page-Keyword Map'!$E$2:$E$668,"Nationwide")</f>
        <v>0</v>
      </c>
      <c r="V217" s="15" t="n">
        <f aca="false">COUNTIFS('Page-Keyword Map'!$A$2:$A$668,B217,'Page-Keyword Map'!$E$2:$E$668,"Provincial")</f>
        <v>0</v>
      </c>
      <c r="W217" s="15" t="n">
        <f aca="false">COUNTIFS('Page-Keyword Map'!$A$2:$A$668,B217,'Page-Keyword Map'!$E$2:$E$668,"City")</f>
        <v>0</v>
      </c>
      <c r="X217" s="15" t="str">
        <f aca="false">IF(O217="","",IF(ISNUMBER(SEARCH(O217,J217)),"Yes","No"))</f>
        <v/>
      </c>
      <c r="Y217" s="15" t="n">
        <v>0.7</v>
      </c>
      <c r="Z217" s="15" t="s">
        <v>663</v>
      </c>
      <c r="AA217" s="15" t="s">
        <v>131</v>
      </c>
      <c r="AB217" s="17"/>
      <c r="AC217" s="17"/>
    </row>
    <row r="218" customFormat="false" ht="23.85" hidden="false" customHeight="false" outlineLevel="0" collapsed="false">
      <c r="A218" s="15" t="s">
        <v>1450</v>
      </c>
      <c r="B218" s="15" t="s">
        <v>1451</v>
      </c>
      <c r="C218" s="15" t="s">
        <v>656</v>
      </c>
      <c r="D218" s="15" t="s">
        <v>75</v>
      </c>
      <c r="E218" s="15" t="s">
        <v>328</v>
      </c>
      <c r="F218" s="15"/>
      <c r="G218" s="15" t="s">
        <v>657</v>
      </c>
      <c r="H218" s="15"/>
      <c r="I218" s="15" t="s">
        <v>126</v>
      </c>
      <c r="J218" s="3" t="s">
        <v>1452</v>
      </c>
      <c r="K218" s="15" t="n">
        <f aca="false">LEN(J218)</f>
        <v>64</v>
      </c>
      <c r="L218" s="3" t="s">
        <v>1453</v>
      </c>
      <c r="M218" s="15" t="n">
        <f aca="false">LEN(L218)</f>
        <v>158</v>
      </c>
      <c r="N218" s="3" t="s">
        <v>1454</v>
      </c>
      <c r="O218" s="15" t="s">
        <v>1455</v>
      </c>
      <c r="P218" s="16" t="n">
        <v>52</v>
      </c>
      <c r="Q218" s="15" t="s">
        <v>662</v>
      </c>
      <c r="R218" s="15"/>
      <c r="S218" s="15" t="n">
        <f aca="false">COUNTIF('Page-Keyword Map'!$A$2:$A$668,B218)</f>
        <v>1</v>
      </c>
      <c r="T218" s="16" t="n">
        <f aca="false">SUMIF('Page-Keyword Map'!$A$2:$A$668,B218,'Page-Keyword Map'!$H$2:$H$668)</f>
        <v>52</v>
      </c>
      <c r="U218" s="15" t="n">
        <f aca="false">COUNTIFS('Page-Keyword Map'!$A$2:$A$668,B218,'Page-Keyword Map'!$E$2:$E$668,"Nationwide")</f>
        <v>0</v>
      </c>
      <c r="V218" s="15" t="n">
        <f aca="false">COUNTIFS('Page-Keyword Map'!$A$2:$A$668,B218,'Page-Keyword Map'!$E$2:$E$668,"Provincial")</f>
        <v>1</v>
      </c>
      <c r="W218" s="15" t="n">
        <f aca="false">COUNTIFS('Page-Keyword Map'!$A$2:$A$668,B218,'Page-Keyword Map'!$E$2:$E$668,"City")</f>
        <v>0</v>
      </c>
      <c r="X218" s="15" t="str">
        <f aca="false">IF(O218="","",IF(ISNUMBER(SEARCH(O218,J218)),"Yes","No"))</f>
        <v>No</v>
      </c>
      <c r="Y218" s="15" t="n">
        <v>0.7</v>
      </c>
      <c r="Z218" s="15" t="s">
        <v>663</v>
      </c>
      <c r="AA218" s="15" t="s">
        <v>131</v>
      </c>
      <c r="AB218" s="17"/>
      <c r="AC218" s="17"/>
    </row>
    <row r="219" customFormat="false" ht="23.85" hidden="false" customHeight="false" outlineLevel="0" collapsed="false">
      <c r="A219" s="15" t="s">
        <v>1456</v>
      </c>
      <c r="B219" s="15" t="s">
        <v>1457</v>
      </c>
      <c r="C219" s="15" t="s">
        <v>656</v>
      </c>
      <c r="D219" s="15" t="s">
        <v>75</v>
      </c>
      <c r="E219" s="15" t="s">
        <v>328</v>
      </c>
      <c r="F219" s="15"/>
      <c r="G219" s="15" t="s">
        <v>666</v>
      </c>
      <c r="H219" s="15"/>
      <c r="I219" s="15" t="s">
        <v>126</v>
      </c>
      <c r="J219" s="3" t="s">
        <v>1458</v>
      </c>
      <c r="K219" s="15" t="n">
        <f aca="false">LEN(J219)</f>
        <v>73</v>
      </c>
      <c r="L219" s="3" t="s">
        <v>1459</v>
      </c>
      <c r="M219" s="15" t="n">
        <f aca="false">LEN(L219)</f>
        <v>150</v>
      </c>
      <c r="N219" s="3" t="s">
        <v>1460</v>
      </c>
      <c r="O219" s="15" t="s">
        <v>1461</v>
      </c>
      <c r="P219" s="16" t="n">
        <v>60</v>
      </c>
      <c r="Q219" s="15" t="s">
        <v>662</v>
      </c>
      <c r="R219" s="15"/>
      <c r="S219" s="15" t="n">
        <f aca="false">COUNTIF('Page-Keyword Map'!$A$2:$A$668,B219)</f>
        <v>1</v>
      </c>
      <c r="T219" s="16" t="n">
        <f aca="false">SUMIF('Page-Keyword Map'!$A$2:$A$668,B219,'Page-Keyword Map'!$H$2:$H$668)</f>
        <v>60</v>
      </c>
      <c r="U219" s="15" t="n">
        <f aca="false">COUNTIFS('Page-Keyword Map'!$A$2:$A$668,B219,'Page-Keyword Map'!$E$2:$E$668,"Nationwide")</f>
        <v>0</v>
      </c>
      <c r="V219" s="15" t="n">
        <f aca="false">COUNTIFS('Page-Keyword Map'!$A$2:$A$668,B219,'Page-Keyword Map'!$E$2:$E$668,"Provincial")</f>
        <v>1</v>
      </c>
      <c r="W219" s="15" t="n">
        <f aca="false">COUNTIFS('Page-Keyword Map'!$A$2:$A$668,B219,'Page-Keyword Map'!$E$2:$E$668,"City")</f>
        <v>0</v>
      </c>
      <c r="X219" s="15" t="str">
        <f aca="false">IF(O219="","",IF(ISNUMBER(SEARCH(O219,J219)),"Yes","No"))</f>
        <v>No</v>
      </c>
      <c r="Y219" s="15" t="n">
        <v>0.7</v>
      </c>
      <c r="Z219" s="15" t="s">
        <v>663</v>
      </c>
      <c r="AA219" s="15" t="s">
        <v>131</v>
      </c>
      <c r="AB219" s="17"/>
      <c r="AC219" s="17"/>
    </row>
    <row r="220" customFormat="false" ht="23.85" hidden="false" customHeight="false" outlineLevel="0" collapsed="false">
      <c r="A220" s="15" t="s">
        <v>1462</v>
      </c>
      <c r="B220" s="15" t="s">
        <v>1463</v>
      </c>
      <c r="C220" s="15" t="s">
        <v>656</v>
      </c>
      <c r="D220" s="15" t="s">
        <v>75</v>
      </c>
      <c r="E220" s="15" t="s">
        <v>328</v>
      </c>
      <c r="F220" s="15"/>
      <c r="G220" s="15" t="s">
        <v>673</v>
      </c>
      <c r="H220" s="15"/>
      <c r="I220" s="15" t="s">
        <v>126</v>
      </c>
      <c r="J220" s="3" t="s">
        <v>1464</v>
      </c>
      <c r="K220" s="15" t="n">
        <f aca="false">LEN(J220)</f>
        <v>65</v>
      </c>
      <c r="L220" s="3" t="s">
        <v>1465</v>
      </c>
      <c r="M220" s="15" t="n">
        <f aca="false">LEN(L220)</f>
        <v>133</v>
      </c>
      <c r="N220" s="3" t="s">
        <v>1466</v>
      </c>
      <c r="O220" s="15"/>
      <c r="P220" s="16"/>
      <c r="Q220" s="15"/>
      <c r="R220" s="15" t="s">
        <v>1467</v>
      </c>
      <c r="S220" s="15" t="n">
        <f aca="false">COUNTIF('Page-Keyword Map'!$A$2:$A$668,B220)</f>
        <v>0</v>
      </c>
      <c r="T220" s="16" t="n">
        <f aca="false">SUMIF('Page-Keyword Map'!$A$2:$A$668,B220,'Page-Keyword Map'!$H$2:$H$668)</f>
        <v>0</v>
      </c>
      <c r="U220" s="15" t="n">
        <f aca="false">COUNTIFS('Page-Keyword Map'!$A$2:$A$668,B220,'Page-Keyword Map'!$E$2:$E$668,"Nationwide")</f>
        <v>0</v>
      </c>
      <c r="V220" s="15" t="n">
        <f aca="false">COUNTIFS('Page-Keyword Map'!$A$2:$A$668,B220,'Page-Keyword Map'!$E$2:$E$668,"Provincial")</f>
        <v>0</v>
      </c>
      <c r="W220" s="15" t="n">
        <f aca="false">COUNTIFS('Page-Keyword Map'!$A$2:$A$668,B220,'Page-Keyword Map'!$E$2:$E$668,"City")</f>
        <v>0</v>
      </c>
      <c r="X220" s="15" t="str">
        <f aca="false">IF(O220="","",IF(ISNUMBER(SEARCH(O220,J220)),"Yes","No"))</f>
        <v/>
      </c>
      <c r="Y220" s="15" t="n">
        <v>0.7</v>
      </c>
      <c r="Z220" s="15" t="s">
        <v>663</v>
      </c>
      <c r="AA220" s="15" t="s">
        <v>131</v>
      </c>
      <c r="AB220" s="17"/>
      <c r="AC220" s="17"/>
    </row>
    <row r="221" customFormat="false" ht="23.85" hidden="false" customHeight="false" outlineLevel="0" collapsed="false">
      <c r="A221" s="15" t="s">
        <v>1468</v>
      </c>
      <c r="B221" s="15" t="s">
        <v>1469</v>
      </c>
      <c r="C221" s="15" t="s">
        <v>656</v>
      </c>
      <c r="D221" s="15" t="s">
        <v>75</v>
      </c>
      <c r="E221" s="15" t="s">
        <v>328</v>
      </c>
      <c r="F221" s="15"/>
      <c r="G221" s="15" t="s">
        <v>680</v>
      </c>
      <c r="H221" s="15"/>
      <c r="I221" s="15" t="s">
        <v>126</v>
      </c>
      <c r="J221" s="3" t="s">
        <v>1470</v>
      </c>
      <c r="K221" s="15" t="n">
        <f aca="false">LEN(J221)</f>
        <v>70</v>
      </c>
      <c r="L221" s="3" t="s">
        <v>1471</v>
      </c>
      <c r="M221" s="15" t="n">
        <f aca="false">LEN(L221)</f>
        <v>143</v>
      </c>
      <c r="N221" s="3" t="s">
        <v>1472</v>
      </c>
      <c r="O221" s="15"/>
      <c r="P221" s="16"/>
      <c r="Q221" s="15"/>
      <c r="R221" s="15" t="s">
        <v>1473</v>
      </c>
      <c r="S221" s="15" t="n">
        <f aca="false">COUNTIF('Page-Keyword Map'!$A$2:$A$668,B221)</f>
        <v>0</v>
      </c>
      <c r="T221" s="16" t="n">
        <f aca="false">SUMIF('Page-Keyword Map'!$A$2:$A$668,B221,'Page-Keyword Map'!$H$2:$H$668)</f>
        <v>0</v>
      </c>
      <c r="U221" s="15" t="n">
        <f aca="false">COUNTIFS('Page-Keyword Map'!$A$2:$A$668,B221,'Page-Keyword Map'!$E$2:$E$668,"Nationwide")</f>
        <v>0</v>
      </c>
      <c r="V221" s="15" t="n">
        <f aca="false">COUNTIFS('Page-Keyword Map'!$A$2:$A$668,B221,'Page-Keyword Map'!$E$2:$E$668,"Provincial")</f>
        <v>0</v>
      </c>
      <c r="W221" s="15" t="n">
        <f aca="false">COUNTIFS('Page-Keyword Map'!$A$2:$A$668,B221,'Page-Keyword Map'!$E$2:$E$668,"City")</f>
        <v>0</v>
      </c>
      <c r="X221" s="15" t="str">
        <f aca="false">IF(O221="","",IF(ISNUMBER(SEARCH(O221,J221)),"Yes","No"))</f>
        <v/>
      </c>
      <c r="Y221" s="15" t="n">
        <v>0.7</v>
      </c>
      <c r="Z221" s="15" t="s">
        <v>663</v>
      </c>
      <c r="AA221" s="15" t="s">
        <v>131</v>
      </c>
      <c r="AB221" s="17"/>
      <c r="AC221" s="17"/>
    </row>
    <row r="222" customFormat="false" ht="23.85" hidden="false" customHeight="false" outlineLevel="0" collapsed="false">
      <c r="A222" s="15" t="s">
        <v>1474</v>
      </c>
      <c r="B222" s="15" t="s">
        <v>1475</v>
      </c>
      <c r="C222" s="15" t="s">
        <v>656</v>
      </c>
      <c r="D222" s="15" t="s">
        <v>75</v>
      </c>
      <c r="E222" s="15" t="s">
        <v>328</v>
      </c>
      <c r="F222" s="15"/>
      <c r="G222" s="15" t="s">
        <v>687</v>
      </c>
      <c r="H222" s="15"/>
      <c r="I222" s="15" t="s">
        <v>126</v>
      </c>
      <c r="J222" s="3" t="s">
        <v>1476</v>
      </c>
      <c r="K222" s="15" t="n">
        <f aca="false">LEN(J222)</f>
        <v>82</v>
      </c>
      <c r="L222" s="3" t="s">
        <v>1477</v>
      </c>
      <c r="M222" s="15" t="n">
        <f aca="false">LEN(L222)</f>
        <v>164</v>
      </c>
      <c r="N222" s="3" t="s">
        <v>1478</v>
      </c>
      <c r="O222" s="15"/>
      <c r="P222" s="16"/>
      <c r="Q222" s="15"/>
      <c r="R222" s="15" t="s">
        <v>1479</v>
      </c>
      <c r="S222" s="15" t="n">
        <f aca="false">COUNTIF('Page-Keyword Map'!$A$2:$A$668,B222)</f>
        <v>0</v>
      </c>
      <c r="T222" s="16" t="n">
        <f aca="false">SUMIF('Page-Keyword Map'!$A$2:$A$668,B222,'Page-Keyword Map'!$H$2:$H$668)</f>
        <v>0</v>
      </c>
      <c r="U222" s="15" t="n">
        <f aca="false">COUNTIFS('Page-Keyword Map'!$A$2:$A$668,B222,'Page-Keyword Map'!$E$2:$E$668,"Nationwide")</f>
        <v>0</v>
      </c>
      <c r="V222" s="15" t="n">
        <f aca="false">COUNTIFS('Page-Keyword Map'!$A$2:$A$668,B222,'Page-Keyword Map'!$E$2:$E$668,"Provincial")</f>
        <v>0</v>
      </c>
      <c r="W222" s="15" t="n">
        <f aca="false">COUNTIFS('Page-Keyword Map'!$A$2:$A$668,B222,'Page-Keyword Map'!$E$2:$E$668,"City")</f>
        <v>0</v>
      </c>
      <c r="X222" s="15" t="str">
        <f aca="false">IF(O222="","",IF(ISNUMBER(SEARCH(O222,J222)),"Yes","No"))</f>
        <v/>
      </c>
      <c r="Y222" s="15" t="n">
        <v>0.7</v>
      </c>
      <c r="Z222" s="15" t="s">
        <v>663</v>
      </c>
      <c r="AA222" s="15" t="s">
        <v>131</v>
      </c>
      <c r="AB222" s="17"/>
      <c r="AC222" s="17"/>
    </row>
    <row r="223" customFormat="false" ht="23.85" hidden="false" customHeight="false" outlineLevel="0" collapsed="false">
      <c r="A223" s="15" t="s">
        <v>1480</v>
      </c>
      <c r="B223" s="15" t="s">
        <v>1481</v>
      </c>
      <c r="C223" s="15" t="s">
        <v>656</v>
      </c>
      <c r="D223" s="15" t="s">
        <v>75</v>
      </c>
      <c r="E223" s="15" t="s">
        <v>328</v>
      </c>
      <c r="F223" s="15"/>
      <c r="G223" s="15" t="s">
        <v>694</v>
      </c>
      <c r="H223" s="15"/>
      <c r="I223" s="15" t="s">
        <v>126</v>
      </c>
      <c r="J223" s="3" t="s">
        <v>1482</v>
      </c>
      <c r="K223" s="15" t="n">
        <f aca="false">LEN(J223)</f>
        <v>78</v>
      </c>
      <c r="L223" s="3" t="s">
        <v>1483</v>
      </c>
      <c r="M223" s="15" t="n">
        <f aca="false">LEN(L223)</f>
        <v>158</v>
      </c>
      <c r="N223" s="3" t="s">
        <v>1484</v>
      </c>
      <c r="O223" s="15"/>
      <c r="P223" s="16"/>
      <c r="Q223" s="15"/>
      <c r="R223" s="15" t="s">
        <v>1485</v>
      </c>
      <c r="S223" s="15" t="n">
        <f aca="false">COUNTIF('Page-Keyword Map'!$A$2:$A$668,B223)</f>
        <v>0</v>
      </c>
      <c r="T223" s="16" t="n">
        <f aca="false">SUMIF('Page-Keyword Map'!$A$2:$A$668,B223,'Page-Keyword Map'!$H$2:$H$668)</f>
        <v>0</v>
      </c>
      <c r="U223" s="15" t="n">
        <f aca="false">COUNTIFS('Page-Keyword Map'!$A$2:$A$668,B223,'Page-Keyword Map'!$E$2:$E$668,"Nationwide")</f>
        <v>0</v>
      </c>
      <c r="V223" s="15" t="n">
        <f aca="false">COUNTIFS('Page-Keyword Map'!$A$2:$A$668,B223,'Page-Keyword Map'!$E$2:$E$668,"Provincial")</f>
        <v>0</v>
      </c>
      <c r="W223" s="15" t="n">
        <f aca="false">COUNTIFS('Page-Keyword Map'!$A$2:$A$668,B223,'Page-Keyword Map'!$E$2:$E$668,"City")</f>
        <v>0</v>
      </c>
      <c r="X223" s="15" t="str">
        <f aca="false">IF(O223="","",IF(ISNUMBER(SEARCH(O223,J223)),"Yes","No"))</f>
        <v/>
      </c>
      <c r="Y223" s="15" t="n">
        <v>0.7</v>
      </c>
      <c r="Z223" s="15" t="s">
        <v>663</v>
      </c>
      <c r="AA223" s="15" t="s">
        <v>131</v>
      </c>
      <c r="AB223" s="17"/>
      <c r="AC223" s="17"/>
    </row>
    <row r="224" customFormat="false" ht="23.85" hidden="false" customHeight="false" outlineLevel="0" collapsed="false">
      <c r="A224" s="15" t="s">
        <v>1486</v>
      </c>
      <c r="B224" s="15" t="s">
        <v>1487</v>
      </c>
      <c r="C224" s="15" t="s">
        <v>656</v>
      </c>
      <c r="D224" s="15" t="s">
        <v>75</v>
      </c>
      <c r="E224" s="15" t="s">
        <v>328</v>
      </c>
      <c r="F224" s="15"/>
      <c r="G224" s="15" t="s">
        <v>701</v>
      </c>
      <c r="H224" s="15"/>
      <c r="I224" s="15" t="s">
        <v>126</v>
      </c>
      <c r="J224" s="3" t="s">
        <v>1488</v>
      </c>
      <c r="K224" s="15" t="n">
        <f aca="false">LEN(J224)</f>
        <v>68</v>
      </c>
      <c r="L224" s="3" t="s">
        <v>1489</v>
      </c>
      <c r="M224" s="15" t="n">
        <f aca="false">LEN(L224)</f>
        <v>162</v>
      </c>
      <c r="N224" s="3" t="s">
        <v>1490</v>
      </c>
      <c r="O224" s="15"/>
      <c r="P224" s="16"/>
      <c r="Q224" s="15"/>
      <c r="R224" s="15" t="s">
        <v>1491</v>
      </c>
      <c r="S224" s="15" t="n">
        <f aca="false">COUNTIF('Page-Keyword Map'!$A$2:$A$668,B224)</f>
        <v>0</v>
      </c>
      <c r="T224" s="16" t="n">
        <f aca="false">SUMIF('Page-Keyword Map'!$A$2:$A$668,B224,'Page-Keyword Map'!$H$2:$H$668)</f>
        <v>0</v>
      </c>
      <c r="U224" s="15" t="n">
        <f aca="false">COUNTIFS('Page-Keyword Map'!$A$2:$A$668,B224,'Page-Keyword Map'!$E$2:$E$668,"Nationwide")</f>
        <v>0</v>
      </c>
      <c r="V224" s="15" t="n">
        <f aca="false">COUNTIFS('Page-Keyword Map'!$A$2:$A$668,B224,'Page-Keyword Map'!$E$2:$E$668,"Provincial")</f>
        <v>0</v>
      </c>
      <c r="W224" s="15" t="n">
        <f aca="false">COUNTIFS('Page-Keyword Map'!$A$2:$A$668,B224,'Page-Keyword Map'!$E$2:$E$668,"City")</f>
        <v>0</v>
      </c>
      <c r="X224" s="15" t="str">
        <f aca="false">IF(O224="","",IF(ISNUMBER(SEARCH(O224,J224)),"Yes","No"))</f>
        <v/>
      </c>
      <c r="Y224" s="15" t="n">
        <v>0.7</v>
      </c>
      <c r="Z224" s="15" t="s">
        <v>663</v>
      </c>
      <c r="AA224" s="15" t="s">
        <v>131</v>
      </c>
      <c r="AB224" s="17"/>
      <c r="AC224" s="17"/>
    </row>
    <row r="225" customFormat="false" ht="23.85" hidden="false" customHeight="false" outlineLevel="0" collapsed="false">
      <c r="A225" s="15" t="s">
        <v>1492</v>
      </c>
      <c r="B225" s="15" t="s">
        <v>1493</v>
      </c>
      <c r="C225" s="15" t="s">
        <v>656</v>
      </c>
      <c r="D225" s="15" t="s">
        <v>75</v>
      </c>
      <c r="E225" s="15" t="s">
        <v>328</v>
      </c>
      <c r="F225" s="15"/>
      <c r="G225" s="15" t="s">
        <v>708</v>
      </c>
      <c r="H225" s="15"/>
      <c r="I225" s="15" t="s">
        <v>126</v>
      </c>
      <c r="J225" s="3" t="s">
        <v>1494</v>
      </c>
      <c r="K225" s="15" t="n">
        <f aca="false">LEN(J225)</f>
        <v>64</v>
      </c>
      <c r="L225" s="3" t="s">
        <v>1495</v>
      </c>
      <c r="M225" s="15" t="n">
        <f aca="false">LEN(L225)</f>
        <v>158</v>
      </c>
      <c r="N225" s="3" t="s">
        <v>1496</v>
      </c>
      <c r="O225" s="15"/>
      <c r="P225" s="16"/>
      <c r="Q225" s="15"/>
      <c r="R225" s="15" t="s">
        <v>1497</v>
      </c>
      <c r="S225" s="15" t="n">
        <f aca="false">COUNTIF('Page-Keyword Map'!$A$2:$A$668,B225)</f>
        <v>0</v>
      </c>
      <c r="T225" s="16" t="n">
        <f aca="false">SUMIF('Page-Keyword Map'!$A$2:$A$668,B225,'Page-Keyword Map'!$H$2:$H$668)</f>
        <v>0</v>
      </c>
      <c r="U225" s="15" t="n">
        <f aca="false">COUNTIFS('Page-Keyword Map'!$A$2:$A$668,B225,'Page-Keyword Map'!$E$2:$E$668,"Nationwide")</f>
        <v>0</v>
      </c>
      <c r="V225" s="15" t="n">
        <f aca="false">COUNTIFS('Page-Keyword Map'!$A$2:$A$668,B225,'Page-Keyword Map'!$E$2:$E$668,"Provincial")</f>
        <v>0</v>
      </c>
      <c r="W225" s="15" t="n">
        <f aca="false">COUNTIFS('Page-Keyword Map'!$A$2:$A$668,B225,'Page-Keyword Map'!$E$2:$E$668,"City")</f>
        <v>0</v>
      </c>
      <c r="X225" s="15" t="str">
        <f aca="false">IF(O225="","",IF(ISNUMBER(SEARCH(O225,J225)),"Yes","No"))</f>
        <v/>
      </c>
      <c r="Y225" s="15" t="n">
        <v>0.7</v>
      </c>
      <c r="Z225" s="15" t="s">
        <v>663</v>
      </c>
      <c r="AA225" s="15" t="s">
        <v>131</v>
      </c>
      <c r="AB225" s="17"/>
      <c r="AC225" s="17"/>
    </row>
    <row r="226" customFormat="false" ht="23.85" hidden="false" customHeight="false" outlineLevel="0" collapsed="false">
      <c r="A226" s="15" t="s">
        <v>1498</v>
      </c>
      <c r="B226" s="15" t="s">
        <v>1499</v>
      </c>
      <c r="C226" s="15" t="s">
        <v>656</v>
      </c>
      <c r="D226" s="15" t="s">
        <v>75</v>
      </c>
      <c r="E226" s="15" t="s">
        <v>328</v>
      </c>
      <c r="F226" s="15"/>
      <c r="G226" s="15" t="s">
        <v>715</v>
      </c>
      <c r="H226" s="15"/>
      <c r="I226" s="15" t="s">
        <v>126</v>
      </c>
      <c r="J226" s="3" t="s">
        <v>1500</v>
      </c>
      <c r="K226" s="15" t="n">
        <f aca="false">LEN(J226)</f>
        <v>64</v>
      </c>
      <c r="L226" s="3" t="s">
        <v>1501</v>
      </c>
      <c r="M226" s="15" t="n">
        <f aca="false">LEN(L226)</f>
        <v>131</v>
      </c>
      <c r="N226" s="3" t="s">
        <v>1502</v>
      </c>
      <c r="O226" s="15" t="s">
        <v>1503</v>
      </c>
      <c r="P226" s="16" t="n">
        <v>170</v>
      </c>
      <c r="Q226" s="15" t="s">
        <v>662</v>
      </c>
      <c r="R226" s="15"/>
      <c r="S226" s="15" t="n">
        <f aca="false">COUNTIF('Page-Keyword Map'!$A$2:$A$668,B226)</f>
        <v>1</v>
      </c>
      <c r="T226" s="16" t="n">
        <f aca="false">SUMIF('Page-Keyword Map'!$A$2:$A$668,B226,'Page-Keyword Map'!$H$2:$H$668)</f>
        <v>170</v>
      </c>
      <c r="U226" s="15" t="n">
        <f aca="false">COUNTIFS('Page-Keyword Map'!$A$2:$A$668,B226,'Page-Keyword Map'!$E$2:$E$668,"Nationwide")</f>
        <v>0</v>
      </c>
      <c r="V226" s="15" t="n">
        <f aca="false">COUNTIFS('Page-Keyword Map'!$A$2:$A$668,B226,'Page-Keyword Map'!$E$2:$E$668,"Provincial")</f>
        <v>1</v>
      </c>
      <c r="W226" s="15" t="n">
        <f aca="false">COUNTIFS('Page-Keyword Map'!$A$2:$A$668,B226,'Page-Keyword Map'!$E$2:$E$668,"City")</f>
        <v>0</v>
      </c>
      <c r="X226" s="15" t="str">
        <f aca="false">IF(O226="","",IF(ISNUMBER(SEARCH(O226,J226)),"Yes","No"))</f>
        <v>No</v>
      </c>
      <c r="Y226" s="15" t="n">
        <v>0.7</v>
      </c>
      <c r="Z226" s="15" t="s">
        <v>663</v>
      </c>
      <c r="AA226" s="15" t="s">
        <v>131</v>
      </c>
      <c r="AB226" s="17"/>
      <c r="AC226" s="17"/>
    </row>
    <row r="227" customFormat="false" ht="23.85" hidden="false" customHeight="false" outlineLevel="0" collapsed="false">
      <c r="A227" s="15" t="s">
        <v>1504</v>
      </c>
      <c r="B227" s="15" t="s">
        <v>1505</v>
      </c>
      <c r="C227" s="15" t="s">
        <v>656</v>
      </c>
      <c r="D227" s="15" t="s">
        <v>75</v>
      </c>
      <c r="E227" s="15" t="s">
        <v>328</v>
      </c>
      <c r="F227" s="15"/>
      <c r="G227" s="15" t="s">
        <v>722</v>
      </c>
      <c r="H227" s="15"/>
      <c r="I227" s="15" t="s">
        <v>126</v>
      </c>
      <c r="J227" s="3" t="s">
        <v>1506</v>
      </c>
      <c r="K227" s="15" t="n">
        <f aca="false">LEN(J227)</f>
        <v>77</v>
      </c>
      <c r="L227" s="3" t="s">
        <v>1507</v>
      </c>
      <c r="M227" s="15" t="n">
        <f aca="false">LEN(L227)</f>
        <v>161</v>
      </c>
      <c r="N227" s="3" t="s">
        <v>1508</v>
      </c>
      <c r="O227" s="15"/>
      <c r="P227" s="16"/>
      <c r="Q227" s="15"/>
      <c r="R227" s="15" t="s">
        <v>1509</v>
      </c>
      <c r="S227" s="15" t="n">
        <f aca="false">COUNTIF('Page-Keyword Map'!$A$2:$A$668,B227)</f>
        <v>0</v>
      </c>
      <c r="T227" s="16" t="n">
        <f aca="false">SUMIF('Page-Keyword Map'!$A$2:$A$668,B227,'Page-Keyword Map'!$H$2:$H$668)</f>
        <v>0</v>
      </c>
      <c r="U227" s="15" t="n">
        <f aca="false">COUNTIFS('Page-Keyword Map'!$A$2:$A$668,B227,'Page-Keyword Map'!$E$2:$E$668,"Nationwide")</f>
        <v>0</v>
      </c>
      <c r="V227" s="15" t="n">
        <f aca="false">COUNTIFS('Page-Keyword Map'!$A$2:$A$668,B227,'Page-Keyword Map'!$E$2:$E$668,"Provincial")</f>
        <v>0</v>
      </c>
      <c r="W227" s="15" t="n">
        <f aca="false">COUNTIFS('Page-Keyword Map'!$A$2:$A$668,B227,'Page-Keyword Map'!$E$2:$E$668,"City")</f>
        <v>0</v>
      </c>
      <c r="X227" s="15" t="str">
        <f aca="false">IF(O227="","",IF(ISNUMBER(SEARCH(O227,J227)),"Yes","No"))</f>
        <v/>
      </c>
      <c r="Y227" s="15" t="n">
        <v>0.7</v>
      </c>
      <c r="Z227" s="15" t="s">
        <v>663</v>
      </c>
      <c r="AA227" s="15" t="s">
        <v>131</v>
      </c>
      <c r="AB227" s="17"/>
      <c r="AC227" s="17"/>
    </row>
    <row r="228" customFormat="false" ht="23.85" hidden="false" customHeight="false" outlineLevel="0" collapsed="false">
      <c r="A228" s="15" t="s">
        <v>1510</v>
      </c>
      <c r="B228" s="15" t="s">
        <v>1511</v>
      </c>
      <c r="C228" s="15" t="s">
        <v>656</v>
      </c>
      <c r="D228" s="15" t="s">
        <v>75</v>
      </c>
      <c r="E228" s="15" t="s">
        <v>328</v>
      </c>
      <c r="F228" s="15"/>
      <c r="G228" s="15" t="s">
        <v>729</v>
      </c>
      <c r="H228" s="15"/>
      <c r="I228" s="15" t="s">
        <v>126</v>
      </c>
      <c r="J228" s="3" t="s">
        <v>1512</v>
      </c>
      <c r="K228" s="15" t="n">
        <f aca="false">LEN(J228)</f>
        <v>63</v>
      </c>
      <c r="L228" s="3" t="s">
        <v>1513</v>
      </c>
      <c r="M228" s="15" t="n">
        <f aca="false">LEN(L228)</f>
        <v>141</v>
      </c>
      <c r="N228" s="3" t="s">
        <v>1514</v>
      </c>
      <c r="O228" s="15" t="s">
        <v>1515</v>
      </c>
      <c r="P228" s="16" t="n">
        <v>30</v>
      </c>
      <c r="Q228" s="15" t="s">
        <v>662</v>
      </c>
      <c r="R228" s="15"/>
      <c r="S228" s="15" t="n">
        <f aca="false">COUNTIF('Page-Keyword Map'!$A$2:$A$668,B228)</f>
        <v>1</v>
      </c>
      <c r="T228" s="16" t="n">
        <f aca="false">SUMIF('Page-Keyword Map'!$A$2:$A$668,B228,'Page-Keyword Map'!$H$2:$H$668)</f>
        <v>30</v>
      </c>
      <c r="U228" s="15" t="n">
        <f aca="false">COUNTIFS('Page-Keyword Map'!$A$2:$A$668,B228,'Page-Keyword Map'!$E$2:$E$668,"Nationwide")</f>
        <v>0</v>
      </c>
      <c r="V228" s="15" t="n">
        <f aca="false">COUNTIFS('Page-Keyword Map'!$A$2:$A$668,B228,'Page-Keyword Map'!$E$2:$E$668,"Provincial")</f>
        <v>1</v>
      </c>
      <c r="W228" s="15" t="n">
        <f aca="false">COUNTIFS('Page-Keyword Map'!$A$2:$A$668,B228,'Page-Keyword Map'!$E$2:$E$668,"City")</f>
        <v>0</v>
      </c>
      <c r="X228" s="15" t="str">
        <f aca="false">IF(O228="","",IF(ISNUMBER(SEARCH(O228,J228)),"Yes","No"))</f>
        <v>No</v>
      </c>
      <c r="Y228" s="15" t="n">
        <v>0.7</v>
      </c>
      <c r="Z228" s="15" t="s">
        <v>663</v>
      </c>
      <c r="AA228" s="15" t="s">
        <v>131</v>
      </c>
      <c r="AB228" s="17"/>
      <c r="AC228" s="17"/>
    </row>
    <row r="229" customFormat="false" ht="23.85" hidden="false" customHeight="false" outlineLevel="0" collapsed="false">
      <c r="A229" s="15" t="s">
        <v>1516</v>
      </c>
      <c r="B229" s="15" t="s">
        <v>1517</v>
      </c>
      <c r="C229" s="15" t="s">
        <v>656</v>
      </c>
      <c r="D229" s="15" t="s">
        <v>75</v>
      </c>
      <c r="E229" s="15" t="s">
        <v>328</v>
      </c>
      <c r="F229" s="15"/>
      <c r="G229" s="15" t="s">
        <v>736</v>
      </c>
      <c r="H229" s="15"/>
      <c r="I229" s="15" t="s">
        <v>126</v>
      </c>
      <c r="J229" s="3" t="s">
        <v>1518</v>
      </c>
      <c r="K229" s="15" t="n">
        <f aca="false">LEN(J229)</f>
        <v>69</v>
      </c>
      <c r="L229" s="3" t="s">
        <v>1519</v>
      </c>
      <c r="M229" s="15" t="n">
        <f aca="false">LEN(L229)</f>
        <v>141</v>
      </c>
      <c r="N229" s="3" t="s">
        <v>1520</v>
      </c>
      <c r="O229" s="15"/>
      <c r="P229" s="16"/>
      <c r="Q229" s="15"/>
      <c r="R229" s="15" t="s">
        <v>1521</v>
      </c>
      <c r="S229" s="15" t="n">
        <f aca="false">COUNTIF('Page-Keyword Map'!$A$2:$A$668,B229)</f>
        <v>0</v>
      </c>
      <c r="T229" s="16" t="n">
        <f aca="false">SUMIF('Page-Keyword Map'!$A$2:$A$668,B229,'Page-Keyword Map'!$H$2:$H$668)</f>
        <v>0</v>
      </c>
      <c r="U229" s="15" t="n">
        <f aca="false">COUNTIFS('Page-Keyword Map'!$A$2:$A$668,B229,'Page-Keyword Map'!$E$2:$E$668,"Nationwide")</f>
        <v>0</v>
      </c>
      <c r="V229" s="15" t="n">
        <f aca="false">COUNTIFS('Page-Keyword Map'!$A$2:$A$668,B229,'Page-Keyword Map'!$E$2:$E$668,"Provincial")</f>
        <v>0</v>
      </c>
      <c r="W229" s="15" t="n">
        <f aca="false">COUNTIFS('Page-Keyword Map'!$A$2:$A$668,B229,'Page-Keyword Map'!$E$2:$E$668,"City")</f>
        <v>0</v>
      </c>
      <c r="X229" s="15" t="str">
        <f aca="false">IF(O229="","",IF(ISNUMBER(SEARCH(O229,J229)),"Yes","No"))</f>
        <v/>
      </c>
      <c r="Y229" s="15" t="n">
        <v>0.7</v>
      </c>
      <c r="Z229" s="15" t="s">
        <v>663</v>
      </c>
      <c r="AA229" s="15" t="s">
        <v>131</v>
      </c>
      <c r="AB229" s="17"/>
      <c r="AC229" s="17"/>
    </row>
    <row r="230" customFormat="false" ht="23.85" hidden="false" customHeight="false" outlineLevel="0" collapsed="false">
      <c r="A230" s="15" t="s">
        <v>1522</v>
      </c>
      <c r="B230" s="15" t="s">
        <v>1523</v>
      </c>
      <c r="C230" s="15" t="s">
        <v>656</v>
      </c>
      <c r="D230" s="15" t="s">
        <v>75</v>
      </c>
      <c r="E230" s="15" t="s">
        <v>328</v>
      </c>
      <c r="F230" s="15"/>
      <c r="G230" s="15" t="s">
        <v>743</v>
      </c>
      <c r="H230" s="15"/>
      <c r="I230" s="15" t="s">
        <v>126</v>
      </c>
      <c r="J230" s="3" t="s">
        <v>1524</v>
      </c>
      <c r="K230" s="15" t="n">
        <f aca="false">LEN(J230)</f>
        <v>62</v>
      </c>
      <c r="L230" s="3" t="s">
        <v>1525</v>
      </c>
      <c r="M230" s="15" t="n">
        <f aca="false">LEN(L230)</f>
        <v>160</v>
      </c>
      <c r="N230" s="3" t="s">
        <v>1526</v>
      </c>
      <c r="O230" s="15"/>
      <c r="P230" s="16"/>
      <c r="Q230" s="15"/>
      <c r="R230" s="15" t="s">
        <v>1527</v>
      </c>
      <c r="S230" s="15" t="n">
        <f aca="false">COUNTIF('Page-Keyword Map'!$A$2:$A$668,B230)</f>
        <v>0</v>
      </c>
      <c r="T230" s="16" t="n">
        <f aca="false">SUMIF('Page-Keyword Map'!$A$2:$A$668,B230,'Page-Keyword Map'!$H$2:$H$668)</f>
        <v>0</v>
      </c>
      <c r="U230" s="15" t="n">
        <f aca="false">COUNTIFS('Page-Keyword Map'!$A$2:$A$668,B230,'Page-Keyword Map'!$E$2:$E$668,"Nationwide")</f>
        <v>0</v>
      </c>
      <c r="V230" s="15" t="n">
        <f aca="false">COUNTIFS('Page-Keyword Map'!$A$2:$A$668,B230,'Page-Keyword Map'!$E$2:$E$668,"Provincial")</f>
        <v>0</v>
      </c>
      <c r="W230" s="15" t="n">
        <f aca="false">COUNTIFS('Page-Keyword Map'!$A$2:$A$668,B230,'Page-Keyword Map'!$E$2:$E$668,"City")</f>
        <v>0</v>
      </c>
      <c r="X230" s="15" t="str">
        <f aca="false">IF(O230="","",IF(ISNUMBER(SEARCH(O230,J230)),"Yes","No"))</f>
        <v/>
      </c>
      <c r="Y230" s="15" t="n">
        <v>0.7</v>
      </c>
      <c r="Z230" s="15" t="s">
        <v>663</v>
      </c>
      <c r="AA230" s="15" t="s">
        <v>131</v>
      </c>
      <c r="AB230" s="17"/>
      <c r="AC230" s="17"/>
    </row>
    <row r="231" customFormat="false" ht="23.85" hidden="false" customHeight="false" outlineLevel="0" collapsed="false">
      <c r="A231" s="15" t="s">
        <v>1528</v>
      </c>
      <c r="B231" s="15" t="s">
        <v>1529</v>
      </c>
      <c r="C231" s="15" t="s">
        <v>656</v>
      </c>
      <c r="D231" s="15" t="s">
        <v>74</v>
      </c>
      <c r="E231" s="15" t="s">
        <v>335</v>
      </c>
      <c r="F231" s="15"/>
      <c r="G231" s="15" t="s">
        <v>657</v>
      </c>
      <c r="H231" s="15"/>
      <c r="I231" s="15" t="s">
        <v>126</v>
      </c>
      <c r="J231" s="3" t="s">
        <v>1530</v>
      </c>
      <c r="K231" s="15" t="n">
        <f aca="false">LEN(J231)</f>
        <v>66</v>
      </c>
      <c r="L231" s="3" t="s">
        <v>1531</v>
      </c>
      <c r="M231" s="15" t="n">
        <f aca="false">LEN(L231)</f>
        <v>160</v>
      </c>
      <c r="N231" s="3" t="s">
        <v>1532</v>
      </c>
      <c r="O231" s="15"/>
      <c r="P231" s="16"/>
      <c r="Q231" s="15"/>
      <c r="R231" s="15" t="s">
        <v>1533</v>
      </c>
      <c r="S231" s="15" t="n">
        <f aca="false">COUNTIF('Page-Keyword Map'!$A$2:$A$668,B231)</f>
        <v>0</v>
      </c>
      <c r="T231" s="16" t="n">
        <f aca="false">SUMIF('Page-Keyword Map'!$A$2:$A$668,B231,'Page-Keyword Map'!$H$2:$H$668)</f>
        <v>0</v>
      </c>
      <c r="U231" s="15" t="n">
        <f aca="false">COUNTIFS('Page-Keyword Map'!$A$2:$A$668,B231,'Page-Keyword Map'!$E$2:$E$668,"Nationwide")</f>
        <v>0</v>
      </c>
      <c r="V231" s="15" t="n">
        <f aca="false">COUNTIFS('Page-Keyword Map'!$A$2:$A$668,B231,'Page-Keyword Map'!$E$2:$E$668,"Provincial")</f>
        <v>0</v>
      </c>
      <c r="W231" s="15" t="n">
        <f aca="false">COUNTIFS('Page-Keyword Map'!$A$2:$A$668,B231,'Page-Keyword Map'!$E$2:$E$668,"City")</f>
        <v>0</v>
      </c>
      <c r="X231" s="15" t="str">
        <f aca="false">IF(O231="","",IF(ISNUMBER(SEARCH(O231,J231)),"Yes","No"))</f>
        <v/>
      </c>
      <c r="Y231" s="15" t="n">
        <v>0.7</v>
      </c>
      <c r="Z231" s="15" t="s">
        <v>663</v>
      </c>
      <c r="AA231" s="15" t="s">
        <v>131</v>
      </c>
      <c r="AB231" s="17"/>
      <c r="AC231" s="17"/>
    </row>
    <row r="232" customFormat="false" ht="23.85" hidden="false" customHeight="false" outlineLevel="0" collapsed="false">
      <c r="A232" s="15" t="s">
        <v>1534</v>
      </c>
      <c r="B232" s="15" t="s">
        <v>1535</v>
      </c>
      <c r="C232" s="15" t="s">
        <v>656</v>
      </c>
      <c r="D232" s="15" t="s">
        <v>74</v>
      </c>
      <c r="E232" s="15" t="s">
        <v>335</v>
      </c>
      <c r="F232" s="15"/>
      <c r="G232" s="15" t="s">
        <v>666</v>
      </c>
      <c r="H232" s="15"/>
      <c r="I232" s="15" t="s">
        <v>126</v>
      </c>
      <c r="J232" s="3" t="s">
        <v>1536</v>
      </c>
      <c r="K232" s="15" t="n">
        <f aca="false">LEN(J232)</f>
        <v>75</v>
      </c>
      <c r="L232" s="3" t="s">
        <v>1537</v>
      </c>
      <c r="M232" s="15" t="n">
        <f aca="false">LEN(L232)</f>
        <v>152</v>
      </c>
      <c r="N232" s="3" t="s">
        <v>1538</v>
      </c>
      <c r="O232" s="15"/>
      <c r="P232" s="16"/>
      <c r="Q232" s="15"/>
      <c r="R232" s="15" t="s">
        <v>1539</v>
      </c>
      <c r="S232" s="15" t="n">
        <f aca="false">COUNTIF('Page-Keyword Map'!$A$2:$A$668,B232)</f>
        <v>0</v>
      </c>
      <c r="T232" s="16" t="n">
        <f aca="false">SUMIF('Page-Keyword Map'!$A$2:$A$668,B232,'Page-Keyword Map'!$H$2:$H$668)</f>
        <v>0</v>
      </c>
      <c r="U232" s="15" t="n">
        <f aca="false">COUNTIFS('Page-Keyword Map'!$A$2:$A$668,B232,'Page-Keyword Map'!$E$2:$E$668,"Nationwide")</f>
        <v>0</v>
      </c>
      <c r="V232" s="15" t="n">
        <f aca="false">COUNTIFS('Page-Keyword Map'!$A$2:$A$668,B232,'Page-Keyword Map'!$E$2:$E$668,"Provincial")</f>
        <v>0</v>
      </c>
      <c r="W232" s="15" t="n">
        <f aca="false">COUNTIFS('Page-Keyword Map'!$A$2:$A$668,B232,'Page-Keyword Map'!$E$2:$E$668,"City")</f>
        <v>0</v>
      </c>
      <c r="X232" s="15" t="str">
        <f aca="false">IF(O232="","",IF(ISNUMBER(SEARCH(O232,J232)),"Yes","No"))</f>
        <v/>
      </c>
      <c r="Y232" s="15" t="n">
        <v>0.7</v>
      </c>
      <c r="Z232" s="15" t="s">
        <v>663</v>
      </c>
      <c r="AA232" s="15" t="s">
        <v>131</v>
      </c>
      <c r="AB232" s="17"/>
      <c r="AC232" s="17"/>
    </row>
    <row r="233" customFormat="false" ht="23.85" hidden="false" customHeight="false" outlineLevel="0" collapsed="false">
      <c r="A233" s="15" t="s">
        <v>1540</v>
      </c>
      <c r="B233" s="15" t="s">
        <v>1541</v>
      </c>
      <c r="C233" s="15" t="s">
        <v>656</v>
      </c>
      <c r="D233" s="15" t="s">
        <v>74</v>
      </c>
      <c r="E233" s="15" t="s">
        <v>335</v>
      </c>
      <c r="F233" s="15"/>
      <c r="G233" s="15" t="s">
        <v>673</v>
      </c>
      <c r="H233" s="15"/>
      <c r="I233" s="15" t="s">
        <v>126</v>
      </c>
      <c r="J233" s="3" t="s">
        <v>1542</v>
      </c>
      <c r="K233" s="15" t="n">
        <f aca="false">LEN(J233)</f>
        <v>67</v>
      </c>
      <c r="L233" s="3" t="s">
        <v>1543</v>
      </c>
      <c r="M233" s="15" t="n">
        <f aca="false">LEN(L233)</f>
        <v>135</v>
      </c>
      <c r="N233" s="3" t="s">
        <v>1544</v>
      </c>
      <c r="O233" s="15"/>
      <c r="P233" s="16"/>
      <c r="Q233" s="15"/>
      <c r="R233" s="15" t="s">
        <v>1545</v>
      </c>
      <c r="S233" s="15" t="n">
        <f aca="false">COUNTIF('Page-Keyword Map'!$A$2:$A$668,B233)</f>
        <v>0</v>
      </c>
      <c r="T233" s="16" t="n">
        <f aca="false">SUMIF('Page-Keyword Map'!$A$2:$A$668,B233,'Page-Keyword Map'!$H$2:$H$668)</f>
        <v>0</v>
      </c>
      <c r="U233" s="15" t="n">
        <f aca="false">COUNTIFS('Page-Keyword Map'!$A$2:$A$668,B233,'Page-Keyword Map'!$E$2:$E$668,"Nationwide")</f>
        <v>0</v>
      </c>
      <c r="V233" s="15" t="n">
        <f aca="false">COUNTIFS('Page-Keyword Map'!$A$2:$A$668,B233,'Page-Keyword Map'!$E$2:$E$668,"Provincial")</f>
        <v>0</v>
      </c>
      <c r="W233" s="15" t="n">
        <f aca="false">COUNTIFS('Page-Keyword Map'!$A$2:$A$668,B233,'Page-Keyword Map'!$E$2:$E$668,"City")</f>
        <v>0</v>
      </c>
      <c r="X233" s="15" t="str">
        <f aca="false">IF(O233="","",IF(ISNUMBER(SEARCH(O233,J233)),"Yes","No"))</f>
        <v/>
      </c>
      <c r="Y233" s="15" t="n">
        <v>0.7</v>
      </c>
      <c r="Z233" s="15" t="s">
        <v>663</v>
      </c>
      <c r="AA233" s="15" t="s">
        <v>131</v>
      </c>
      <c r="AB233" s="17"/>
      <c r="AC233" s="17"/>
    </row>
    <row r="234" customFormat="false" ht="23.85" hidden="false" customHeight="false" outlineLevel="0" collapsed="false">
      <c r="A234" s="15" t="s">
        <v>1546</v>
      </c>
      <c r="B234" s="15" t="s">
        <v>1547</v>
      </c>
      <c r="C234" s="15" t="s">
        <v>656</v>
      </c>
      <c r="D234" s="15" t="s">
        <v>74</v>
      </c>
      <c r="E234" s="15" t="s">
        <v>335</v>
      </c>
      <c r="F234" s="15"/>
      <c r="G234" s="15" t="s">
        <v>680</v>
      </c>
      <c r="H234" s="15"/>
      <c r="I234" s="15" t="s">
        <v>126</v>
      </c>
      <c r="J234" s="3" t="s">
        <v>1548</v>
      </c>
      <c r="K234" s="15" t="n">
        <f aca="false">LEN(J234)</f>
        <v>72</v>
      </c>
      <c r="L234" s="3" t="s">
        <v>1549</v>
      </c>
      <c r="M234" s="15" t="n">
        <f aca="false">LEN(L234)</f>
        <v>145</v>
      </c>
      <c r="N234" s="3" t="s">
        <v>1550</v>
      </c>
      <c r="O234" s="15"/>
      <c r="P234" s="16"/>
      <c r="Q234" s="15"/>
      <c r="R234" s="15" t="s">
        <v>1551</v>
      </c>
      <c r="S234" s="15" t="n">
        <f aca="false">COUNTIF('Page-Keyword Map'!$A$2:$A$668,B234)</f>
        <v>0</v>
      </c>
      <c r="T234" s="16" t="n">
        <f aca="false">SUMIF('Page-Keyword Map'!$A$2:$A$668,B234,'Page-Keyword Map'!$H$2:$H$668)</f>
        <v>0</v>
      </c>
      <c r="U234" s="15" t="n">
        <f aca="false">COUNTIFS('Page-Keyword Map'!$A$2:$A$668,B234,'Page-Keyword Map'!$E$2:$E$668,"Nationwide")</f>
        <v>0</v>
      </c>
      <c r="V234" s="15" t="n">
        <f aca="false">COUNTIFS('Page-Keyword Map'!$A$2:$A$668,B234,'Page-Keyword Map'!$E$2:$E$668,"Provincial")</f>
        <v>0</v>
      </c>
      <c r="W234" s="15" t="n">
        <f aca="false">COUNTIFS('Page-Keyword Map'!$A$2:$A$668,B234,'Page-Keyword Map'!$E$2:$E$668,"City")</f>
        <v>0</v>
      </c>
      <c r="X234" s="15" t="str">
        <f aca="false">IF(O234="","",IF(ISNUMBER(SEARCH(O234,J234)),"Yes","No"))</f>
        <v/>
      </c>
      <c r="Y234" s="15" t="n">
        <v>0.7</v>
      </c>
      <c r="Z234" s="15" t="s">
        <v>663</v>
      </c>
      <c r="AA234" s="15" t="s">
        <v>131</v>
      </c>
      <c r="AB234" s="17"/>
      <c r="AC234" s="17"/>
    </row>
    <row r="235" customFormat="false" ht="23.85" hidden="false" customHeight="false" outlineLevel="0" collapsed="false">
      <c r="A235" s="15" t="s">
        <v>1552</v>
      </c>
      <c r="B235" s="15" t="s">
        <v>1553</v>
      </c>
      <c r="C235" s="15" t="s">
        <v>656</v>
      </c>
      <c r="D235" s="15" t="s">
        <v>74</v>
      </c>
      <c r="E235" s="15" t="s">
        <v>335</v>
      </c>
      <c r="F235" s="15"/>
      <c r="G235" s="15" t="s">
        <v>687</v>
      </c>
      <c r="H235" s="15"/>
      <c r="I235" s="15" t="s">
        <v>126</v>
      </c>
      <c r="J235" s="3" t="s">
        <v>1554</v>
      </c>
      <c r="K235" s="15" t="n">
        <f aca="false">LEN(J235)</f>
        <v>84</v>
      </c>
      <c r="L235" s="3" t="s">
        <v>1555</v>
      </c>
      <c r="M235" s="15" t="n">
        <f aca="false">LEN(L235)</f>
        <v>162</v>
      </c>
      <c r="N235" s="3" t="s">
        <v>1556</v>
      </c>
      <c r="O235" s="15"/>
      <c r="P235" s="16"/>
      <c r="Q235" s="15"/>
      <c r="R235" s="15" t="s">
        <v>1557</v>
      </c>
      <c r="S235" s="15" t="n">
        <f aca="false">COUNTIF('Page-Keyword Map'!$A$2:$A$668,B235)</f>
        <v>0</v>
      </c>
      <c r="T235" s="16" t="n">
        <f aca="false">SUMIF('Page-Keyword Map'!$A$2:$A$668,B235,'Page-Keyword Map'!$H$2:$H$668)</f>
        <v>0</v>
      </c>
      <c r="U235" s="15" t="n">
        <f aca="false">COUNTIFS('Page-Keyword Map'!$A$2:$A$668,B235,'Page-Keyword Map'!$E$2:$E$668,"Nationwide")</f>
        <v>0</v>
      </c>
      <c r="V235" s="15" t="n">
        <f aca="false">COUNTIFS('Page-Keyword Map'!$A$2:$A$668,B235,'Page-Keyword Map'!$E$2:$E$668,"Provincial")</f>
        <v>0</v>
      </c>
      <c r="W235" s="15" t="n">
        <f aca="false">COUNTIFS('Page-Keyword Map'!$A$2:$A$668,B235,'Page-Keyword Map'!$E$2:$E$668,"City")</f>
        <v>0</v>
      </c>
      <c r="X235" s="15" t="str">
        <f aca="false">IF(O235="","",IF(ISNUMBER(SEARCH(O235,J235)),"Yes","No"))</f>
        <v/>
      </c>
      <c r="Y235" s="15" t="n">
        <v>0.7</v>
      </c>
      <c r="Z235" s="15" t="s">
        <v>663</v>
      </c>
      <c r="AA235" s="15" t="s">
        <v>131</v>
      </c>
      <c r="AB235" s="17"/>
      <c r="AC235" s="17"/>
    </row>
    <row r="236" customFormat="false" ht="23.85" hidden="false" customHeight="false" outlineLevel="0" collapsed="false">
      <c r="A236" s="15" t="s">
        <v>1558</v>
      </c>
      <c r="B236" s="15" t="s">
        <v>1559</v>
      </c>
      <c r="C236" s="15" t="s">
        <v>656</v>
      </c>
      <c r="D236" s="15" t="s">
        <v>74</v>
      </c>
      <c r="E236" s="15" t="s">
        <v>335</v>
      </c>
      <c r="F236" s="15"/>
      <c r="G236" s="15" t="s">
        <v>694</v>
      </c>
      <c r="H236" s="15"/>
      <c r="I236" s="15" t="s">
        <v>126</v>
      </c>
      <c r="J236" s="3" t="s">
        <v>1560</v>
      </c>
      <c r="K236" s="15" t="n">
        <f aca="false">LEN(J236)</f>
        <v>80</v>
      </c>
      <c r="L236" s="3" t="s">
        <v>1561</v>
      </c>
      <c r="M236" s="15" t="n">
        <f aca="false">LEN(L236)</f>
        <v>160</v>
      </c>
      <c r="N236" s="3" t="s">
        <v>1562</v>
      </c>
      <c r="O236" s="15"/>
      <c r="P236" s="16"/>
      <c r="Q236" s="15"/>
      <c r="R236" s="15" t="s">
        <v>1563</v>
      </c>
      <c r="S236" s="15" t="n">
        <f aca="false">COUNTIF('Page-Keyword Map'!$A$2:$A$668,B236)</f>
        <v>0</v>
      </c>
      <c r="T236" s="16" t="n">
        <f aca="false">SUMIF('Page-Keyword Map'!$A$2:$A$668,B236,'Page-Keyword Map'!$H$2:$H$668)</f>
        <v>0</v>
      </c>
      <c r="U236" s="15" t="n">
        <f aca="false">COUNTIFS('Page-Keyword Map'!$A$2:$A$668,B236,'Page-Keyword Map'!$E$2:$E$668,"Nationwide")</f>
        <v>0</v>
      </c>
      <c r="V236" s="15" t="n">
        <f aca="false">COUNTIFS('Page-Keyword Map'!$A$2:$A$668,B236,'Page-Keyword Map'!$E$2:$E$668,"Provincial")</f>
        <v>0</v>
      </c>
      <c r="W236" s="15" t="n">
        <f aca="false">COUNTIFS('Page-Keyword Map'!$A$2:$A$668,B236,'Page-Keyword Map'!$E$2:$E$668,"City")</f>
        <v>0</v>
      </c>
      <c r="X236" s="15" t="str">
        <f aca="false">IF(O236="","",IF(ISNUMBER(SEARCH(O236,J236)),"Yes","No"))</f>
        <v/>
      </c>
      <c r="Y236" s="15" t="n">
        <v>0.7</v>
      </c>
      <c r="Z236" s="15" t="s">
        <v>663</v>
      </c>
      <c r="AA236" s="15" t="s">
        <v>131</v>
      </c>
      <c r="AB236" s="17"/>
      <c r="AC236" s="17"/>
    </row>
    <row r="237" customFormat="false" ht="23.85" hidden="false" customHeight="false" outlineLevel="0" collapsed="false">
      <c r="A237" s="15" t="s">
        <v>1564</v>
      </c>
      <c r="B237" s="15" t="s">
        <v>1565</v>
      </c>
      <c r="C237" s="15" t="s">
        <v>656</v>
      </c>
      <c r="D237" s="15" t="s">
        <v>74</v>
      </c>
      <c r="E237" s="15" t="s">
        <v>335</v>
      </c>
      <c r="F237" s="15"/>
      <c r="G237" s="15" t="s">
        <v>701</v>
      </c>
      <c r="H237" s="15"/>
      <c r="I237" s="15" t="s">
        <v>126</v>
      </c>
      <c r="J237" s="3" t="s">
        <v>1566</v>
      </c>
      <c r="K237" s="15" t="n">
        <f aca="false">LEN(J237)</f>
        <v>70</v>
      </c>
      <c r="L237" s="3" t="s">
        <v>1567</v>
      </c>
      <c r="M237" s="15" t="n">
        <f aca="false">LEN(L237)</f>
        <v>164</v>
      </c>
      <c r="N237" s="3" t="s">
        <v>1568</v>
      </c>
      <c r="O237" s="15"/>
      <c r="P237" s="16"/>
      <c r="Q237" s="15"/>
      <c r="R237" s="15" t="s">
        <v>1569</v>
      </c>
      <c r="S237" s="15" t="n">
        <f aca="false">COUNTIF('Page-Keyword Map'!$A$2:$A$668,B237)</f>
        <v>0</v>
      </c>
      <c r="T237" s="16" t="n">
        <f aca="false">SUMIF('Page-Keyword Map'!$A$2:$A$668,B237,'Page-Keyword Map'!$H$2:$H$668)</f>
        <v>0</v>
      </c>
      <c r="U237" s="15" t="n">
        <f aca="false">COUNTIFS('Page-Keyword Map'!$A$2:$A$668,B237,'Page-Keyword Map'!$E$2:$E$668,"Nationwide")</f>
        <v>0</v>
      </c>
      <c r="V237" s="15" t="n">
        <f aca="false">COUNTIFS('Page-Keyword Map'!$A$2:$A$668,B237,'Page-Keyword Map'!$E$2:$E$668,"Provincial")</f>
        <v>0</v>
      </c>
      <c r="W237" s="15" t="n">
        <f aca="false">COUNTIFS('Page-Keyword Map'!$A$2:$A$668,B237,'Page-Keyword Map'!$E$2:$E$668,"City")</f>
        <v>0</v>
      </c>
      <c r="X237" s="15" t="str">
        <f aca="false">IF(O237="","",IF(ISNUMBER(SEARCH(O237,J237)),"Yes","No"))</f>
        <v/>
      </c>
      <c r="Y237" s="15" t="n">
        <v>0.7</v>
      </c>
      <c r="Z237" s="15" t="s">
        <v>663</v>
      </c>
      <c r="AA237" s="15" t="s">
        <v>131</v>
      </c>
      <c r="AB237" s="17"/>
      <c r="AC237" s="17"/>
    </row>
    <row r="238" customFormat="false" ht="23.85" hidden="false" customHeight="false" outlineLevel="0" collapsed="false">
      <c r="A238" s="15" t="s">
        <v>1570</v>
      </c>
      <c r="B238" s="15" t="s">
        <v>1571</v>
      </c>
      <c r="C238" s="15" t="s">
        <v>656</v>
      </c>
      <c r="D238" s="15" t="s">
        <v>74</v>
      </c>
      <c r="E238" s="15" t="s">
        <v>335</v>
      </c>
      <c r="F238" s="15"/>
      <c r="G238" s="15" t="s">
        <v>708</v>
      </c>
      <c r="H238" s="15"/>
      <c r="I238" s="15" t="s">
        <v>126</v>
      </c>
      <c r="J238" s="3" t="s">
        <v>1572</v>
      </c>
      <c r="K238" s="15" t="n">
        <f aca="false">LEN(J238)</f>
        <v>66</v>
      </c>
      <c r="L238" s="3" t="s">
        <v>1573</v>
      </c>
      <c r="M238" s="15" t="n">
        <f aca="false">LEN(L238)</f>
        <v>160</v>
      </c>
      <c r="N238" s="3" t="s">
        <v>1574</v>
      </c>
      <c r="O238" s="15"/>
      <c r="P238" s="16"/>
      <c r="Q238" s="15"/>
      <c r="R238" s="15" t="s">
        <v>1575</v>
      </c>
      <c r="S238" s="15" t="n">
        <f aca="false">COUNTIF('Page-Keyword Map'!$A$2:$A$668,B238)</f>
        <v>0</v>
      </c>
      <c r="T238" s="16" t="n">
        <f aca="false">SUMIF('Page-Keyword Map'!$A$2:$A$668,B238,'Page-Keyword Map'!$H$2:$H$668)</f>
        <v>0</v>
      </c>
      <c r="U238" s="15" t="n">
        <f aca="false">COUNTIFS('Page-Keyword Map'!$A$2:$A$668,B238,'Page-Keyword Map'!$E$2:$E$668,"Nationwide")</f>
        <v>0</v>
      </c>
      <c r="V238" s="15" t="n">
        <f aca="false">COUNTIFS('Page-Keyword Map'!$A$2:$A$668,B238,'Page-Keyword Map'!$E$2:$E$668,"Provincial")</f>
        <v>0</v>
      </c>
      <c r="W238" s="15" t="n">
        <f aca="false">COUNTIFS('Page-Keyword Map'!$A$2:$A$668,B238,'Page-Keyword Map'!$E$2:$E$668,"City")</f>
        <v>0</v>
      </c>
      <c r="X238" s="15" t="str">
        <f aca="false">IF(O238="","",IF(ISNUMBER(SEARCH(O238,J238)),"Yes","No"))</f>
        <v/>
      </c>
      <c r="Y238" s="15" t="n">
        <v>0.7</v>
      </c>
      <c r="Z238" s="15" t="s">
        <v>663</v>
      </c>
      <c r="AA238" s="15" t="s">
        <v>131</v>
      </c>
      <c r="AB238" s="17"/>
      <c r="AC238" s="17"/>
    </row>
    <row r="239" customFormat="false" ht="23.85" hidden="false" customHeight="false" outlineLevel="0" collapsed="false">
      <c r="A239" s="15" t="s">
        <v>1576</v>
      </c>
      <c r="B239" s="15" t="s">
        <v>1577</v>
      </c>
      <c r="C239" s="15" t="s">
        <v>656</v>
      </c>
      <c r="D239" s="15" t="s">
        <v>74</v>
      </c>
      <c r="E239" s="15" t="s">
        <v>335</v>
      </c>
      <c r="F239" s="15"/>
      <c r="G239" s="15" t="s">
        <v>715</v>
      </c>
      <c r="H239" s="15"/>
      <c r="I239" s="15" t="s">
        <v>126</v>
      </c>
      <c r="J239" s="3" t="s">
        <v>1578</v>
      </c>
      <c r="K239" s="15" t="n">
        <f aca="false">LEN(J239)</f>
        <v>66</v>
      </c>
      <c r="L239" s="3" t="s">
        <v>1579</v>
      </c>
      <c r="M239" s="15" t="n">
        <f aca="false">LEN(L239)</f>
        <v>133</v>
      </c>
      <c r="N239" s="3" t="s">
        <v>1580</v>
      </c>
      <c r="O239" s="15"/>
      <c r="P239" s="16"/>
      <c r="Q239" s="15"/>
      <c r="R239" s="15" t="s">
        <v>1581</v>
      </c>
      <c r="S239" s="15" t="n">
        <f aca="false">COUNTIF('Page-Keyword Map'!$A$2:$A$668,B239)</f>
        <v>0</v>
      </c>
      <c r="T239" s="16" t="n">
        <f aca="false">SUMIF('Page-Keyword Map'!$A$2:$A$668,B239,'Page-Keyword Map'!$H$2:$H$668)</f>
        <v>0</v>
      </c>
      <c r="U239" s="15" t="n">
        <f aca="false">COUNTIFS('Page-Keyword Map'!$A$2:$A$668,B239,'Page-Keyword Map'!$E$2:$E$668,"Nationwide")</f>
        <v>0</v>
      </c>
      <c r="V239" s="15" t="n">
        <f aca="false">COUNTIFS('Page-Keyword Map'!$A$2:$A$668,B239,'Page-Keyword Map'!$E$2:$E$668,"Provincial")</f>
        <v>0</v>
      </c>
      <c r="W239" s="15" t="n">
        <f aca="false">COUNTIFS('Page-Keyword Map'!$A$2:$A$668,B239,'Page-Keyword Map'!$E$2:$E$668,"City")</f>
        <v>0</v>
      </c>
      <c r="X239" s="15" t="str">
        <f aca="false">IF(O239="","",IF(ISNUMBER(SEARCH(O239,J239)),"Yes","No"))</f>
        <v/>
      </c>
      <c r="Y239" s="15" t="n">
        <v>0.7</v>
      </c>
      <c r="Z239" s="15" t="s">
        <v>663</v>
      </c>
      <c r="AA239" s="15" t="s">
        <v>131</v>
      </c>
      <c r="AB239" s="17"/>
      <c r="AC239" s="17"/>
    </row>
    <row r="240" customFormat="false" ht="23.85" hidden="false" customHeight="false" outlineLevel="0" collapsed="false">
      <c r="A240" s="15" t="s">
        <v>1582</v>
      </c>
      <c r="B240" s="15" t="s">
        <v>1583</v>
      </c>
      <c r="C240" s="15" t="s">
        <v>656</v>
      </c>
      <c r="D240" s="15" t="s">
        <v>74</v>
      </c>
      <c r="E240" s="15" t="s">
        <v>335</v>
      </c>
      <c r="F240" s="15"/>
      <c r="G240" s="15" t="s">
        <v>722</v>
      </c>
      <c r="H240" s="15"/>
      <c r="I240" s="15" t="s">
        <v>126</v>
      </c>
      <c r="J240" s="3" t="s">
        <v>1584</v>
      </c>
      <c r="K240" s="15" t="n">
        <f aca="false">LEN(J240)</f>
        <v>79</v>
      </c>
      <c r="L240" s="3" t="s">
        <v>1585</v>
      </c>
      <c r="M240" s="15" t="n">
        <f aca="false">LEN(L240)</f>
        <v>163</v>
      </c>
      <c r="N240" s="3" t="s">
        <v>1586</v>
      </c>
      <c r="O240" s="15"/>
      <c r="P240" s="16"/>
      <c r="Q240" s="15"/>
      <c r="R240" s="15" t="s">
        <v>1587</v>
      </c>
      <c r="S240" s="15" t="n">
        <f aca="false">COUNTIF('Page-Keyword Map'!$A$2:$A$668,B240)</f>
        <v>0</v>
      </c>
      <c r="T240" s="16" t="n">
        <f aca="false">SUMIF('Page-Keyword Map'!$A$2:$A$668,B240,'Page-Keyword Map'!$H$2:$H$668)</f>
        <v>0</v>
      </c>
      <c r="U240" s="15" t="n">
        <f aca="false">COUNTIFS('Page-Keyword Map'!$A$2:$A$668,B240,'Page-Keyword Map'!$E$2:$E$668,"Nationwide")</f>
        <v>0</v>
      </c>
      <c r="V240" s="15" t="n">
        <f aca="false">COUNTIFS('Page-Keyword Map'!$A$2:$A$668,B240,'Page-Keyword Map'!$E$2:$E$668,"Provincial")</f>
        <v>0</v>
      </c>
      <c r="W240" s="15" t="n">
        <f aca="false">COUNTIFS('Page-Keyword Map'!$A$2:$A$668,B240,'Page-Keyword Map'!$E$2:$E$668,"City")</f>
        <v>0</v>
      </c>
      <c r="X240" s="15" t="str">
        <f aca="false">IF(O240="","",IF(ISNUMBER(SEARCH(O240,J240)),"Yes","No"))</f>
        <v/>
      </c>
      <c r="Y240" s="15" t="n">
        <v>0.7</v>
      </c>
      <c r="Z240" s="15" t="s">
        <v>663</v>
      </c>
      <c r="AA240" s="15" t="s">
        <v>131</v>
      </c>
      <c r="AB240" s="17"/>
      <c r="AC240" s="17"/>
    </row>
    <row r="241" customFormat="false" ht="23.85" hidden="false" customHeight="false" outlineLevel="0" collapsed="false">
      <c r="A241" s="15" t="s">
        <v>1588</v>
      </c>
      <c r="B241" s="15" t="s">
        <v>1589</v>
      </c>
      <c r="C241" s="15" t="s">
        <v>656</v>
      </c>
      <c r="D241" s="15" t="s">
        <v>74</v>
      </c>
      <c r="E241" s="15" t="s">
        <v>335</v>
      </c>
      <c r="F241" s="15"/>
      <c r="G241" s="15" t="s">
        <v>729</v>
      </c>
      <c r="H241" s="15"/>
      <c r="I241" s="15" t="s">
        <v>126</v>
      </c>
      <c r="J241" s="3" t="s">
        <v>1590</v>
      </c>
      <c r="K241" s="15" t="n">
        <f aca="false">LEN(J241)</f>
        <v>65</v>
      </c>
      <c r="L241" s="3" t="s">
        <v>1591</v>
      </c>
      <c r="M241" s="15" t="n">
        <f aca="false">LEN(L241)</f>
        <v>143</v>
      </c>
      <c r="N241" s="3" t="s">
        <v>1592</v>
      </c>
      <c r="O241" s="15"/>
      <c r="P241" s="16"/>
      <c r="Q241" s="15"/>
      <c r="R241" s="15" t="s">
        <v>1593</v>
      </c>
      <c r="S241" s="15" t="n">
        <f aca="false">COUNTIF('Page-Keyword Map'!$A$2:$A$668,B241)</f>
        <v>0</v>
      </c>
      <c r="T241" s="16" t="n">
        <f aca="false">SUMIF('Page-Keyword Map'!$A$2:$A$668,B241,'Page-Keyword Map'!$H$2:$H$668)</f>
        <v>0</v>
      </c>
      <c r="U241" s="15" t="n">
        <f aca="false">COUNTIFS('Page-Keyword Map'!$A$2:$A$668,B241,'Page-Keyword Map'!$E$2:$E$668,"Nationwide")</f>
        <v>0</v>
      </c>
      <c r="V241" s="15" t="n">
        <f aca="false">COUNTIFS('Page-Keyword Map'!$A$2:$A$668,B241,'Page-Keyword Map'!$E$2:$E$668,"Provincial")</f>
        <v>0</v>
      </c>
      <c r="W241" s="15" t="n">
        <f aca="false">COUNTIFS('Page-Keyword Map'!$A$2:$A$668,B241,'Page-Keyword Map'!$E$2:$E$668,"City")</f>
        <v>0</v>
      </c>
      <c r="X241" s="15" t="str">
        <f aca="false">IF(O241="","",IF(ISNUMBER(SEARCH(O241,J241)),"Yes","No"))</f>
        <v/>
      </c>
      <c r="Y241" s="15" t="n">
        <v>0.7</v>
      </c>
      <c r="Z241" s="15" t="s">
        <v>663</v>
      </c>
      <c r="AA241" s="15" t="s">
        <v>131</v>
      </c>
      <c r="AB241" s="17"/>
      <c r="AC241" s="17"/>
    </row>
    <row r="242" customFormat="false" ht="23.85" hidden="false" customHeight="false" outlineLevel="0" collapsed="false">
      <c r="A242" s="15" t="s">
        <v>1594</v>
      </c>
      <c r="B242" s="15" t="s">
        <v>1595</v>
      </c>
      <c r="C242" s="15" t="s">
        <v>656</v>
      </c>
      <c r="D242" s="15" t="s">
        <v>74</v>
      </c>
      <c r="E242" s="15" t="s">
        <v>335</v>
      </c>
      <c r="F242" s="15"/>
      <c r="G242" s="15" t="s">
        <v>736</v>
      </c>
      <c r="H242" s="15"/>
      <c r="I242" s="15" t="s">
        <v>126</v>
      </c>
      <c r="J242" s="3" t="s">
        <v>1596</v>
      </c>
      <c r="K242" s="15" t="n">
        <f aca="false">LEN(J242)</f>
        <v>71</v>
      </c>
      <c r="L242" s="3" t="s">
        <v>1597</v>
      </c>
      <c r="M242" s="15" t="n">
        <f aca="false">LEN(L242)</f>
        <v>143</v>
      </c>
      <c r="N242" s="3" t="s">
        <v>1598</v>
      </c>
      <c r="O242" s="15"/>
      <c r="P242" s="16"/>
      <c r="Q242" s="15"/>
      <c r="R242" s="15" t="s">
        <v>1599</v>
      </c>
      <c r="S242" s="15" t="n">
        <f aca="false">COUNTIF('Page-Keyword Map'!$A$2:$A$668,B242)</f>
        <v>0</v>
      </c>
      <c r="T242" s="16" t="n">
        <f aca="false">SUMIF('Page-Keyword Map'!$A$2:$A$668,B242,'Page-Keyword Map'!$H$2:$H$668)</f>
        <v>0</v>
      </c>
      <c r="U242" s="15" t="n">
        <f aca="false">COUNTIFS('Page-Keyword Map'!$A$2:$A$668,B242,'Page-Keyword Map'!$E$2:$E$668,"Nationwide")</f>
        <v>0</v>
      </c>
      <c r="V242" s="15" t="n">
        <f aca="false">COUNTIFS('Page-Keyword Map'!$A$2:$A$668,B242,'Page-Keyword Map'!$E$2:$E$668,"Provincial")</f>
        <v>0</v>
      </c>
      <c r="W242" s="15" t="n">
        <f aca="false">COUNTIFS('Page-Keyword Map'!$A$2:$A$668,B242,'Page-Keyword Map'!$E$2:$E$668,"City")</f>
        <v>0</v>
      </c>
      <c r="X242" s="15" t="str">
        <f aca="false">IF(O242="","",IF(ISNUMBER(SEARCH(O242,J242)),"Yes","No"))</f>
        <v/>
      </c>
      <c r="Y242" s="15" t="n">
        <v>0.7</v>
      </c>
      <c r="Z242" s="15" t="s">
        <v>663</v>
      </c>
      <c r="AA242" s="15" t="s">
        <v>131</v>
      </c>
      <c r="AB242" s="17"/>
      <c r="AC242" s="17"/>
    </row>
    <row r="243" customFormat="false" ht="23.85" hidden="false" customHeight="false" outlineLevel="0" collapsed="false">
      <c r="A243" s="15" t="s">
        <v>1600</v>
      </c>
      <c r="B243" s="15" t="s">
        <v>1601</v>
      </c>
      <c r="C243" s="15" t="s">
        <v>656</v>
      </c>
      <c r="D243" s="15" t="s">
        <v>74</v>
      </c>
      <c r="E243" s="15" t="s">
        <v>335</v>
      </c>
      <c r="F243" s="15"/>
      <c r="G243" s="15" t="s">
        <v>743</v>
      </c>
      <c r="H243" s="15"/>
      <c r="I243" s="15" t="s">
        <v>126</v>
      </c>
      <c r="J243" s="3" t="s">
        <v>1602</v>
      </c>
      <c r="K243" s="15" t="n">
        <f aca="false">LEN(J243)</f>
        <v>64</v>
      </c>
      <c r="L243" s="3" t="s">
        <v>1603</v>
      </c>
      <c r="M243" s="15" t="n">
        <f aca="false">LEN(L243)</f>
        <v>162</v>
      </c>
      <c r="N243" s="3" t="s">
        <v>1604</v>
      </c>
      <c r="O243" s="15"/>
      <c r="P243" s="16"/>
      <c r="Q243" s="15"/>
      <c r="R243" s="15" t="s">
        <v>1605</v>
      </c>
      <c r="S243" s="15" t="n">
        <f aca="false">COUNTIF('Page-Keyword Map'!$A$2:$A$668,B243)</f>
        <v>0</v>
      </c>
      <c r="T243" s="16" t="n">
        <f aca="false">SUMIF('Page-Keyword Map'!$A$2:$A$668,B243,'Page-Keyword Map'!$H$2:$H$668)</f>
        <v>0</v>
      </c>
      <c r="U243" s="15" t="n">
        <f aca="false">COUNTIFS('Page-Keyword Map'!$A$2:$A$668,B243,'Page-Keyword Map'!$E$2:$E$668,"Nationwide")</f>
        <v>0</v>
      </c>
      <c r="V243" s="15" t="n">
        <f aca="false">COUNTIFS('Page-Keyword Map'!$A$2:$A$668,B243,'Page-Keyword Map'!$E$2:$E$668,"Provincial")</f>
        <v>0</v>
      </c>
      <c r="W243" s="15" t="n">
        <f aca="false">COUNTIFS('Page-Keyword Map'!$A$2:$A$668,B243,'Page-Keyword Map'!$E$2:$E$668,"City")</f>
        <v>0</v>
      </c>
      <c r="X243" s="15" t="str">
        <f aca="false">IF(O243="","",IF(ISNUMBER(SEARCH(O243,J243)),"Yes","No"))</f>
        <v/>
      </c>
      <c r="Y243" s="15" t="n">
        <v>0.7</v>
      </c>
      <c r="Z243" s="15" t="s">
        <v>663</v>
      </c>
      <c r="AA243" s="15" t="s">
        <v>131</v>
      </c>
      <c r="AB243" s="17"/>
      <c r="AC243" s="17"/>
    </row>
    <row r="244" customFormat="false" ht="23.85" hidden="false" customHeight="false" outlineLevel="0" collapsed="false">
      <c r="A244" s="15" t="s">
        <v>1606</v>
      </c>
      <c r="B244" s="15" t="s">
        <v>1607</v>
      </c>
      <c r="C244" s="15" t="s">
        <v>656</v>
      </c>
      <c r="D244" s="15" t="s">
        <v>91</v>
      </c>
      <c r="E244" s="15" t="s">
        <v>342</v>
      </c>
      <c r="F244" s="15"/>
      <c r="G244" s="15" t="s">
        <v>657</v>
      </c>
      <c r="H244" s="15"/>
      <c r="I244" s="15" t="s">
        <v>126</v>
      </c>
      <c r="J244" s="3" t="s">
        <v>1608</v>
      </c>
      <c r="K244" s="15" t="n">
        <f aca="false">LEN(J244)</f>
        <v>79</v>
      </c>
      <c r="L244" s="3" t="s">
        <v>1609</v>
      </c>
      <c r="M244" s="15" t="n">
        <f aca="false">LEN(L244)</f>
        <v>162</v>
      </c>
      <c r="N244" s="3" t="s">
        <v>1610</v>
      </c>
      <c r="O244" s="15"/>
      <c r="P244" s="16"/>
      <c r="Q244" s="15"/>
      <c r="R244" s="15" t="s">
        <v>1611</v>
      </c>
      <c r="S244" s="15" t="n">
        <f aca="false">COUNTIF('Page-Keyword Map'!$A$2:$A$668,B244)</f>
        <v>0</v>
      </c>
      <c r="T244" s="16" t="n">
        <f aca="false">SUMIF('Page-Keyword Map'!$A$2:$A$668,B244,'Page-Keyword Map'!$H$2:$H$668)</f>
        <v>0</v>
      </c>
      <c r="U244" s="15" t="n">
        <f aca="false">COUNTIFS('Page-Keyword Map'!$A$2:$A$668,B244,'Page-Keyword Map'!$E$2:$E$668,"Nationwide")</f>
        <v>0</v>
      </c>
      <c r="V244" s="15" t="n">
        <f aca="false">COUNTIFS('Page-Keyword Map'!$A$2:$A$668,B244,'Page-Keyword Map'!$E$2:$E$668,"Provincial")</f>
        <v>0</v>
      </c>
      <c r="W244" s="15" t="n">
        <f aca="false">COUNTIFS('Page-Keyword Map'!$A$2:$A$668,B244,'Page-Keyword Map'!$E$2:$E$668,"City")</f>
        <v>0</v>
      </c>
      <c r="X244" s="15" t="str">
        <f aca="false">IF(O244="","",IF(ISNUMBER(SEARCH(O244,J244)),"Yes","No"))</f>
        <v/>
      </c>
      <c r="Y244" s="15" t="n">
        <v>0.7</v>
      </c>
      <c r="Z244" s="15" t="s">
        <v>663</v>
      </c>
      <c r="AA244" s="15" t="s">
        <v>131</v>
      </c>
      <c r="AB244" s="17"/>
      <c r="AC244" s="17"/>
    </row>
    <row r="245" customFormat="false" ht="23.85" hidden="false" customHeight="false" outlineLevel="0" collapsed="false">
      <c r="A245" s="15" t="s">
        <v>1612</v>
      </c>
      <c r="B245" s="15" t="s">
        <v>1613</v>
      </c>
      <c r="C245" s="15" t="s">
        <v>656</v>
      </c>
      <c r="D245" s="15" t="s">
        <v>91</v>
      </c>
      <c r="E245" s="15" t="s">
        <v>342</v>
      </c>
      <c r="F245" s="15"/>
      <c r="G245" s="15" t="s">
        <v>666</v>
      </c>
      <c r="H245" s="15"/>
      <c r="I245" s="15" t="s">
        <v>126</v>
      </c>
      <c r="J245" s="3" t="s">
        <v>1614</v>
      </c>
      <c r="K245" s="15" t="n">
        <f aca="false">LEN(J245)</f>
        <v>88</v>
      </c>
      <c r="L245" s="3" t="s">
        <v>1615</v>
      </c>
      <c r="M245" s="15" t="n">
        <f aca="false">LEN(L245)</f>
        <v>165</v>
      </c>
      <c r="N245" s="3" t="s">
        <v>1616</v>
      </c>
      <c r="O245" s="15"/>
      <c r="P245" s="16"/>
      <c r="Q245" s="15"/>
      <c r="R245" s="15" t="s">
        <v>1617</v>
      </c>
      <c r="S245" s="15" t="n">
        <f aca="false">COUNTIF('Page-Keyword Map'!$A$2:$A$668,B245)</f>
        <v>0</v>
      </c>
      <c r="T245" s="16" t="n">
        <f aca="false">SUMIF('Page-Keyword Map'!$A$2:$A$668,B245,'Page-Keyword Map'!$H$2:$H$668)</f>
        <v>0</v>
      </c>
      <c r="U245" s="15" t="n">
        <f aca="false">COUNTIFS('Page-Keyword Map'!$A$2:$A$668,B245,'Page-Keyword Map'!$E$2:$E$668,"Nationwide")</f>
        <v>0</v>
      </c>
      <c r="V245" s="15" t="n">
        <f aca="false">COUNTIFS('Page-Keyword Map'!$A$2:$A$668,B245,'Page-Keyword Map'!$E$2:$E$668,"Provincial")</f>
        <v>0</v>
      </c>
      <c r="W245" s="15" t="n">
        <f aca="false">COUNTIFS('Page-Keyword Map'!$A$2:$A$668,B245,'Page-Keyword Map'!$E$2:$E$668,"City")</f>
        <v>0</v>
      </c>
      <c r="X245" s="15" t="str">
        <f aca="false">IF(O245="","",IF(ISNUMBER(SEARCH(O245,J245)),"Yes","No"))</f>
        <v/>
      </c>
      <c r="Y245" s="15" t="n">
        <v>0.7</v>
      </c>
      <c r="Z245" s="15" t="s">
        <v>663</v>
      </c>
      <c r="AA245" s="15" t="s">
        <v>131</v>
      </c>
      <c r="AB245" s="17"/>
      <c r="AC245" s="17"/>
    </row>
    <row r="246" customFormat="false" ht="23.85" hidden="false" customHeight="false" outlineLevel="0" collapsed="false">
      <c r="A246" s="15" t="s">
        <v>1618</v>
      </c>
      <c r="B246" s="15" t="s">
        <v>1619</v>
      </c>
      <c r="C246" s="15" t="s">
        <v>656</v>
      </c>
      <c r="D246" s="15" t="s">
        <v>91</v>
      </c>
      <c r="E246" s="15" t="s">
        <v>342</v>
      </c>
      <c r="F246" s="15"/>
      <c r="G246" s="15" t="s">
        <v>673</v>
      </c>
      <c r="H246" s="15"/>
      <c r="I246" s="15" t="s">
        <v>126</v>
      </c>
      <c r="J246" s="3" t="s">
        <v>1620</v>
      </c>
      <c r="K246" s="15" t="n">
        <f aca="false">LEN(J246)</f>
        <v>80</v>
      </c>
      <c r="L246" s="3" t="s">
        <v>1621</v>
      </c>
      <c r="M246" s="15" t="n">
        <f aca="false">LEN(L246)</f>
        <v>148</v>
      </c>
      <c r="N246" s="3" t="s">
        <v>1622</v>
      </c>
      <c r="O246" s="15"/>
      <c r="P246" s="16"/>
      <c r="Q246" s="15"/>
      <c r="R246" s="15" t="s">
        <v>1623</v>
      </c>
      <c r="S246" s="15" t="n">
        <f aca="false">COUNTIF('Page-Keyword Map'!$A$2:$A$668,B246)</f>
        <v>0</v>
      </c>
      <c r="T246" s="16" t="n">
        <f aca="false">SUMIF('Page-Keyword Map'!$A$2:$A$668,B246,'Page-Keyword Map'!$H$2:$H$668)</f>
        <v>0</v>
      </c>
      <c r="U246" s="15" t="n">
        <f aca="false">COUNTIFS('Page-Keyword Map'!$A$2:$A$668,B246,'Page-Keyword Map'!$E$2:$E$668,"Nationwide")</f>
        <v>0</v>
      </c>
      <c r="V246" s="15" t="n">
        <f aca="false">COUNTIFS('Page-Keyword Map'!$A$2:$A$668,B246,'Page-Keyword Map'!$E$2:$E$668,"Provincial")</f>
        <v>0</v>
      </c>
      <c r="W246" s="15" t="n">
        <f aca="false">COUNTIFS('Page-Keyword Map'!$A$2:$A$668,B246,'Page-Keyword Map'!$E$2:$E$668,"City")</f>
        <v>0</v>
      </c>
      <c r="X246" s="15" t="str">
        <f aca="false">IF(O246="","",IF(ISNUMBER(SEARCH(O246,J246)),"Yes","No"))</f>
        <v/>
      </c>
      <c r="Y246" s="15" t="n">
        <v>0.7</v>
      </c>
      <c r="Z246" s="15" t="s">
        <v>663</v>
      </c>
      <c r="AA246" s="15" t="s">
        <v>131</v>
      </c>
      <c r="AB246" s="17"/>
      <c r="AC246" s="17"/>
    </row>
    <row r="247" customFormat="false" ht="23.85" hidden="false" customHeight="false" outlineLevel="0" collapsed="false">
      <c r="A247" s="15" t="s">
        <v>1624</v>
      </c>
      <c r="B247" s="15" t="s">
        <v>1625</v>
      </c>
      <c r="C247" s="15" t="s">
        <v>656</v>
      </c>
      <c r="D247" s="15" t="s">
        <v>91</v>
      </c>
      <c r="E247" s="15" t="s">
        <v>342</v>
      </c>
      <c r="F247" s="15"/>
      <c r="G247" s="15" t="s">
        <v>680</v>
      </c>
      <c r="H247" s="15"/>
      <c r="I247" s="15" t="s">
        <v>126</v>
      </c>
      <c r="J247" s="3" t="s">
        <v>1626</v>
      </c>
      <c r="K247" s="15" t="n">
        <f aca="false">LEN(J247)</f>
        <v>85</v>
      </c>
      <c r="L247" s="3" t="s">
        <v>1627</v>
      </c>
      <c r="M247" s="15" t="n">
        <f aca="false">LEN(L247)</f>
        <v>158</v>
      </c>
      <c r="N247" s="3" t="s">
        <v>1628</v>
      </c>
      <c r="O247" s="15"/>
      <c r="P247" s="16"/>
      <c r="Q247" s="15"/>
      <c r="R247" s="15" t="s">
        <v>1629</v>
      </c>
      <c r="S247" s="15" t="n">
        <f aca="false">COUNTIF('Page-Keyword Map'!$A$2:$A$668,B247)</f>
        <v>0</v>
      </c>
      <c r="T247" s="16" t="n">
        <f aca="false">SUMIF('Page-Keyword Map'!$A$2:$A$668,B247,'Page-Keyword Map'!$H$2:$H$668)</f>
        <v>0</v>
      </c>
      <c r="U247" s="15" t="n">
        <f aca="false">COUNTIFS('Page-Keyword Map'!$A$2:$A$668,B247,'Page-Keyword Map'!$E$2:$E$668,"Nationwide")</f>
        <v>0</v>
      </c>
      <c r="V247" s="15" t="n">
        <f aca="false">COUNTIFS('Page-Keyword Map'!$A$2:$A$668,B247,'Page-Keyword Map'!$E$2:$E$668,"Provincial")</f>
        <v>0</v>
      </c>
      <c r="W247" s="15" t="n">
        <f aca="false">COUNTIFS('Page-Keyword Map'!$A$2:$A$668,B247,'Page-Keyword Map'!$E$2:$E$668,"City")</f>
        <v>0</v>
      </c>
      <c r="X247" s="15" t="str">
        <f aca="false">IF(O247="","",IF(ISNUMBER(SEARCH(O247,J247)),"Yes","No"))</f>
        <v/>
      </c>
      <c r="Y247" s="15" t="n">
        <v>0.7</v>
      </c>
      <c r="Z247" s="15" t="s">
        <v>663</v>
      </c>
      <c r="AA247" s="15" t="s">
        <v>131</v>
      </c>
      <c r="AB247" s="17"/>
      <c r="AC247" s="17"/>
    </row>
    <row r="248" customFormat="false" ht="23.85" hidden="false" customHeight="false" outlineLevel="0" collapsed="false">
      <c r="A248" s="15" t="s">
        <v>1630</v>
      </c>
      <c r="B248" s="15" t="s">
        <v>1631</v>
      </c>
      <c r="C248" s="15" t="s">
        <v>656</v>
      </c>
      <c r="D248" s="15" t="s">
        <v>91</v>
      </c>
      <c r="E248" s="15" t="s">
        <v>342</v>
      </c>
      <c r="F248" s="15"/>
      <c r="G248" s="15" t="s">
        <v>687</v>
      </c>
      <c r="H248" s="15"/>
      <c r="I248" s="15" t="s">
        <v>126</v>
      </c>
      <c r="J248" s="3" t="s">
        <v>1632</v>
      </c>
      <c r="K248" s="15" t="n">
        <f aca="false">LEN(J248)</f>
        <v>97</v>
      </c>
      <c r="L248" s="3" t="s">
        <v>1633</v>
      </c>
      <c r="M248" s="15" t="n">
        <f aca="false">LEN(L248)</f>
        <v>162</v>
      </c>
      <c r="N248" s="3" t="s">
        <v>1634</v>
      </c>
      <c r="O248" s="15"/>
      <c r="P248" s="16"/>
      <c r="Q248" s="15"/>
      <c r="R248" s="15" t="s">
        <v>1635</v>
      </c>
      <c r="S248" s="15" t="n">
        <f aca="false">COUNTIF('Page-Keyword Map'!$A$2:$A$668,B248)</f>
        <v>0</v>
      </c>
      <c r="T248" s="16" t="n">
        <f aca="false">SUMIF('Page-Keyword Map'!$A$2:$A$668,B248,'Page-Keyword Map'!$H$2:$H$668)</f>
        <v>0</v>
      </c>
      <c r="U248" s="15" t="n">
        <f aca="false">COUNTIFS('Page-Keyword Map'!$A$2:$A$668,B248,'Page-Keyword Map'!$E$2:$E$668,"Nationwide")</f>
        <v>0</v>
      </c>
      <c r="V248" s="15" t="n">
        <f aca="false">COUNTIFS('Page-Keyword Map'!$A$2:$A$668,B248,'Page-Keyword Map'!$E$2:$E$668,"Provincial")</f>
        <v>0</v>
      </c>
      <c r="W248" s="15" t="n">
        <f aca="false">COUNTIFS('Page-Keyword Map'!$A$2:$A$668,B248,'Page-Keyword Map'!$E$2:$E$668,"City")</f>
        <v>0</v>
      </c>
      <c r="X248" s="15" t="str">
        <f aca="false">IF(O248="","",IF(ISNUMBER(SEARCH(O248,J248)),"Yes","No"))</f>
        <v/>
      </c>
      <c r="Y248" s="15" t="n">
        <v>0.7</v>
      </c>
      <c r="Z248" s="15" t="s">
        <v>663</v>
      </c>
      <c r="AA248" s="15" t="s">
        <v>131</v>
      </c>
      <c r="AB248" s="17"/>
      <c r="AC248" s="17"/>
    </row>
    <row r="249" customFormat="false" ht="23.85" hidden="false" customHeight="false" outlineLevel="0" collapsed="false">
      <c r="A249" s="15" t="s">
        <v>1636</v>
      </c>
      <c r="B249" s="15" t="s">
        <v>1637</v>
      </c>
      <c r="C249" s="15" t="s">
        <v>656</v>
      </c>
      <c r="D249" s="15" t="s">
        <v>91</v>
      </c>
      <c r="E249" s="15" t="s">
        <v>342</v>
      </c>
      <c r="F249" s="15"/>
      <c r="G249" s="15" t="s">
        <v>694</v>
      </c>
      <c r="H249" s="15"/>
      <c r="I249" s="15" t="s">
        <v>126</v>
      </c>
      <c r="J249" s="3" t="s">
        <v>1638</v>
      </c>
      <c r="K249" s="15" t="n">
        <f aca="false">LEN(J249)</f>
        <v>93</v>
      </c>
      <c r="L249" s="3" t="s">
        <v>1639</v>
      </c>
      <c r="M249" s="15" t="n">
        <f aca="false">LEN(L249)</f>
        <v>164</v>
      </c>
      <c r="N249" s="3" t="s">
        <v>1640</v>
      </c>
      <c r="O249" s="15"/>
      <c r="P249" s="16"/>
      <c r="Q249" s="15"/>
      <c r="R249" s="15" t="s">
        <v>1641</v>
      </c>
      <c r="S249" s="15" t="n">
        <f aca="false">COUNTIF('Page-Keyword Map'!$A$2:$A$668,B249)</f>
        <v>0</v>
      </c>
      <c r="T249" s="16" t="n">
        <f aca="false">SUMIF('Page-Keyword Map'!$A$2:$A$668,B249,'Page-Keyword Map'!$H$2:$H$668)</f>
        <v>0</v>
      </c>
      <c r="U249" s="15" t="n">
        <f aca="false">COUNTIFS('Page-Keyword Map'!$A$2:$A$668,B249,'Page-Keyword Map'!$E$2:$E$668,"Nationwide")</f>
        <v>0</v>
      </c>
      <c r="V249" s="15" t="n">
        <f aca="false">COUNTIFS('Page-Keyword Map'!$A$2:$A$668,B249,'Page-Keyword Map'!$E$2:$E$668,"Provincial")</f>
        <v>0</v>
      </c>
      <c r="W249" s="15" t="n">
        <f aca="false">COUNTIFS('Page-Keyword Map'!$A$2:$A$668,B249,'Page-Keyword Map'!$E$2:$E$668,"City")</f>
        <v>0</v>
      </c>
      <c r="X249" s="15" t="str">
        <f aca="false">IF(O249="","",IF(ISNUMBER(SEARCH(O249,J249)),"Yes","No"))</f>
        <v/>
      </c>
      <c r="Y249" s="15" t="n">
        <v>0.7</v>
      </c>
      <c r="Z249" s="15" t="s">
        <v>663</v>
      </c>
      <c r="AA249" s="15" t="s">
        <v>131</v>
      </c>
      <c r="AB249" s="17"/>
      <c r="AC249" s="17"/>
    </row>
    <row r="250" customFormat="false" ht="23.85" hidden="false" customHeight="false" outlineLevel="0" collapsed="false">
      <c r="A250" s="15" t="s">
        <v>1642</v>
      </c>
      <c r="B250" s="15" t="s">
        <v>1643</v>
      </c>
      <c r="C250" s="15" t="s">
        <v>656</v>
      </c>
      <c r="D250" s="15" t="s">
        <v>91</v>
      </c>
      <c r="E250" s="15" t="s">
        <v>342</v>
      </c>
      <c r="F250" s="15"/>
      <c r="G250" s="15" t="s">
        <v>701</v>
      </c>
      <c r="H250" s="15"/>
      <c r="I250" s="15" t="s">
        <v>126</v>
      </c>
      <c r="J250" s="3" t="s">
        <v>1644</v>
      </c>
      <c r="K250" s="15" t="n">
        <f aca="false">LEN(J250)</f>
        <v>83</v>
      </c>
      <c r="L250" s="3" t="s">
        <v>1645</v>
      </c>
      <c r="M250" s="15" t="n">
        <f aca="false">LEN(L250)</f>
        <v>160</v>
      </c>
      <c r="N250" s="3" t="s">
        <v>1646</v>
      </c>
      <c r="O250" s="15"/>
      <c r="P250" s="16"/>
      <c r="Q250" s="15"/>
      <c r="R250" s="15" t="s">
        <v>1647</v>
      </c>
      <c r="S250" s="15" t="n">
        <f aca="false">COUNTIF('Page-Keyword Map'!$A$2:$A$668,B250)</f>
        <v>0</v>
      </c>
      <c r="T250" s="16" t="n">
        <f aca="false">SUMIF('Page-Keyword Map'!$A$2:$A$668,B250,'Page-Keyword Map'!$H$2:$H$668)</f>
        <v>0</v>
      </c>
      <c r="U250" s="15" t="n">
        <f aca="false">COUNTIFS('Page-Keyword Map'!$A$2:$A$668,B250,'Page-Keyword Map'!$E$2:$E$668,"Nationwide")</f>
        <v>0</v>
      </c>
      <c r="V250" s="15" t="n">
        <f aca="false">COUNTIFS('Page-Keyword Map'!$A$2:$A$668,B250,'Page-Keyword Map'!$E$2:$E$668,"Provincial")</f>
        <v>0</v>
      </c>
      <c r="W250" s="15" t="n">
        <f aca="false">COUNTIFS('Page-Keyword Map'!$A$2:$A$668,B250,'Page-Keyword Map'!$E$2:$E$668,"City")</f>
        <v>0</v>
      </c>
      <c r="X250" s="15" t="str">
        <f aca="false">IF(O250="","",IF(ISNUMBER(SEARCH(O250,J250)),"Yes","No"))</f>
        <v/>
      </c>
      <c r="Y250" s="15" t="n">
        <v>0.7</v>
      </c>
      <c r="Z250" s="15" t="s">
        <v>663</v>
      </c>
      <c r="AA250" s="15" t="s">
        <v>131</v>
      </c>
      <c r="AB250" s="17"/>
      <c r="AC250" s="17"/>
    </row>
    <row r="251" customFormat="false" ht="23.85" hidden="false" customHeight="false" outlineLevel="0" collapsed="false">
      <c r="A251" s="15" t="s">
        <v>1648</v>
      </c>
      <c r="B251" s="15" t="s">
        <v>1649</v>
      </c>
      <c r="C251" s="15" t="s">
        <v>656</v>
      </c>
      <c r="D251" s="15" t="s">
        <v>91</v>
      </c>
      <c r="E251" s="15" t="s">
        <v>342</v>
      </c>
      <c r="F251" s="15"/>
      <c r="G251" s="15" t="s">
        <v>708</v>
      </c>
      <c r="H251" s="15"/>
      <c r="I251" s="15" t="s">
        <v>126</v>
      </c>
      <c r="J251" s="3" t="s">
        <v>1650</v>
      </c>
      <c r="K251" s="15" t="n">
        <f aca="false">LEN(J251)</f>
        <v>79</v>
      </c>
      <c r="L251" s="3" t="s">
        <v>1651</v>
      </c>
      <c r="M251" s="15" t="n">
        <f aca="false">LEN(L251)</f>
        <v>163</v>
      </c>
      <c r="N251" s="3" t="s">
        <v>1652</v>
      </c>
      <c r="O251" s="15"/>
      <c r="P251" s="16"/>
      <c r="Q251" s="15"/>
      <c r="R251" s="15" t="s">
        <v>1653</v>
      </c>
      <c r="S251" s="15" t="n">
        <f aca="false">COUNTIF('Page-Keyword Map'!$A$2:$A$668,B251)</f>
        <v>0</v>
      </c>
      <c r="T251" s="16" t="n">
        <f aca="false">SUMIF('Page-Keyword Map'!$A$2:$A$668,B251,'Page-Keyword Map'!$H$2:$H$668)</f>
        <v>0</v>
      </c>
      <c r="U251" s="15" t="n">
        <f aca="false">COUNTIFS('Page-Keyword Map'!$A$2:$A$668,B251,'Page-Keyword Map'!$E$2:$E$668,"Nationwide")</f>
        <v>0</v>
      </c>
      <c r="V251" s="15" t="n">
        <f aca="false">COUNTIFS('Page-Keyword Map'!$A$2:$A$668,B251,'Page-Keyword Map'!$E$2:$E$668,"Provincial")</f>
        <v>0</v>
      </c>
      <c r="W251" s="15" t="n">
        <f aca="false">COUNTIFS('Page-Keyword Map'!$A$2:$A$668,B251,'Page-Keyword Map'!$E$2:$E$668,"City")</f>
        <v>0</v>
      </c>
      <c r="X251" s="15" t="str">
        <f aca="false">IF(O251="","",IF(ISNUMBER(SEARCH(O251,J251)),"Yes","No"))</f>
        <v/>
      </c>
      <c r="Y251" s="15" t="n">
        <v>0.7</v>
      </c>
      <c r="Z251" s="15" t="s">
        <v>663</v>
      </c>
      <c r="AA251" s="15" t="s">
        <v>131</v>
      </c>
      <c r="AB251" s="17"/>
      <c r="AC251" s="17"/>
    </row>
    <row r="252" customFormat="false" ht="23.85" hidden="false" customHeight="false" outlineLevel="0" collapsed="false">
      <c r="A252" s="15" t="s">
        <v>1654</v>
      </c>
      <c r="B252" s="15" t="s">
        <v>1655</v>
      </c>
      <c r="C252" s="15" t="s">
        <v>656</v>
      </c>
      <c r="D252" s="15" t="s">
        <v>91</v>
      </c>
      <c r="E252" s="15" t="s">
        <v>342</v>
      </c>
      <c r="F252" s="15"/>
      <c r="G252" s="15" t="s">
        <v>715</v>
      </c>
      <c r="H252" s="15"/>
      <c r="I252" s="15" t="s">
        <v>126</v>
      </c>
      <c r="J252" s="3" t="s">
        <v>1656</v>
      </c>
      <c r="K252" s="15" t="n">
        <f aca="false">LEN(J252)</f>
        <v>79</v>
      </c>
      <c r="L252" s="3" t="s">
        <v>1657</v>
      </c>
      <c r="M252" s="15" t="n">
        <f aca="false">LEN(L252)</f>
        <v>146</v>
      </c>
      <c r="N252" s="3" t="s">
        <v>1658</v>
      </c>
      <c r="O252" s="15"/>
      <c r="P252" s="16"/>
      <c r="Q252" s="15"/>
      <c r="R252" s="15" t="s">
        <v>1659</v>
      </c>
      <c r="S252" s="15" t="n">
        <f aca="false">COUNTIF('Page-Keyword Map'!$A$2:$A$668,B252)</f>
        <v>0</v>
      </c>
      <c r="T252" s="16" t="n">
        <f aca="false">SUMIF('Page-Keyword Map'!$A$2:$A$668,B252,'Page-Keyword Map'!$H$2:$H$668)</f>
        <v>0</v>
      </c>
      <c r="U252" s="15" t="n">
        <f aca="false">COUNTIFS('Page-Keyword Map'!$A$2:$A$668,B252,'Page-Keyword Map'!$E$2:$E$668,"Nationwide")</f>
        <v>0</v>
      </c>
      <c r="V252" s="15" t="n">
        <f aca="false">COUNTIFS('Page-Keyword Map'!$A$2:$A$668,B252,'Page-Keyword Map'!$E$2:$E$668,"Provincial")</f>
        <v>0</v>
      </c>
      <c r="W252" s="15" t="n">
        <f aca="false">COUNTIFS('Page-Keyword Map'!$A$2:$A$668,B252,'Page-Keyword Map'!$E$2:$E$668,"City")</f>
        <v>0</v>
      </c>
      <c r="X252" s="15" t="str">
        <f aca="false">IF(O252="","",IF(ISNUMBER(SEARCH(O252,J252)),"Yes","No"))</f>
        <v/>
      </c>
      <c r="Y252" s="15" t="n">
        <v>0.7</v>
      </c>
      <c r="Z252" s="15" t="s">
        <v>663</v>
      </c>
      <c r="AA252" s="15" t="s">
        <v>131</v>
      </c>
      <c r="AB252" s="17"/>
      <c r="AC252" s="17"/>
    </row>
    <row r="253" customFormat="false" ht="23.85" hidden="false" customHeight="false" outlineLevel="0" collapsed="false">
      <c r="A253" s="15" t="s">
        <v>1660</v>
      </c>
      <c r="B253" s="15" t="s">
        <v>1661</v>
      </c>
      <c r="C253" s="15" t="s">
        <v>656</v>
      </c>
      <c r="D253" s="15" t="s">
        <v>91</v>
      </c>
      <c r="E253" s="15" t="s">
        <v>342</v>
      </c>
      <c r="F253" s="15"/>
      <c r="G253" s="15" t="s">
        <v>722</v>
      </c>
      <c r="H253" s="15"/>
      <c r="I253" s="15" t="s">
        <v>126</v>
      </c>
      <c r="J253" s="3" t="s">
        <v>1662</v>
      </c>
      <c r="K253" s="15" t="n">
        <f aca="false">LEN(J253)</f>
        <v>92</v>
      </c>
      <c r="L253" s="3" t="s">
        <v>1663</v>
      </c>
      <c r="M253" s="15" t="n">
        <f aca="false">LEN(L253)</f>
        <v>157</v>
      </c>
      <c r="N253" s="3" t="s">
        <v>1664</v>
      </c>
      <c r="O253" s="15"/>
      <c r="P253" s="16"/>
      <c r="Q253" s="15"/>
      <c r="R253" s="15" t="s">
        <v>1665</v>
      </c>
      <c r="S253" s="15" t="n">
        <f aca="false">COUNTIF('Page-Keyword Map'!$A$2:$A$668,B253)</f>
        <v>0</v>
      </c>
      <c r="T253" s="16" t="n">
        <f aca="false">SUMIF('Page-Keyword Map'!$A$2:$A$668,B253,'Page-Keyword Map'!$H$2:$H$668)</f>
        <v>0</v>
      </c>
      <c r="U253" s="15" t="n">
        <f aca="false">COUNTIFS('Page-Keyword Map'!$A$2:$A$668,B253,'Page-Keyword Map'!$E$2:$E$668,"Nationwide")</f>
        <v>0</v>
      </c>
      <c r="V253" s="15" t="n">
        <f aca="false">COUNTIFS('Page-Keyword Map'!$A$2:$A$668,B253,'Page-Keyword Map'!$E$2:$E$668,"Provincial")</f>
        <v>0</v>
      </c>
      <c r="W253" s="15" t="n">
        <f aca="false">COUNTIFS('Page-Keyword Map'!$A$2:$A$668,B253,'Page-Keyword Map'!$E$2:$E$668,"City")</f>
        <v>0</v>
      </c>
      <c r="X253" s="15" t="str">
        <f aca="false">IF(O253="","",IF(ISNUMBER(SEARCH(O253,J253)),"Yes","No"))</f>
        <v/>
      </c>
      <c r="Y253" s="15" t="n">
        <v>0.7</v>
      </c>
      <c r="Z253" s="15" t="s">
        <v>663</v>
      </c>
      <c r="AA253" s="15" t="s">
        <v>131</v>
      </c>
      <c r="AB253" s="17"/>
      <c r="AC253" s="17"/>
    </row>
    <row r="254" customFormat="false" ht="23.85" hidden="false" customHeight="false" outlineLevel="0" collapsed="false">
      <c r="A254" s="15" t="s">
        <v>1666</v>
      </c>
      <c r="B254" s="15" t="s">
        <v>1667</v>
      </c>
      <c r="C254" s="15" t="s">
        <v>656</v>
      </c>
      <c r="D254" s="15" t="s">
        <v>91</v>
      </c>
      <c r="E254" s="15" t="s">
        <v>342</v>
      </c>
      <c r="F254" s="15"/>
      <c r="G254" s="15" t="s">
        <v>729</v>
      </c>
      <c r="H254" s="15"/>
      <c r="I254" s="15" t="s">
        <v>126</v>
      </c>
      <c r="J254" s="3" t="s">
        <v>1668</v>
      </c>
      <c r="K254" s="15" t="n">
        <f aca="false">LEN(J254)</f>
        <v>78</v>
      </c>
      <c r="L254" s="3" t="s">
        <v>1669</v>
      </c>
      <c r="M254" s="15" t="n">
        <f aca="false">LEN(L254)</f>
        <v>156</v>
      </c>
      <c r="N254" s="3" t="s">
        <v>1670</v>
      </c>
      <c r="O254" s="15"/>
      <c r="P254" s="16"/>
      <c r="Q254" s="15"/>
      <c r="R254" s="15" t="s">
        <v>1671</v>
      </c>
      <c r="S254" s="15" t="n">
        <f aca="false">COUNTIF('Page-Keyword Map'!$A$2:$A$668,B254)</f>
        <v>0</v>
      </c>
      <c r="T254" s="16" t="n">
        <f aca="false">SUMIF('Page-Keyword Map'!$A$2:$A$668,B254,'Page-Keyword Map'!$H$2:$H$668)</f>
        <v>0</v>
      </c>
      <c r="U254" s="15" t="n">
        <f aca="false">COUNTIFS('Page-Keyword Map'!$A$2:$A$668,B254,'Page-Keyword Map'!$E$2:$E$668,"Nationwide")</f>
        <v>0</v>
      </c>
      <c r="V254" s="15" t="n">
        <f aca="false">COUNTIFS('Page-Keyword Map'!$A$2:$A$668,B254,'Page-Keyword Map'!$E$2:$E$668,"Provincial")</f>
        <v>0</v>
      </c>
      <c r="W254" s="15" t="n">
        <f aca="false">COUNTIFS('Page-Keyword Map'!$A$2:$A$668,B254,'Page-Keyword Map'!$E$2:$E$668,"City")</f>
        <v>0</v>
      </c>
      <c r="X254" s="15" t="str">
        <f aca="false">IF(O254="","",IF(ISNUMBER(SEARCH(O254,J254)),"Yes","No"))</f>
        <v/>
      </c>
      <c r="Y254" s="15" t="n">
        <v>0.7</v>
      </c>
      <c r="Z254" s="15" t="s">
        <v>663</v>
      </c>
      <c r="AA254" s="15" t="s">
        <v>131</v>
      </c>
      <c r="AB254" s="17"/>
      <c r="AC254" s="17"/>
    </row>
    <row r="255" customFormat="false" ht="23.85" hidden="false" customHeight="false" outlineLevel="0" collapsed="false">
      <c r="A255" s="15" t="s">
        <v>1672</v>
      </c>
      <c r="B255" s="15" t="s">
        <v>1673</v>
      </c>
      <c r="C255" s="15" t="s">
        <v>656</v>
      </c>
      <c r="D255" s="15" t="s">
        <v>91</v>
      </c>
      <c r="E255" s="15" t="s">
        <v>342</v>
      </c>
      <c r="F255" s="15"/>
      <c r="G255" s="15" t="s">
        <v>736</v>
      </c>
      <c r="H255" s="15"/>
      <c r="I255" s="15" t="s">
        <v>126</v>
      </c>
      <c r="J255" s="3" t="s">
        <v>1674</v>
      </c>
      <c r="K255" s="15" t="n">
        <f aca="false">LEN(J255)</f>
        <v>84</v>
      </c>
      <c r="L255" s="3" t="s">
        <v>1675</v>
      </c>
      <c r="M255" s="15" t="n">
        <f aca="false">LEN(L255)</f>
        <v>156</v>
      </c>
      <c r="N255" s="3" t="s">
        <v>1676</v>
      </c>
      <c r="O255" s="15"/>
      <c r="P255" s="16"/>
      <c r="Q255" s="15"/>
      <c r="R255" s="15" t="s">
        <v>1677</v>
      </c>
      <c r="S255" s="15" t="n">
        <f aca="false">COUNTIF('Page-Keyword Map'!$A$2:$A$668,B255)</f>
        <v>0</v>
      </c>
      <c r="T255" s="16" t="n">
        <f aca="false">SUMIF('Page-Keyword Map'!$A$2:$A$668,B255,'Page-Keyword Map'!$H$2:$H$668)</f>
        <v>0</v>
      </c>
      <c r="U255" s="15" t="n">
        <f aca="false">COUNTIFS('Page-Keyword Map'!$A$2:$A$668,B255,'Page-Keyword Map'!$E$2:$E$668,"Nationwide")</f>
        <v>0</v>
      </c>
      <c r="V255" s="15" t="n">
        <f aca="false">COUNTIFS('Page-Keyword Map'!$A$2:$A$668,B255,'Page-Keyword Map'!$E$2:$E$668,"Provincial")</f>
        <v>0</v>
      </c>
      <c r="W255" s="15" t="n">
        <f aca="false">COUNTIFS('Page-Keyword Map'!$A$2:$A$668,B255,'Page-Keyword Map'!$E$2:$E$668,"City")</f>
        <v>0</v>
      </c>
      <c r="X255" s="15" t="str">
        <f aca="false">IF(O255="","",IF(ISNUMBER(SEARCH(O255,J255)),"Yes","No"))</f>
        <v/>
      </c>
      <c r="Y255" s="15" t="n">
        <v>0.7</v>
      </c>
      <c r="Z255" s="15" t="s">
        <v>663</v>
      </c>
      <c r="AA255" s="15" t="s">
        <v>131</v>
      </c>
      <c r="AB255" s="17"/>
      <c r="AC255" s="17"/>
    </row>
    <row r="256" customFormat="false" ht="23.85" hidden="false" customHeight="false" outlineLevel="0" collapsed="false">
      <c r="A256" s="15" t="s">
        <v>1678</v>
      </c>
      <c r="B256" s="15" t="s">
        <v>1679</v>
      </c>
      <c r="C256" s="15" t="s">
        <v>656</v>
      </c>
      <c r="D256" s="15" t="s">
        <v>91</v>
      </c>
      <c r="E256" s="15" t="s">
        <v>342</v>
      </c>
      <c r="F256" s="15"/>
      <c r="G256" s="15" t="s">
        <v>743</v>
      </c>
      <c r="H256" s="15"/>
      <c r="I256" s="15" t="s">
        <v>126</v>
      </c>
      <c r="J256" s="3" t="s">
        <v>1680</v>
      </c>
      <c r="K256" s="15" t="n">
        <f aca="false">LEN(J256)</f>
        <v>77</v>
      </c>
      <c r="L256" s="3" t="s">
        <v>1681</v>
      </c>
      <c r="M256" s="15" t="n">
        <f aca="false">LEN(L256)</f>
        <v>159</v>
      </c>
      <c r="N256" s="3" t="s">
        <v>1682</v>
      </c>
      <c r="O256" s="15"/>
      <c r="P256" s="16"/>
      <c r="Q256" s="15"/>
      <c r="R256" s="15" t="s">
        <v>1683</v>
      </c>
      <c r="S256" s="15" t="n">
        <f aca="false">COUNTIF('Page-Keyword Map'!$A$2:$A$668,B256)</f>
        <v>0</v>
      </c>
      <c r="T256" s="16" t="n">
        <f aca="false">SUMIF('Page-Keyword Map'!$A$2:$A$668,B256,'Page-Keyword Map'!$H$2:$H$668)</f>
        <v>0</v>
      </c>
      <c r="U256" s="15" t="n">
        <f aca="false">COUNTIFS('Page-Keyword Map'!$A$2:$A$668,B256,'Page-Keyword Map'!$E$2:$E$668,"Nationwide")</f>
        <v>0</v>
      </c>
      <c r="V256" s="15" t="n">
        <f aca="false">COUNTIFS('Page-Keyword Map'!$A$2:$A$668,B256,'Page-Keyword Map'!$E$2:$E$668,"Provincial")</f>
        <v>0</v>
      </c>
      <c r="W256" s="15" t="n">
        <f aca="false">COUNTIFS('Page-Keyword Map'!$A$2:$A$668,B256,'Page-Keyword Map'!$E$2:$E$668,"City")</f>
        <v>0</v>
      </c>
      <c r="X256" s="15" t="str">
        <f aca="false">IF(O256="","",IF(ISNUMBER(SEARCH(O256,J256)),"Yes","No"))</f>
        <v/>
      </c>
      <c r="Y256" s="15" t="n">
        <v>0.7</v>
      </c>
      <c r="Z256" s="15" t="s">
        <v>663</v>
      </c>
      <c r="AA256" s="15" t="s">
        <v>131</v>
      </c>
      <c r="AB256" s="17"/>
      <c r="AC256" s="17"/>
    </row>
    <row r="257" customFormat="false" ht="23.85" hidden="false" customHeight="false" outlineLevel="0" collapsed="false">
      <c r="A257" s="15" t="s">
        <v>1684</v>
      </c>
      <c r="B257" s="15" t="s">
        <v>1685</v>
      </c>
      <c r="C257" s="15" t="s">
        <v>656</v>
      </c>
      <c r="D257" s="15" t="s">
        <v>81</v>
      </c>
      <c r="E257" s="15" t="s">
        <v>349</v>
      </c>
      <c r="F257" s="15"/>
      <c r="G257" s="15" t="s">
        <v>657</v>
      </c>
      <c r="H257" s="15"/>
      <c r="I257" s="15" t="s">
        <v>126</v>
      </c>
      <c r="J257" s="3" t="s">
        <v>1686</v>
      </c>
      <c r="K257" s="15" t="n">
        <f aca="false">LEN(J257)</f>
        <v>61</v>
      </c>
      <c r="L257" s="3" t="s">
        <v>1687</v>
      </c>
      <c r="M257" s="15" t="n">
        <f aca="false">LEN(L257)</f>
        <v>155</v>
      </c>
      <c r="N257" s="3" t="s">
        <v>1688</v>
      </c>
      <c r="O257" s="15" t="s">
        <v>1689</v>
      </c>
      <c r="P257" s="16" t="n">
        <v>170</v>
      </c>
      <c r="Q257" s="15" t="s">
        <v>662</v>
      </c>
      <c r="R257" s="15"/>
      <c r="S257" s="15" t="n">
        <f aca="false">COUNTIF('Page-Keyword Map'!$A$2:$A$668,B257)</f>
        <v>1</v>
      </c>
      <c r="T257" s="16" t="n">
        <f aca="false">SUMIF('Page-Keyword Map'!$A$2:$A$668,B257,'Page-Keyword Map'!$H$2:$H$668)</f>
        <v>170</v>
      </c>
      <c r="U257" s="15" t="n">
        <f aca="false">COUNTIFS('Page-Keyword Map'!$A$2:$A$668,B257,'Page-Keyword Map'!$E$2:$E$668,"Nationwide")</f>
        <v>0</v>
      </c>
      <c r="V257" s="15" t="n">
        <f aca="false">COUNTIFS('Page-Keyword Map'!$A$2:$A$668,B257,'Page-Keyword Map'!$E$2:$E$668,"Provincial")</f>
        <v>1</v>
      </c>
      <c r="W257" s="15" t="n">
        <f aca="false">COUNTIFS('Page-Keyword Map'!$A$2:$A$668,B257,'Page-Keyword Map'!$E$2:$E$668,"City")</f>
        <v>0</v>
      </c>
      <c r="X257" s="15" t="str">
        <f aca="false">IF(O257="","",IF(ISNUMBER(SEARCH(O257,J257)),"Yes","No"))</f>
        <v>No</v>
      </c>
      <c r="Y257" s="15" t="n">
        <v>0.7</v>
      </c>
      <c r="Z257" s="15" t="s">
        <v>663</v>
      </c>
      <c r="AA257" s="15" t="s">
        <v>131</v>
      </c>
      <c r="AB257" s="17"/>
      <c r="AC257" s="17"/>
    </row>
    <row r="258" customFormat="false" ht="23.85" hidden="false" customHeight="false" outlineLevel="0" collapsed="false">
      <c r="A258" s="15" t="s">
        <v>1690</v>
      </c>
      <c r="B258" s="15" t="s">
        <v>1691</v>
      </c>
      <c r="C258" s="15" t="s">
        <v>656</v>
      </c>
      <c r="D258" s="15" t="s">
        <v>81</v>
      </c>
      <c r="E258" s="15" t="s">
        <v>349</v>
      </c>
      <c r="F258" s="15"/>
      <c r="G258" s="15" t="s">
        <v>666</v>
      </c>
      <c r="H258" s="15"/>
      <c r="I258" s="15" t="s">
        <v>126</v>
      </c>
      <c r="J258" s="3" t="s">
        <v>1692</v>
      </c>
      <c r="K258" s="15" t="n">
        <f aca="false">LEN(J258)</f>
        <v>70</v>
      </c>
      <c r="L258" s="3" t="s">
        <v>1693</v>
      </c>
      <c r="M258" s="15" t="n">
        <f aca="false">LEN(L258)</f>
        <v>147</v>
      </c>
      <c r="N258" s="3" t="s">
        <v>1694</v>
      </c>
      <c r="O258" s="15" t="s">
        <v>1695</v>
      </c>
      <c r="P258" s="16" t="n">
        <v>190</v>
      </c>
      <c r="Q258" s="15" t="s">
        <v>662</v>
      </c>
      <c r="R258" s="15"/>
      <c r="S258" s="15" t="n">
        <f aca="false">COUNTIF('Page-Keyword Map'!$A$2:$A$668,B258)</f>
        <v>1</v>
      </c>
      <c r="T258" s="16" t="n">
        <f aca="false">SUMIF('Page-Keyword Map'!$A$2:$A$668,B258,'Page-Keyword Map'!$H$2:$H$668)</f>
        <v>190</v>
      </c>
      <c r="U258" s="15" t="n">
        <f aca="false">COUNTIFS('Page-Keyword Map'!$A$2:$A$668,B258,'Page-Keyword Map'!$E$2:$E$668,"Nationwide")</f>
        <v>0</v>
      </c>
      <c r="V258" s="15" t="n">
        <f aca="false">COUNTIFS('Page-Keyword Map'!$A$2:$A$668,B258,'Page-Keyword Map'!$E$2:$E$668,"Provincial")</f>
        <v>1</v>
      </c>
      <c r="W258" s="15" t="n">
        <f aca="false">COUNTIFS('Page-Keyword Map'!$A$2:$A$668,B258,'Page-Keyword Map'!$E$2:$E$668,"City")</f>
        <v>0</v>
      </c>
      <c r="X258" s="15" t="str">
        <f aca="false">IF(O258="","",IF(ISNUMBER(SEARCH(O258,J258)),"Yes","No"))</f>
        <v>No</v>
      </c>
      <c r="Y258" s="15" t="n">
        <v>0.7</v>
      </c>
      <c r="Z258" s="15" t="s">
        <v>663</v>
      </c>
      <c r="AA258" s="15" t="s">
        <v>131</v>
      </c>
      <c r="AB258" s="17"/>
      <c r="AC258" s="17"/>
    </row>
    <row r="259" customFormat="false" ht="23.85" hidden="false" customHeight="false" outlineLevel="0" collapsed="false">
      <c r="A259" s="15" t="s">
        <v>1696</v>
      </c>
      <c r="B259" s="15" t="s">
        <v>1697</v>
      </c>
      <c r="C259" s="15" t="s">
        <v>656</v>
      </c>
      <c r="D259" s="15" t="s">
        <v>81</v>
      </c>
      <c r="E259" s="15" t="s">
        <v>349</v>
      </c>
      <c r="F259" s="15"/>
      <c r="G259" s="15" t="s">
        <v>673</v>
      </c>
      <c r="H259" s="15"/>
      <c r="I259" s="15" t="s">
        <v>126</v>
      </c>
      <c r="J259" s="3" t="s">
        <v>1698</v>
      </c>
      <c r="K259" s="15" t="n">
        <f aca="false">LEN(J259)</f>
        <v>62</v>
      </c>
      <c r="L259" s="3" t="s">
        <v>1699</v>
      </c>
      <c r="M259" s="15" t="n">
        <f aca="false">LEN(L259)</f>
        <v>130</v>
      </c>
      <c r="N259" s="3" t="s">
        <v>1700</v>
      </c>
      <c r="O259" s="15" t="s">
        <v>1701</v>
      </c>
      <c r="P259" s="16" t="n">
        <v>59</v>
      </c>
      <c r="Q259" s="15" t="s">
        <v>662</v>
      </c>
      <c r="R259" s="15"/>
      <c r="S259" s="15" t="n">
        <f aca="false">COUNTIF('Page-Keyword Map'!$A$2:$A$668,B259)</f>
        <v>1</v>
      </c>
      <c r="T259" s="16" t="n">
        <f aca="false">SUMIF('Page-Keyword Map'!$A$2:$A$668,B259,'Page-Keyword Map'!$H$2:$H$668)</f>
        <v>59</v>
      </c>
      <c r="U259" s="15" t="n">
        <f aca="false">COUNTIFS('Page-Keyword Map'!$A$2:$A$668,B259,'Page-Keyword Map'!$E$2:$E$668,"Nationwide")</f>
        <v>0</v>
      </c>
      <c r="V259" s="15" t="n">
        <f aca="false">COUNTIFS('Page-Keyword Map'!$A$2:$A$668,B259,'Page-Keyword Map'!$E$2:$E$668,"Provincial")</f>
        <v>1</v>
      </c>
      <c r="W259" s="15" t="n">
        <f aca="false">COUNTIFS('Page-Keyword Map'!$A$2:$A$668,B259,'Page-Keyword Map'!$E$2:$E$668,"City")</f>
        <v>0</v>
      </c>
      <c r="X259" s="15" t="str">
        <f aca="false">IF(O259="","",IF(ISNUMBER(SEARCH(O259,J259)),"Yes","No"))</f>
        <v>No</v>
      </c>
      <c r="Y259" s="15" t="n">
        <v>0.7</v>
      </c>
      <c r="Z259" s="15" t="s">
        <v>663</v>
      </c>
      <c r="AA259" s="15" t="s">
        <v>131</v>
      </c>
      <c r="AB259" s="17"/>
      <c r="AC259" s="17"/>
    </row>
    <row r="260" customFormat="false" ht="23.85" hidden="false" customHeight="false" outlineLevel="0" collapsed="false">
      <c r="A260" s="15" t="s">
        <v>1702</v>
      </c>
      <c r="B260" s="15" t="s">
        <v>1703</v>
      </c>
      <c r="C260" s="15" t="s">
        <v>656</v>
      </c>
      <c r="D260" s="15" t="s">
        <v>81</v>
      </c>
      <c r="E260" s="15" t="s">
        <v>349</v>
      </c>
      <c r="F260" s="15"/>
      <c r="G260" s="15" t="s">
        <v>680</v>
      </c>
      <c r="H260" s="15"/>
      <c r="I260" s="15" t="s">
        <v>126</v>
      </c>
      <c r="J260" s="3" t="s">
        <v>1704</v>
      </c>
      <c r="K260" s="15" t="n">
        <f aca="false">LEN(J260)</f>
        <v>67</v>
      </c>
      <c r="L260" s="3" t="s">
        <v>1705</v>
      </c>
      <c r="M260" s="15" t="n">
        <f aca="false">LEN(L260)</f>
        <v>140</v>
      </c>
      <c r="N260" s="3" t="s">
        <v>1706</v>
      </c>
      <c r="O260" s="15" t="s">
        <v>1707</v>
      </c>
      <c r="P260" s="16" t="n">
        <v>36</v>
      </c>
      <c r="Q260" s="15" t="s">
        <v>662</v>
      </c>
      <c r="R260" s="15"/>
      <c r="S260" s="15" t="n">
        <f aca="false">COUNTIF('Page-Keyword Map'!$A$2:$A$668,B260)</f>
        <v>1</v>
      </c>
      <c r="T260" s="16" t="n">
        <f aca="false">SUMIF('Page-Keyword Map'!$A$2:$A$668,B260,'Page-Keyword Map'!$H$2:$H$668)</f>
        <v>36</v>
      </c>
      <c r="U260" s="15" t="n">
        <f aca="false">COUNTIFS('Page-Keyword Map'!$A$2:$A$668,B260,'Page-Keyword Map'!$E$2:$E$668,"Nationwide")</f>
        <v>0</v>
      </c>
      <c r="V260" s="15" t="n">
        <f aca="false">COUNTIFS('Page-Keyword Map'!$A$2:$A$668,B260,'Page-Keyword Map'!$E$2:$E$668,"Provincial")</f>
        <v>1</v>
      </c>
      <c r="W260" s="15" t="n">
        <f aca="false">COUNTIFS('Page-Keyword Map'!$A$2:$A$668,B260,'Page-Keyword Map'!$E$2:$E$668,"City")</f>
        <v>0</v>
      </c>
      <c r="X260" s="15" t="str">
        <f aca="false">IF(O260="","",IF(ISNUMBER(SEARCH(O260,J260)),"Yes","No"))</f>
        <v>No</v>
      </c>
      <c r="Y260" s="15" t="n">
        <v>0.7</v>
      </c>
      <c r="Z260" s="15" t="s">
        <v>663</v>
      </c>
      <c r="AA260" s="15" t="s">
        <v>131</v>
      </c>
      <c r="AB260" s="17"/>
      <c r="AC260" s="17"/>
    </row>
    <row r="261" customFormat="false" ht="23.85" hidden="false" customHeight="false" outlineLevel="0" collapsed="false">
      <c r="A261" s="15" t="s">
        <v>1708</v>
      </c>
      <c r="B261" s="15" t="s">
        <v>1709</v>
      </c>
      <c r="C261" s="15" t="s">
        <v>656</v>
      </c>
      <c r="D261" s="15" t="s">
        <v>81</v>
      </c>
      <c r="E261" s="15" t="s">
        <v>349</v>
      </c>
      <c r="F261" s="15"/>
      <c r="G261" s="15" t="s">
        <v>687</v>
      </c>
      <c r="H261" s="15"/>
      <c r="I261" s="15" t="s">
        <v>126</v>
      </c>
      <c r="J261" s="3" t="s">
        <v>1710</v>
      </c>
      <c r="K261" s="15" t="n">
        <f aca="false">LEN(J261)</f>
        <v>79</v>
      </c>
      <c r="L261" s="3" t="s">
        <v>1711</v>
      </c>
      <c r="M261" s="15" t="n">
        <f aca="false">LEN(L261)</f>
        <v>161</v>
      </c>
      <c r="N261" s="3" t="s">
        <v>1712</v>
      </c>
      <c r="O261" s="15" t="s">
        <v>1713</v>
      </c>
      <c r="P261" s="16" t="n">
        <v>25</v>
      </c>
      <c r="Q261" s="15" t="s">
        <v>662</v>
      </c>
      <c r="R261" s="15"/>
      <c r="S261" s="15" t="n">
        <f aca="false">COUNTIF('Page-Keyword Map'!$A$2:$A$668,B261)</f>
        <v>1</v>
      </c>
      <c r="T261" s="16" t="n">
        <f aca="false">SUMIF('Page-Keyword Map'!$A$2:$A$668,B261,'Page-Keyword Map'!$H$2:$H$668)</f>
        <v>25</v>
      </c>
      <c r="U261" s="15" t="n">
        <f aca="false">COUNTIFS('Page-Keyword Map'!$A$2:$A$668,B261,'Page-Keyword Map'!$E$2:$E$668,"Nationwide")</f>
        <v>0</v>
      </c>
      <c r="V261" s="15" t="n">
        <f aca="false">COUNTIFS('Page-Keyword Map'!$A$2:$A$668,B261,'Page-Keyword Map'!$E$2:$E$668,"Provincial")</f>
        <v>1</v>
      </c>
      <c r="W261" s="15" t="n">
        <f aca="false">COUNTIFS('Page-Keyword Map'!$A$2:$A$668,B261,'Page-Keyword Map'!$E$2:$E$668,"City")</f>
        <v>0</v>
      </c>
      <c r="X261" s="15" t="str">
        <f aca="false">IF(O261="","",IF(ISNUMBER(SEARCH(O261,J261)),"Yes","No"))</f>
        <v>No</v>
      </c>
      <c r="Y261" s="15" t="n">
        <v>0.7</v>
      </c>
      <c r="Z261" s="15" t="s">
        <v>663</v>
      </c>
      <c r="AA261" s="15" t="s">
        <v>131</v>
      </c>
      <c r="AB261" s="17"/>
      <c r="AC261" s="17"/>
    </row>
    <row r="262" customFormat="false" ht="23.85" hidden="false" customHeight="false" outlineLevel="0" collapsed="false">
      <c r="A262" s="15" t="s">
        <v>1714</v>
      </c>
      <c r="B262" s="15" t="s">
        <v>1715</v>
      </c>
      <c r="C262" s="15" t="s">
        <v>656</v>
      </c>
      <c r="D262" s="15" t="s">
        <v>81</v>
      </c>
      <c r="E262" s="15" t="s">
        <v>349</v>
      </c>
      <c r="F262" s="15"/>
      <c r="G262" s="15" t="s">
        <v>694</v>
      </c>
      <c r="H262" s="15"/>
      <c r="I262" s="15" t="s">
        <v>126</v>
      </c>
      <c r="J262" s="3" t="s">
        <v>1716</v>
      </c>
      <c r="K262" s="15" t="n">
        <f aca="false">LEN(J262)</f>
        <v>75</v>
      </c>
      <c r="L262" s="3" t="s">
        <v>1717</v>
      </c>
      <c r="M262" s="15" t="n">
        <f aca="false">LEN(L262)</f>
        <v>162</v>
      </c>
      <c r="N262" s="3" t="s">
        <v>1718</v>
      </c>
      <c r="O262" s="15"/>
      <c r="P262" s="16"/>
      <c r="Q262" s="15"/>
      <c r="R262" s="15" t="s">
        <v>1719</v>
      </c>
      <c r="S262" s="15" t="n">
        <f aca="false">COUNTIF('Page-Keyword Map'!$A$2:$A$668,B262)</f>
        <v>0</v>
      </c>
      <c r="T262" s="16" t="n">
        <f aca="false">SUMIF('Page-Keyword Map'!$A$2:$A$668,B262,'Page-Keyword Map'!$H$2:$H$668)</f>
        <v>0</v>
      </c>
      <c r="U262" s="15" t="n">
        <f aca="false">COUNTIFS('Page-Keyword Map'!$A$2:$A$668,B262,'Page-Keyword Map'!$E$2:$E$668,"Nationwide")</f>
        <v>0</v>
      </c>
      <c r="V262" s="15" t="n">
        <f aca="false">COUNTIFS('Page-Keyword Map'!$A$2:$A$668,B262,'Page-Keyword Map'!$E$2:$E$668,"Provincial")</f>
        <v>0</v>
      </c>
      <c r="W262" s="15" t="n">
        <f aca="false">COUNTIFS('Page-Keyword Map'!$A$2:$A$668,B262,'Page-Keyword Map'!$E$2:$E$668,"City")</f>
        <v>0</v>
      </c>
      <c r="X262" s="15" t="str">
        <f aca="false">IF(O262="","",IF(ISNUMBER(SEARCH(O262,J262)),"Yes","No"))</f>
        <v/>
      </c>
      <c r="Y262" s="15" t="n">
        <v>0.7</v>
      </c>
      <c r="Z262" s="15" t="s">
        <v>663</v>
      </c>
      <c r="AA262" s="15" t="s">
        <v>131</v>
      </c>
      <c r="AB262" s="17"/>
      <c r="AC262" s="17"/>
    </row>
    <row r="263" customFormat="false" ht="23.85" hidden="false" customHeight="false" outlineLevel="0" collapsed="false">
      <c r="A263" s="15" t="s">
        <v>1720</v>
      </c>
      <c r="B263" s="15" t="s">
        <v>1721</v>
      </c>
      <c r="C263" s="15" t="s">
        <v>656</v>
      </c>
      <c r="D263" s="15" t="s">
        <v>81</v>
      </c>
      <c r="E263" s="15" t="s">
        <v>349</v>
      </c>
      <c r="F263" s="15"/>
      <c r="G263" s="15" t="s">
        <v>701</v>
      </c>
      <c r="H263" s="15"/>
      <c r="I263" s="15" t="s">
        <v>126</v>
      </c>
      <c r="J263" s="3" t="s">
        <v>1722</v>
      </c>
      <c r="K263" s="15" t="n">
        <f aca="false">LEN(J263)</f>
        <v>65</v>
      </c>
      <c r="L263" s="3" t="s">
        <v>1723</v>
      </c>
      <c r="M263" s="15" t="n">
        <f aca="false">LEN(L263)</f>
        <v>159</v>
      </c>
      <c r="N263" s="3" t="s">
        <v>1724</v>
      </c>
      <c r="O263" s="15" t="s">
        <v>1725</v>
      </c>
      <c r="P263" s="16" t="n">
        <v>44</v>
      </c>
      <c r="Q263" s="15" t="s">
        <v>662</v>
      </c>
      <c r="R263" s="15"/>
      <c r="S263" s="15" t="n">
        <f aca="false">COUNTIF('Page-Keyword Map'!$A$2:$A$668,B263)</f>
        <v>1</v>
      </c>
      <c r="T263" s="16" t="n">
        <f aca="false">SUMIF('Page-Keyword Map'!$A$2:$A$668,B263,'Page-Keyword Map'!$H$2:$H$668)</f>
        <v>44</v>
      </c>
      <c r="U263" s="15" t="n">
        <f aca="false">COUNTIFS('Page-Keyword Map'!$A$2:$A$668,B263,'Page-Keyword Map'!$E$2:$E$668,"Nationwide")</f>
        <v>0</v>
      </c>
      <c r="V263" s="15" t="n">
        <f aca="false">COUNTIFS('Page-Keyword Map'!$A$2:$A$668,B263,'Page-Keyword Map'!$E$2:$E$668,"Provincial")</f>
        <v>1</v>
      </c>
      <c r="W263" s="15" t="n">
        <f aca="false">COUNTIFS('Page-Keyword Map'!$A$2:$A$668,B263,'Page-Keyword Map'!$E$2:$E$668,"City")</f>
        <v>0</v>
      </c>
      <c r="X263" s="15" t="str">
        <f aca="false">IF(O263="","",IF(ISNUMBER(SEARCH(O263,J263)),"Yes","No"))</f>
        <v>No</v>
      </c>
      <c r="Y263" s="15" t="n">
        <v>0.7</v>
      </c>
      <c r="Z263" s="15" t="s">
        <v>663</v>
      </c>
      <c r="AA263" s="15" t="s">
        <v>131</v>
      </c>
      <c r="AB263" s="17"/>
      <c r="AC263" s="17"/>
    </row>
    <row r="264" customFormat="false" ht="23.85" hidden="false" customHeight="false" outlineLevel="0" collapsed="false">
      <c r="A264" s="15" t="s">
        <v>1726</v>
      </c>
      <c r="B264" s="15" t="s">
        <v>1727</v>
      </c>
      <c r="C264" s="15" t="s">
        <v>656</v>
      </c>
      <c r="D264" s="15" t="s">
        <v>81</v>
      </c>
      <c r="E264" s="15" t="s">
        <v>349</v>
      </c>
      <c r="F264" s="15"/>
      <c r="G264" s="15" t="s">
        <v>708</v>
      </c>
      <c r="H264" s="15"/>
      <c r="I264" s="15" t="s">
        <v>126</v>
      </c>
      <c r="J264" s="3" t="s">
        <v>1728</v>
      </c>
      <c r="K264" s="15" t="n">
        <f aca="false">LEN(J264)</f>
        <v>61</v>
      </c>
      <c r="L264" s="3" t="s">
        <v>1729</v>
      </c>
      <c r="M264" s="15" t="n">
        <f aca="false">LEN(L264)</f>
        <v>163</v>
      </c>
      <c r="N264" s="3" t="s">
        <v>1730</v>
      </c>
      <c r="O264" s="15"/>
      <c r="P264" s="16"/>
      <c r="Q264" s="15"/>
      <c r="R264" s="15" t="s">
        <v>1731</v>
      </c>
      <c r="S264" s="15" t="n">
        <f aca="false">COUNTIF('Page-Keyword Map'!$A$2:$A$668,B264)</f>
        <v>0</v>
      </c>
      <c r="T264" s="16" t="n">
        <f aca="false">SUMIF('Page-Keyword Map'!$A$2:$A$668,B264,'Page-Keyword Map'!$H$2:$H$668)</f>
        <v>0</v>
      </c>
      <c r="U264" s="15" t="n">
        <f aca="false">COUNTIFS('Page-Keyword Map'!$A$2:$A$668,B264,'Page-Keyword Map'!$E$2:$E$668,"Nationwide")</f>
        <v>0</v>
      </c>
      <c r="V264" s="15" t="n">
        <f aca="false">COUNTIFS('Page-Keyword Map'!$A$2:$A$668,B264,'Page-Keyword Map'!$E$2:$E$668,"Provincial")</f>
        <v>0</v>
      </c>
      <c r="W264" s="15" t="n">
        <f aca="false">COUNTIFS('Page-Keyword Map'!$A$2:$A$668,B264,'Page-Keyword Map'!$E$2:$E$668,"City")</f>
        <v>0</v>
      </c>
      <c r="X264" s="15" t="str">
        <f aca="false">IF(O264="","",IF(ISNUMBER(SEARCH(O264,J264)),"Yes","No"))</f>
        <v/>
      </c>
      <c r="Y264" s="15" t="n">
        <v>0.7</v>
      </c>
      <c r="Z264" s="15" t="s">
        <v>663</v>
      </c>
      <c r="AA264" s="15" t="s">
        <v>131</v>
      </c>
      <c r="AB264" s="17"/>
      <c r="AC264" s="17"/>
    </row>
    <row r="265" customFormat="false" ht="23.85" hidden="false" customHeight="false" outlineLevel="0" collapsed="false">
      <c r="A265" s="15" t="s">
        <v>1732</v>
      </c>
      <c r="B265" s="15" t="s">
        <v>1733</v>
      </c>
      <c r="C265" s="15" t="s">
        <v>656</v>
      </c>
      <c r="D265" s="15" t="s">
        <v>81</v>
      </c>
      <c r="E265" s="15" t="s">
        <v>349</v>
      </c>
      <c r="F265" s="15"/>
      <c r="G265" s="15" t="s">
        <v>715</v>
      </c>
      <c r="H265" s="15"/>
      <c r="I265" s="15" t="s">
        <v>126</v>
      </c>
      <c r="J265" s="3" t="s">
        <v>1734</v>
      </c>
      <c r="K265" s="15" t="n">
        <f aca="false">LEN(J265)</f>
        <v>61</v>
      </c>
      <c r="L265" s="3" t="s">
        <v>1735</v>
      </c>
      <c r="M265" s="15" t="n">
        <f aca="false">LEN(L265)</f>
        <v>128</v>
      </c>
      <c r="N265" s="3" t="s">
        <v>1736</v>
      </c>
      <c r="O265" s="15" t="s">
        <v>1737</v>
      </c>
      <c r="P265" s="16" t="n">
        <v>550</v>
      </c>
      <c r="Q265" s="15" t="s">
        <v>662</v>
      </c>
      <c r="R265" s="15"/>
      <c r="S265" s="15" t="n">
        <f aca="false">COUNTIF('Page-Keyword Map'!$A$2:$A$668,B265)</f>
        <v>1</v>
      </c>
      <c r="T265" s="16" t="n">
        <f aca="false">SUMIF('Page-Keyword Map'!$A$2:$A$668,B265,'Page-Keyword Map'!$H$2:$H$668)</f>
        <v>550</v>
      </c>
      <c r="U265" s="15" t="n">
        <f aca="false">COUNTIFS('Page-Keyword Map'!$A$2:$A$668,B265,'Page-Keyword Map'!$E$2:$E$668,"Nationwide")</f>
        <v>0</v>
      </c>
      <c r="V265" s="15" t="n">
        <f aca="false">COUNTIFS('Page-Keyword Map'!$A$2:$A$668,B265,'Page-Keyword Map'!$E$2:$E$668,"Provincial")</f>
        <v>1</v>
      </c>
      <c r="W265" s="15" t="n">
        <f aca="false">COUNTIFS('Page-Keyword Map'!$A$2:$A$668,B265,'Page-Keyword Map'!$E$2:$E$668,"City")</f>
        <v>0</v>
      </c>
      <c r="X265" s="15" t="str">
        <f aca="false">IF(O265="","",IF(ISNUMBER(SEARCH(O265,J265)),"Yes","No"))</f>
        <v>No</v>
      </c>
      <c r="Y265" s="15" t="n">
        <v>0.7</v>
      </c>
      <c r="Z265" s="15" t="s">
        <v>663</v>
      </c>
      <c r="AA265" s="15" t="s">
        <v>131</v>
      </c>
      <c r="AB265" s="17"/>
      <c r="AC265" s="17"/>
    </row>
    <row r="266" customFormat="false" ht="23.85" hidden="false" customHeight="false" outlineLevel="0" collapsed="false">
      <c r="A266" s="15" t="s">
        <v>1738</v>
      </c>
      <c r="B266" s="15" t="s">
        <v>1739</v>
      </c>
      <c r="C266" s="15" t="s">
        <v>656</v>
      </c>
      <c r="D266" s="15" t="s">
        <v>81</v>
      </c>
      <c r="E266" s="15" t="s">
        <v>349</v>
      </c>
      <c r="F266" s="15"/>
      <c r="G266" s="15" t="s">
        <v>722</v>
      </c>
      <c r="H266" s="15"/>
      <c r="I266" s="15" t="s">
        <v>126</v>
      </c>
      <c r="J266" s="3" t="s">
        <v>1740</v>
      </c>
      <c r="K266" s="15" t="n">
        <f aca="false">LEN(J266)</f>
        <v>74</v>
      </c>
      <c r="L266" s="3" t="s">
        <v>1741</v>
      </c>
      <c r="M266" s="15" t="n">
        <f aca="false">LEN(L266)</f>
        <v>158</v>
      </c>
      <c r="N266" s="3" t="s">
        <v>1742</v>
      </c>
      <c r="O266" s="15"/>
      <c r="P266" s="16"/>
      <c r="Q266" s="15"/>
      <c r="R266" s="15" t="s">
        <v>1743</v>
      </c>
      <c r="S266" s="15" t="n">
        <f aca="false">COUNTIF('Page-Keyword Map'!$A$2:$A$668,B266)</f>
        <v>0</v>
      </c>
      <c r="T266" s="16" t="n">
        <f aca="false">SUMIF('Page-Keyword Map'!$A$2:$A$668,B266,'Page-Keyword Map'!$H$2:$H$668)</f>
        <v>0</v>
      </c>
      <c r="U266" s="15" t="n">
        <f aca="false">COUNTIFS('Page-Keyword Map'!$A$2:$A$668,B266,'Page-Keyword Map'!$E$2:$E$668,"Nationwide")</f>
        <v>0</v>
      </c>
      <c r="V266" s="15" t="n">
        <f aca="false">COUNTIFS('Page-Keyword Map'!$A$2:$A$668,B266,'Page-Keyword Map'!$E$2:$E$668,"Provincial")</f>
        <v>0</v>
      </c>
      <c r="W266" s="15" t="n">
        <f aca="false">COUNTIFS('Page-Keyword Map'!$A$2:$A$668,B266,'Page-Keyword Map'!$E$2:$E$668,"City")</f>
        <v>0</v>
      </c>
      <c r="X266" s="15" t="str">
        <f aca="false">IF(O266="","",IF(ISNUMBER(SEARCH(O266,J266)),"Yes","No"))</f>
        <v/>
      </c>
      <c r="Y266" s="15" t="n">
        <v>0.7</v>
      </c>
      <c r="Z266" s="15" t="s">
        <v>663</v>
      </c>
      <c r="AA266" s="15" t="s">
        <v>131</v>
      </c>
      <c r="AB266" s="17"/>
      <c r="AC266" s="17"/>
    </row>
    <row r="267" customFormat="false" ht="23.85" hidden="false" customHeight="false" outlineLevel="0" collapsed="false">
      <c r="A267" s="15" t="s">
        <v>1744</v>
      </c>
      <c r="B267" s="15" t="s">
        <v>1745</v>
      </c>
      <c r="C267" s="15" t="s">
        <v>656</v>
      </c>
      <c r="D267" s="15" t="s">
        <v>81</v>
      </c>
      <c r="E267" s="15" t="s">
        <v>349</v>
      </c>
      <c r="F267" s="15"/>
      <c r="G267" s="15" t="s">
        <v>729</v>
      </c>
      <c r="H267" s="15"/>
      <c r="I267" s="15" t="s">
        <v>126</v>
      </c>
      <c r="J267" s="3" t="s">
        <v>1746</v>
      </c>
      <c r="K267" s="15" t="n">
        <f aca="false">LEN(J267)</f>
        <v>60</v>
      </c>
      <c r="L267" s="3" t="s">
        <v>1747</v>
      </c>
      <c r="M267" s="15" t="n">
        <f aca="false">LEN(L267)</f>
        <v>138</v>
      </c>
      <c r="N267" s="3" t="s">
        <v>1748</v>
      </c>
      <c r="O267" s="15" t="s">
        <v>1749</v>
      </c>
      <c r="P267" s="16" t="n">
        <v>96</v>
      </c>
      <c r="Q267" s="15" t="s">
        <v>662</v>
      </c>
      <c r="R267" s="15"/>
      <c r="S267" s="15" t="n">
        <f aca="false">COUNTIF('Page-Keyword Map'!$A$2:$A$668,B267)</f>
        <v>1</v>
      </c>
      <c r="T267" s="16" t="n">
        <f aca="false">SUMIF('Page-Keyword Map'!$A$2:$A$668,B267,'Page-Keyword Map'!$H$2:$H$668)</f>
        <v>96</v>
      </c>
      <c r="U267" s="15" t="n">
        <f aca="false">COUNTIFS('Page-Keyword Map'!$A$2:$A$668,B267,'Page-Keyword Map'!$E$2:$E$668,"Nationwide")</f>
        <v>0</v>
      </c>
      <c r="V267" s="15" t="n">
        <f aca="false">COUNTIFS('Page-Keyword Map'!$A$2:$A$668,B267,'Page-Keyword Map'!$E$2:$E$668,"Provincial")</f>
        <v>1</v>
      </c>
      <c r="W267" s="15" t="n">
        <f aca="false">COUNTIFS('Page-Keyword Map'!$A$2:$A$668,B267,'Page-Keyword Map'!$E$2:$E$668,"City")</f>
        <v>0</v>
      </c>
      <c r="X267" s="15" t="str">
        <f aca="false">IF(O267="","",IF(ISNUMBER(SEARCH(O267,J267)),"Yes","No"))</f>
        <v>No</v>
      </c>
      <c r="Y267" s="15" t="n">
        <v>0.7</v>
      </c>
      <c r="Z267" s="15" t="s">
        <v>663</v>
      </c>
      <c r="AA267" s="15" t="s">
        <v>131</v>
      </c>
      <c r="AB267" s="17"/>
      <c r="AC267" s="17"/>
    </row>
    <row r="268" customFormat="false" ht="23.85" hidden="false" customHeight="false" outlineLevel="0" collapsed="false">
      <c r="A268" s="15" t="s">
        <v>1750</v>
      </c>
      <c r="B268" s="15" t="s">
        <v>1751</v>
      </c>
      <c r="C268" s="15" t="s">
        <v>656</v>
      </c>
      <c r="D268" s="15" t="s">
        <v>81</v>
      </c>
      <c r="E268" s="15" t="s">
        <v>349</v>
      </c>
      <c r="F268" s="15"/>
      <c r="G268" s="15" t="s">
        <v>736</v>
      </c>
      <c r="H268" s="15"/>
      <c r="I268" s="15" t="s">
        <v>126</v>
      </c>
      <c r="J268" s="3" t="s">
        <v>1752</v>
      </c>
      <c r="K268" s="15" t="n">
        <f aca="false">LEN(J268)</f>
        <v>66</v>
      </c>
      <c r="L268" s="3" t="s">
        <v>1753</v>
      </c>
      <c r="M268" s="15" t="n">
        <f aca="false">LEN(L268)</f>
        <v>138</v>
      </c>
      <c r="N268" s="3" t="s">
        <v>1754</v>
      </c>
      <c r="O268" s="15" t="s">
        <v>1755</v>
      </c>
      <c r="P268" s="16" t="n">
        <v>50</v>
      </c>
      <c r="Q268" s="15" t="s">
        <v>662</v>
      </c>
      <c r="R268" s="15"/>
      <c r="S268" s="15" t="n">
        <f aca="false">COUNTIF('Page-Keyword Map'!$A$2:$A$668,B268)</f>
        <v>1</v>
      </c>
      <c r="T268" s="16" t="n">
        <f aca="false">SUMIF('Page-Keyword Map'!$A$2:$A$668,B268,'Page-Keyword Map'!$H$2:$H$668)</f>
        <v>50</v>
      </c>
      <c r="U268" s="15" t="n">
        <f aca="false">COUNTIFS('Page-Keyword Map'!$A$2:$A$668,B268,'Page-Keyword Map'!$E$2:$E$668,"Nationwide")</f>
        <v>0</v>
      </c>
      <c r="V268" s="15" t="n">
        <f aca="false">COUNTIFS('Page-Keyword Map'!$A$2:$A$668,B268,'Page-Keyword Map'!$E$2:$E$668,"Provincial")</f>
        <v>1</v>
      </c>
      <c r="W268" s="15" t="n">
        <f aca="false">COUNTIFS('Page-Keyword Map'!$A$2:$A$668,B268,'Page-Keyword Map'!$E$2:$E$668,"City")</f>
        <v>0</v>
      </c>
      <c r="X268" s="15" t="str">
        <f aca="false">IF(O268="","",IF(ISNUMBER(SEARCH(O268,J268)),"Yes","No"))</f>
        <v>No</v>
      </c>
      <c r="Y268" s="15" t="n">
        <v>0.7</v>
      </c>
      <c r="Z268" s="15" t="s">
        <v>663</v>
      </c>
      <c r="AA268" s="15" t="s">
        <v>131</v>
      </c>
      <c r="AB268" s="17"/>
      <c r="AC268" s="17"/>
    </row>
    <row r="269" customFormat="false" ht="23.85" hidden="false" customHeight="false" outlineLevel="0" collapsed="false">
      <c r="A269" s="15" t="s">
        <v>1756</v>
      </c>
      <c r="B269" s="15" t="s">
        <v>1757</v>
      </c>
      <c r="C269" s="15" t="s">
        <v>656</v>
      </c>
      <c r="D269" s="15" t="s">
        <v>81</v>
      </c>
      <c r="E269" s="15" t="s">
        <v>349</v>
      </c>
      <c r="F269" s="15"/>
      <c r="G269" s="15" t="s">
        <v>743</v>
      </c>
      <c r="H269" s="15"/>
      <c r="I269" s="15" t="s">
        <v>126</v>
      </c>
      <c r="J269" s="3" t="s">
        <v>1758</v>
      </c>
      <c r="K269" s="15" t="n">
        <f aca="false">LEN(J269)</f>
        <v>59</v>
      </c>
      <c r="L269" s="3" t="s">
        <v>1759</v>
      </c>
      <c r="M269" s="15" t="n">
        <f aca="false">LEN(L269)</f>
        <v>157</v>
      </c>
      <c r="N269" s="3" t="s">
        <v>1760</v>
      </c>
      <c r="O269" s="15"/>
      <c r="P269" s="16"/>
      <c r="Q269" s="15"/>
      <c r="R269" s="15" t="s">
        <v>1761</v>
      </c>
      <c r="S269" s="15" t="n">
        <f aca="false">COUNTIF('Page-Keyword Map'!$A$2:$A$668,B269)</f>
        <v>0</v>
      </c>
      <c r="T269" s="16" t="n">
        <f aca="false">SUMIF('Page-Keyword Map'!$A$2:$A$668,B269,'Page-Keyword Map'!$H$2:$H$668)</f>
        <v>0</v>
      </c>
      <c r="U269" s="15" t="n">
        <f aca="false">COUNTIFS('Page-Keyword Map'!$A$2:$A$668,B269,'Page-Keyword Map'!$E$2:$E$668,"Nationwide")</f>
        <v>0</v>
      </c>
      <c r="V269" s="15" t="n">
        <f aca="false">COUNTIFS('Page-Keyword Map'!$A$2:$A$668,B269,'Page-Keyword Map'!$E$2:$E$668,"Provincial")</f>
        <v>0</v>
      </c>
      <c r="W269" s="15" t="n">
        <f aca="false">COUNTIFS('Page-Keyword Map'!$A$2:$A$668,B269,'Page-Keyword Map'!$E$2:$E$668,"City")</f>
        <v>0</v>
      </c>
      <c r="X269" s="15" t="str">
        <f aca="false">IF(O269="","",IF(ISNUMBER(SEARCH(O269,J269)),"Yes","No"))</f>
        <v/>
      </c>
      <c r="Y269" s="15" t="n">
        <v>0.7</v>
      </c>
      <c r="Z269" s="15" t="s">
        <v>663</v>
      </c>
      <c r="AA269" s="15" t="s">
        <v>131</v>
      </c>
      <c r="AB269" s="17"/>
      <c r="AC269" s="17"/>
    </row>
    <row r="270" customFormat="false" ht="23.85" hidden="false" customHeight="false" outlineLevel="0" collapsed="false">
      <c r="A270" s="15" t="s">
        <v>1762</v>
      </c>
      <c r="B270" s="15" t="s">
        <v>1763</v>
      </c>
      <c r="C270" s="15" t="s">
        <v>656</v>
      </c>
      <c r="D270" s="15" t="s">
        <v>86</v>
      </c>
      <c r="E270" s="15" t="s">
        <v>356</v>
      </c>
      <c r="F270" s="15"/>
      <c r="G270" s="15" t="s">
        <v>657</v>
      </c>
      <c r="H270" s="15"/>
      <c r="I270" s="15" t="s">
        <v>126</v>
      </c>
      <c r="J270" s="3" t="s">
        <v>1764</v>
      </c>
      <c r="K270" s="15" t="n">
        <f aca="false">LEN(J270)</f>
        <v>57</v>
      </c>
      <c r="L270" s="3" t="s">
        <v>1765</v>
      </c>
      <c r="M270" s="15" t="n">
        <f aca="false">LEN(L270)</f>
        <v>151</v>
      </c>
      <c r="N270" s="3" t="s">
        <v>1766</v>
      </c>
      <c r="O270" s="15" t="s">
        <v>1767</v>
      </c>
      <c r="P270" s="16" t="n">
        <v>500</v>
      </c>
      <c r="Q270" s="15" t="s">
        <v>662</v>
      </c>
      <c r="R270" s="15"/>
      <c r="S270" s="15" t="n">
        <f aca="false">COUNTIF('Page-Keyword Map'!$A$2:$A$668,B270)</f>
        <v>2</v>
      </c>
      <c r="T270" s="16" t="n">
        <f aca="false">SUMIF('Page-Keyword Map'!$A$2:$A$668,B270,'Page-Keyword Map'!$H$2:$H$668)</f>
        <v>760</v>
      </c>
      <c r="U270" s="15" t="n">
        <f aca="false">COUNTIFS('Page-Keyword Map'!$A$2:$A$668,B270,'Page-Keyword Map'!$E$2:$E$668,"Nationwide")</f>
        <v>0</v>
      </c>
      <c r="V270" s="15" t="n">
        <f aca="false">COUNTIFS('Page-Keyword Map'!$A$2:$A$668,B270,'Page-Keyword Map'!$E$2:$E$668,"Provincial")</f>
        <v>2</v>
      </c>
      <c r="W270" s="15" t="n">
        <f aca="false">COUNTIFS('Page-Keyword Map'!$A$2:$A$668,B270,'Page-Keyword Map'!$E$2:$E$668,"City")</f>
        <v>0</v>
      </c>
      <c r="X270" s="15" t="str">
        <f aca="false">IF(O270="","",IF(ISNUMBER(SEARCH(O270,J270)),"Yes","No"))</f>
        <v>No</v>
      </c>
      <c r="Y270" s="15" t="n">
        <v>0.7</v>
      </c>
      <c r="Z270" s="15" t="s">
        <v>663</v>
      </c>
      <c r="AA270" s="15" t="s">
        <v>131</v>
      </c>
      <c r="AB270" s="17"/>
      <c r="AC270" s="17"/>
    </row>
    <row r="271" customFormat="false" ht="23.85" hidden="false" customHeight="false" outlineLevel="0" collapsed="false">
      <c r="A271" s="15" t="s">
        <v>1768</v>
      </c>
      <c r="B271" s="15" t="s">
        <v>1769</v>
      </c>
      <c r="C271" s="15" t="s">
        <v>656</v>
      </c>
      <c r="D271" s="15" t="s">
        <v>86</v>
      </c>
      <c r="E271" s="15" t="s">
        <v>356</v>
      </c>
      <c r="F271" s="15"/>
      <c r="G271" s="15" t="s">
        <v>666</v>
      </c>
      <c r="H271" s="15"/>
      <c r="I271" s="15" t="s">
        <v>126</v>
      </c>
      <c r="J271" s="3" t="s">
        <v>1770</v>
      </c>
      <c r="K271" s="15" t="n">
        <f aca="false">LEN(J271)</f>
        <v>66</v>
      </c>
      <c r="L271" s="3" t="s">
        <v>1771</v>
      </c>
      <c r="M271" s="15" t="n">
        <f aca="false">LEN(L271)</f>
        <v>143</v>
      </c>
      <c r="N271" s="3" t="s">
        <v>1772</v>
      </c>
      <c r="O271" s="15" t="s">
        <v>1773</v>
      </c>
      <c r="P271" s="16" t="n">
        <v>570</v>
      </c>
      <c r="Q271" s="15" t="s">
        <v>662</v>
      </c>
      <c r="R271" s="15"/>
      <c r="S271" s="15" t="n">
        <f aca="false">COUNTIF('Page-Keyword Map'!$A$2:$A$668,B271)</f>
        <v>1</v>
      </c>
      <c r="T271" s="16" t="n">
        <f aca="false">SUMIF('Page-Keyword Map'!$A$2:$A$668,B271,'Page-Keyword Map'!$H$2:$H$668)</f>
        <v>570</v>
      </c>
      <c r="U271" s="15" t="n">
        <f aca="false">COUNTIFS('Page-Keyword Map'!$A$2:$A$668,B271,'Page-Keyword Map'!$E$2:$E$668,"Nationwide")</f>
        <v>0</v>
      </c>
      <c r="V271" s="15" t="n">
        <f aca="false">COUNTIFS('Page-Keyword Map'!$A$2:$A$668,B271,'Page-Keyword Map'!$E$2:$E$668,"Provincial")</f>
        <v>1</v>
      </c>
      <c r="W271" s="15" t="n">
        <f aca="false">COUNTIFS('Page-Keyword Map'!$A$2:$A$668,B271,'Page-Keyword Map'!$E$2:$E$668,"City")</f>
        <v>0</v>
      </c>
      <c r="X271" s="15" t="str">
        <f aca="false">IF(O271="","",IF(ISNUMBER(SEARCH(O271,J271)),"Yes","No"))</f>
        <v>No</v>
      </c>
      <c r="Y271" s="15" t="n">
        <v>0.7</v>
      </c>
      <c r="Z271" s="15" t="s">
        <v>663</v>
      </c>
      <c r="AA271" s="15" t="s">
        <v>131</v>
      </c>
      <c r="AB271" s="17"/>
      <c r="AC271" s="17"/>
    </row>
    <row r="272" customFormat="false" ht="23.85" hidden="false" customHeight="false" outlineLevel="0" collapsed="false">
      <c r="A272" s="15" t="s">
        <v>1774</v>
      </c>
      <c r="B272" s="15" t="s">
        <v>1775</v>
      </c>
      <c r="C272" s="15" t="s">
        <v>656</v>
      </c>
      <c r="D272" s="15" t="s">
        <v>86</v>
      </c>
      <c r="E272" s="15" t="s">
        <v>356</v>
      </c>
      <c r="F272" s="15"/>
      <c r="G272" s="15" t="s">
        <v>673</v>
      </c>
      <c r="H272" s="15"/>
      <c r="I272" s="15" t="s">
        <v>126</v>
      </c>
      <c r="J272" s="3" t="s">
        <v>1776</v>
      </c>
      <c r="K272" s="15" t="n">
        <f aca="false">LEN(J272)</f>
        <v>58</v>
      </c>
      <c r="L272" s="3" t="s">
        <v>1777</v>
      </c>
      <c r="M272" s="15" t="n">
        <f aca="false">LEN(L272)</f>
        <v>126</v>
      </c>
      <c r="N272" s="3" t="s">
        <v>1778</v>
      </c>
      <c r="O272" s="15" t="s">
        <v>1779</v>
      </c>
      <c r="P272" s="16" t="n">
        <v>180</v>
      </c>
      <c r="Q272" s="15" t="s">
        <v>662</v>
      </c>
      <c r="R272" s="15"/>
      <c r="S272" s="15" t="n">
        <f aca="false">COUNTIF('Page-Keyword Map'!$A$2:$A$668,B272)</f>
        <v>1</v>
      </c>
      <c r="T272" s="16" t="n">
        <f aca="false">SUMIF('Page-Keyword Map'!$A$2:$A$668,B272,'Page-Keyword Map'!$H$2:$H$668)</f>
        <v>180</v>
      </c>
      <c r="U272" s="15" t="n">
        <f aca="false">COUNTIFS('Page-Keyword Map'!$A$2:$A$668,B272,'Page-Keyword Map'!$E$2:$E$668,"Nationwide")</f>
        <v>0</v>
      </c>
      <c r="V272" s="15" t="n">
        <f aca="false">COUNTIFS('Page-Keyword Map'!$A$2:$A$668,B272,'Page-Keyword Map'!$E$2:$E$668,"Provincial")</f>
        <v>1</v>
      </c>
      <c r="W272" s="15" t="n">
        <f aca="false">COUNTIFS('Page-Keyword Map'!$A$2:$A$668,B272,'Page-Keyword Map'!$E$2:$E$668,"City")</f>
        <v>0</v>
      </c>
      <c r="X272" s="15" t="str">
        <f aca="false">IF(O272="","",IF(ISNUMBER(SEARCH(O272,J272)),"Yes","No"))</f>
        <v>No</v>
      </c>
      <c r="Y272" s="15" t="n">
        <v>0.7</v>
      </c>
      <c r="Z272" s="15" t="s">
        <v>663</v>
      </c>
      <c r="AA272" s="15" t="s">
        <v>131</v>
      </c>
      <c r="AB272" s="17"/>
      <c r="AC272" s="17"/>
    </row>
    <row r="273" customFormat="false" ht="23.85" hidden="false" customHeight="false" outlineLevel="0" collapsed="false">
      <c r="A273" s="15" t="s">
        <v>1780</v>
      </c>
      <c r="B273" s="15" t="s">
        <v>1781</v>
      </c>
      <c r="C273" s="15" t="s">
        <v>656</v>
      </c>
      <c r="D273" s="15" t="s">
        <v>86</v>
      </c>
      <c r="E273" s="15" t="s">
        <v>356</v>
      </c>
      <c r="F273" s="15"/>
      <c r="G273" s="15" t="s">
        <v>680</v>
      </c>
      <c r="H273" s="15"/>
      <c r="I273" s="15" t="s">
        <v>126</v>
      </c>
      <c r="J273" s="3" t="s">
        <v>1782</v>
      </c>
      <c r="K273" s="15" t="n">
        <f aca="false">LEN(J273)</f>
        <v>63</v>
      </c>
      <c r="L273" s="3" t="s">
        <v>1783</v>
      </c>
      <c r="M273" s="15" t="n">
        <f aca="false">LEN(L273)</f>
        <v>136</v>
      </c>
      <c r="N273" s="3" t="s">
        <v>1784</v>
      </c>
      <c r="O273" s="15" t="s">
        <v>1785</v>
      </c>
      <c r="P273" s="16" t="n">
        <v>110</v>
      </c>
      <c r="Q273" s="15" t="s">
        <v>662</v>
      </c>
      <c r="R273" s="15"/>
      <c r="S273" s="15" t="n">
        <f aca="false">COUNTIF('Page-Keyword Map'!$A$2:$A$668,B273)</f>
        <v>1</v>
      </c>
      <c r="T273" s="16" t="n">
        <f aca="false">SUMIF('Page-Keyword Map'!$A$2:$A$668,B273,'Page-Keyword Map'!$H$2:$H$668)</f>
        <v>110</v>
      </c>
      <c r="U273" s="15" t="n">
        <f aca="false">COUNTIFS('Page-Keyword Map'!$A$2:$A$668,B273,'Page-Keyword Map'!$E$2:$E$668,"Nationwide")</f>
        <v>0</v>
      </c>
      <c r="V273" s="15" t="n">
        <f aca="false">COUNTIFS('Page-Keyword Map'!$A$2:$A$668,B273,'Page-Keyword Map'!$E$2:$E$668,"Provincial")</f>
        <v>1</v>
      </c>
      <c r="W273" s="15" t="n">
        <f aca="false">COUNTIFS('Page-Keyword Map'!$A$2:$A$668,B273,'Page-Keyword Map'!$E$2:$E$668,"City")</f>
        <v>0</v>
      </c>
      <c r="X273" s="15" t="str">
        <f aca="false">IF(O273="","",IF(ISNUMBER(SEARCH(O273,J273)),"Yes","No"))</f>
        <v>No</v>
      </c>
      <c r="Y273" s="15" t="n">
        <v>0.7</v>
      </c>
      <c r="Z273" s="15" t="s">
        <v>663</v>
      </c>
      <c r="AA273" s="15" t="s">
        <v>131</v>
      </c>
      <c r="AB273" s="17"/>
      <c r="AC273" s="17"/>
    </row>
    <row r="274" customFormat="false" ht="23.85" hidden="false" customHeight="false" outlineLevel="0" collapsed="false">
      <c r="A274" s="15" t="s">
        <v>1786</v>
      </c>
      <c r="B274" s="15" t="s">
        <v>1787</v>
      </c>
      <c r="C274" s="15" t="s">
        <v>656</v>
      </c>
      <c r="D274" s="15" t="s">
        <v>86</v>
      </c>
      <c r="E274" s="15" t="s">
        <v>356</v>
      </c>
      <c r="F274" s="15"/>
      <c r="G274" s="15" t="s">
        <v>687</v>
      </c>
      <c r="H274" s="15"/>
      <c r="I274" s="15" t="s">
        <v>126</v>
      </c>
      <c r="J274" s="3" t="s">
        <v>1788</v>
      </c>
      <c r="K274" s="15" t="n">
        <f aca="false">LEN(J274)</f>
        <v>75</v>
      </c>
      <c r="L274" s="3" t="s">
        <v>1789</v>
      </c>
      <c r="M274" s="15" t="n">
        <f aca="false">LEN(L274)</f>
        <v>157</v>
      </c>
      <c r="N274" s="3" t="s">
        <v>1790</v>
      </c>
      <c r="O274" s="15" t="s">
        <v>1791</v>
      </c>
      <c r="P274" s="16" t="n">
        <v>74</v>
      </c>
      <c r="Q274" s="15" t="s">
        <v>662</v>
      </c>
      <c r="R274" s="15"/>
      <c r="S274" s="15" t="n">
        <f aca="false">COUNTIF('Page-Keyword Map'!$A$2:$A$668,B274)</f>
        <v>1</v>
      </c>
      <c r="T274" s="16" t="n">
        <f aca="false">SUMIF('Page-Keyword Map'!$A$2:$A$668,B274,'Page-Keyword Map'!$H$2:$H$668)</f>
        <v>74</v>
      </c>
      <c r="U274" s="15" t="n">
        <f aca="false">COUNTIFS('Page-Keyword Map'!$A$2:$A$668,B274,'Page-Keyword Map'!$E$2:$E$668,"Nationwide")</f>
        <v>0</v>
      </c>
      <c r="V274" s="15" t="n">
        <f aca="false">COUNTIFS('Page-Keyword Map'!$A$2:$A$668,B274,'Page-Keyword Map'!$E$2:$E$668,"Provincial")</f>
        <v>1</v>
      </c>
      <c r="W274" s="15" t="n">
        <f aca="false">COUNTIFS('Page-Keyword Map'!$A$2:$A$668,B274,'Page-Keyword Map'!$E$2:$E$668,"City")</f>
        <v>0</v>
      </c>
      <c r="X274" s="15" t="str">
        <f aca="false">IF(O274="","",IF(ISNUMBER(SEARCH(O274,J274)),"Yes","No"))</f>
        <v>No</v>
      </c>
      <c r="Y274" s="15" t="n">
        <v>0.7</v>
      </c>
      <c r="Z274" s="15" t="s">
        <v>663</v>
      </c>
      <c r="AA274" s="15" t="s">
        <v>131</v>
      </c>
      <c r="AB274" s="17"/>
      <c r="AC274" s="17"/>
    </row>
    <row r="275" customFormat="false" ht="23.85" hidden="false" customHeight="false" outlineLevel="0" collapsed="false">
      <c r="A275" s="15" t="s">
        <v>1792</v>
      </c>
      <c r="B275" s="15" t="s">
        <v>1793</v>
      </c>
      <c r="C275" s="15" t="s">
        <v>656</v>
      </c>
      <c r="D275" s="15" t="s">
        <v>86</v>
      </c>
      <c r="E275" s="15" t="s">
        <v>356</v>
      </c>
      <c r="F275" s="15"/>
      <c r="G275" s="15" t="s">
        <v>694</v>
      </c>
      <c r="H275" s="15"/>
      <c r="I275" s="15" t="s">
        <v>126</v>
      </c>
      <c r="J275" s="3" t="s">
        <v>1794</v>
      </c>
      <c r="K275" s="15" t="n">
        <f aca="false">LEN(J275)</f>
        <v>71</v>
      </c>
      <c r="L275" s="3" t="s">
        <v>1795</v>
      </c>
      <c r="M275" s="15" t="n">
        <f aca="false">LEN(L275)</f>
        <v>161</v>
      </c>
      <c r="N275" s="3" t="s">
        <v>1796</v>
      </c>
      <c r="O275" s="15"/>
      <c r="P275" s="16"/>
      <c r="Q275" s="15"/>
      <c r="R275" s="15" t="s">
        <v>1797</v>
      </c>
      <c r="S275" s="15" t="n">
        <f aca="false">COUNTIF('Page-Keyword Map'!$A$2:$A$668,B275)</f>
        <v>0</v>
      </c>
      <c r="T275" s="16" t="n">
        <f aca="false">SUMIF('Page-Keyword Map'!$A$2:$A$668,B275,'Page-Keyword Map'!$H$2:$H$668)</f>
        <v>0</v>
      </c>
      <c r="U275" s="15" t="n">
        <f aca="false">COUNTIFS('Page-Keyword Map'!$A$2:$A$668,B275,'Page-Keyword Map'!$E$2:$E$668,"Nationwide")</f>
        <v>0</v>
      </c>
      <c r="V275" s="15" t="n">
        <f aca="false">COUNTIFS('Page-Keyword Map'!$A$2:$A$668,B275,'Page-Keyword Map'!$E$2:$E$668,"Provincial")</f>
        <v>0</v>
      </c>
      <c r="W275" s="15" t="n">
        <f aca="false">COUNTIFS('Page-Keyword Map'!$A$2:$A$668,B275,'Page-Keyword Map'!$E$2:$E$668,"City")</f>
        <v>0</v>
      </c>
      <c r="X275" s="15" t="str">
        <f aca="false">IF(O275="","",IF(ISNUMBER(SEARCH(O275,J275)),"Yes","No"))</f>
        <v/>
      </c>
      <c r="Y275" s="15" t="n">
        <v>0.7</v>
      </c>
      <c r="Z275" s="15" t="s">
        <v>663</v>
      </c>
      <c r="AA275" s="15" t="s">
        <v>131</v>
      </c>
      <c r="AB275" s="17"/>
      <c r="AC275" s="17"/>
    </row>
    <row r="276" customFormat="false" ht="23.85" hidden="false" customHeight="false" outlineLevel="0" collapsed="false">
      <c r="A276" s="15" t="s">
        <v>1798</v>
      </c>
      <c r="B276" s="15" t="s">
        <v>1799</v>
      </c>
      <c r="C276" s="15" t="s">
        <v>656</v>
      </c>
      <c r="D276" s="15" t="s">
        <v>86</v>
      </c>
      <c r="E276" s="15" t="s">
        <v>356</v>
      </c>
      <c r="F276" s="15"/>
      <c r="G276" s="15" t="s">
        <v>701</v>
      </c>
      <c r="H276" s="15"/>
      <c r="I276" s="15" t="s">
        <v>126</v>
      </c>
      <c r="J276" s="3" t="s">
        <v>1800</v>
      </c>
      <c r="K276" s="15" t="n">
        <f aca="false">LEN(J276)</f>
        <v>61</v>
      </c>
      <c r="L276" s="3" t="s">
        <v>1801</v>
      </c>
      <c r="M276" s="15" t="n">
        <f aca="false">LEN(L276)</f>
        <v>162</v>
      </c>
      <c r="N276" s="3" t="s">
        <v>1802</v>
      </c>
      <c r="O276" s="15" t="s">
        <v>1803</v>
      </c>
      <c r="P276" s="16" t="n">
        <v>130</v>
      </c>
      <c r="Q276" s="15" t="s">
        <v>662</v>
      </c>
      <c r="R276" s="15"/>
      <c r="S276" s="15" t="n">
        <f aca="false">COUNTIF('Page-Keyword Map'!$A$2:$A$668,B276)</f>
        <v>1</v>
      </c>
      <c r="T276" s="16" t="n">
        <f aca="false">SUMIF('Page-Keyword Map'!$A$2:$A$668,B276,'Page-Keyword Map'!$H$2:$H$668)</f>
        <v>130</v>
      </c>
      <c r="U276" s="15" t="n">
        <f aca="false">COUNTIFS('Page-Keyword Map'!$A$2:$A$668,B276,'Page-Keyword Map'!$E$2:$E$668,"Nationwide")</f>
        <v>0</v>
      </c>
      <c r="V276" s="15" t="n">
        <f aca="false">COUNTIFS('Page-Keyword Map'!$A$2:$A$668,B276,'Page-Keyword Map'!$E$2:$E$668,"Provincial")</f>
        <v>1</v>
      </c>
      <c r="W276" s="15" t="n">
        <f aca="false">COUNTIFS('Page-Keyword Map'!$A$2:$A$668,B276,'Page-Keyword Map'!$E$2:$E$668,"City")</f>
        <v>0</v>
      </c>
      <c r="X276" s="15" t="str">
        <f aca="false">IF(O276="","",IF(ISNUMBER(SEARCH(O276,J276)),"Yes","No"))</f>
        <v>No</v>
      </c>
      <c r="Y276" s="15" t="n">
        <v>0.7</v>
      </c>
      <c r="Z276" s="15" t="s">
        <v>663</v>
      </c>
      <c r="AA276" s="15" t="s">
        <v>131</v>
      </c>
      <c r="AB276" s="17"/>
      <c r="AC276" s="17"/>
    </row>
    <row r="277" customFormat="false" ht="23.85" hidden="false" customHeight="false" outlineLevel="0" collapsed="false">
      <c r="A277" s="15" t="s">
        <v>1804</v>
      </c>
      <c r="B277" s="15" t="s">
        <v>1805</v>
      </c>
      <c r="C277" s="15" t="s">
        <v>656</v>
      </c>
      <c r="D277" s="15" t="s">
        <v>86</v>
      </c>
      <c r="E277" s="15" t="s">
        <v>356</v>
      </c>
      <c r="F277" s="15"/>
      <c r="G277" s="15" t="s">
        <v>708</v>
      </c>
      <c r="H277" s="15"/>
      <c r="I277" s="15" t="s">
        <v>126</v>
      </c>
      <c r="J277" s="3" t="s">
        <v>1806</v>
      </c>
      <c r="K277" s="15" t="n">
        <f aca="false">LEN(J277)</f>
        <v>57</v>
      </c>
      <c r="L277" s="3" t="s">
        <v>1807</v>
      </c>
      <c r="M277" s="15" t="n">
        <f aca="false">LEN(L277)</f>
        <v>159</v>
      </c>
      <c r="N277" s="3" t="s">
        <v>1808</v>
      </c>
      <c r="O277" s="15"/>
      <c r="P277" s="16"/>
      <c r="Q277" s="15"/>
      <c r="R277" s="15" t="s">
        <v>1809</v>
      </c>
      <c r="S277" s="15" t="n">
        <f aca="false">COUNTIF('Page-Keyword Map'!$A$2:$A$668,B277)</f>
        <v>0</v>
      </c>
      <c r="T277" s="16" t="n">
        <f aca="false">SUMIF('Page-Keyword Map'!$A$2:$A$668,B277,'Page-Keyword Map'!$H$2:$H$668)</f>
        <v>0</v>
      </c>
      <c r="U277" s="15" t="n">
        <f aca="false">COUNTIFS('Page-Keyword Map'!$A$2:$A$668,B277,'Page-Keyword Map'!$E$2:$E$668,"Nationwide")</f>
        <v>0</v>
      </c>
      <c r="V277" s="15" t="n">
        <f aca="false">COUNTIFS('Page-Keyword Map'!$A$2:$A$668,B277,'Page-Keyword Map'!$E$2:$E$668,"Provincial")</f>
        <v>0</v>
      </c>
      <c r="W277" s="15" t="n">
        <f aca="false">COUNTIFS('Page-Keyword Map'!$A$2:$A$668,B277,'Page-Keyword Map'!$E$2:$E$668,"City")</f>
        <v>0</v>
      </c>
      <c r="X277" s="15" t="str">
        <f aca="false">IF(O277="","",IF(ISNUMBER(SEARCH(O277,J277)),"Yes","No"))</f>
        <v/>
      </c>
      <c r="Y277" s="15" t="n">
        <v>0.7</v>
      </c>
      <c r="Z277" s="15" t="s">
        <v>663</v>
      </c>
      <c r="AA277" s="15" t="s">
        <v>131</v>
      </c>
      <c r="AB277" s="17"/>
      <c r="AC277" s="17"/>
    </row>
    <row r="278" customFormat="false" ht="23.85" hidden="false" customHeight="false" outlineLevel="0" collapsed="false">
      <c r="A278" s="15" t="s">
        <v>1810</v>
      </c>
      <c r="B278" s="15" t="s">
        <v>1811</v>
      </c>
      <c r="C278" s="15" t="s">
        <v>656</v>
      </c>
      <c r="D278" s="15" t="s">
        <v>86</v>
      </c>
      <c r="E278" s="15" t="s">
        <v>356</v>
      </c>
      <c r="F278" s="15"/>
      <c r="G278" s="15" t="s">
        <v>715</v>
      </c>
      <c r="H278" s="15"/>
      <c r="I278" s="15" t="s">
        <v>126</v>
      </c>
      <c r="J278" s="3" t="s">
        <v>1812</v>
      </c>
      <c r="K278" s="15" t="n">
        <f aca="false">LEN(J278)</f>
        <v>57</v>
      </c>
      <c r="L278" s="3" t="s">
        <v>1813</v>
      </c>
      <c r="M278" s="15" t="n">
        <f aca="false">LEN(L278)</f>
        <v>124</v>
      </c>
      <c r="N278" s="3" t="s">
        <v>1814</v>
      </c>
      <c r="O278" s="15" t="s">
        <v>1815</v>
      </c>
      <c r="P278" s="16" t="n">
        <v>1600</v>
      </c>
      <c r="Q278" s="15" t="s">
        <v>662</v>
      </c>
      <c r="R278" s="15"/>
      <c r="S278" s="15" t="n">
        <f aca="false">COUNTIF('Page-Keyword Map'!$A$2:$A$668,B278)</f>
        <v>1</v>
      </c>
      <c r="T278" s="16" t="n">
        <f aca="false">SUMIF('Page-Keyword Map'!$A$2:$A$668,B278,'Page-Keyword Map'!$H$2:$H$668)</f>
        <v>1600</v>
      </c>
      <c r="U278" s="15" t="n">
        <f aca="false">COUNTIFS('Page-Keyword Map'!$A$2:$A$668,B278,'Page-Keyword Map'!$E$2:$E$668,"Nationwide")</f>
        <v>0</v>
      </c>
      <c r="V278" s="15" t="n">
        <f aca="false">COUNTIFS('Page-Keyword Map'!$A$2:$A$668,B278,'Page-Keyword Map'!$E$2:$E$668,"Provincial")</f>
        <v>1</v>
      </c>
      <c r="W278" s="15" t="n">
        <f aca="false">COUNTIFS('Page-Keyword Map'!$A$2:$A$668,B278,'Page-Keyword Map'!$E$2:$E$668,"City")</f>
        <v>0</v>
      </c>
      <c r="X278" s="15" t="str">
        <f aca="false">IF(O278="","",IF(ISNUMBER(SEARCH(O278,J278)),"Yes","No"))</f>
        <v>No</v>
      </c>
      <c r="Y278" s="15" t="n">
        <v>0.7</v>
      </c>
      <c r="Z278" s="15" t="s">
        <v>663</v>
      </c>
      <c r="AA278" s="15" t="s">
        <v>131</v>
      </c>
      <c r="AB278" s="17"/>
      <c r="AC278" s="17"/>
    </row>
    <row r="279" customFormat="false" ht="23.85" hidden="false" customHeight="false" outlineLevel="0" collapsed="false">
      <c r="A279" s="15" t="s">
        <v>1816</v>
      </c>
      <c r="B279" s="15" t="s">
        <v>1817</v>
      </c>
      <c r="C279" s="15" t="s">
        <v>656</v>
      </c>
      <c r="D279" s="15" t="s">
        <v>86</v>
      </c>
      <c r="E279" s="15" t="s">
        <v>356</v>
      </c>
      <c r="F279" s="15"/>
      <c r="G279" s="15" t="s">
        <v>722</v>
      </c>
      <c r="H279" s="15"/>
      <c r="I279" s="15" t="s">
        <v>126</v>
      </c>
      <c r="J279" s="3" t="s">
        <v>1818</v>
      </c>
      <c r="K279" s="15" t="n">
        <f aca="false">LEN(J279)</f>
        <v>70</v>
      </c>
      <c r="L279" s="3" t="s">
        <v>1819</v>
      </c>
      <c r="M279" s="15" t="n">
        <f aca="false">LEN(L279)</f>
        <v>161</v>
      </c>
      <c r="N279" s="3" t="s">
        <v>1820</v>
      </c>
      <c r="O279" s="15" t="s">
        <v>1821</v>
      </c>
      <c r="P279" s="16" t="n">
        <v>25</v>
      </c>
      <c r="Q279" s="15" t="s">
        <v>662</v>
      </c>
      <c r="R279" s="15"/>
      <c r="S279" s="15" t="n">
        <f aca="false">COUNTIF('Page-Keyword Map'!$A$2:$A$668,B279)</f>
        <v>1</v>
      </c>
      <c r="T279" s="16" t="n">
        <f aca="false">SUMIF('Page-Keyword Map'!$A$2:$A$668,B279,'Page-Keyword Map'!$H$2:$H$668)</f>
        <v>25</v>
      </c>
      <c r="U279" s="15" t="n">
        <f aca="false">COUNTIFS('Page-Keyword Map'!$A$2:$A$668,B279,'Page-Keyword Map'!$E$2:$E$668,"Nationwide")</f>
        <v>0</v>
      </c>
      <c r="V279" s="15" t="n">
        <f aca="false">COUNTIFS('Page-Keyword Map'!$A$2:$A$668,B279,'Page-Keyword Map'!$E$2:$E$668,"Provincial")</f>
        <v>1</v>
      </c>
      <c r="W279" s="15" t="n">
        <f aca="false">COUNTIFS('Page-Keyword Map'!$A$2:$A$668,B279,'Page-Keyword Map'!$E$2:$E$668,"City")</f>
        <v>0</v>
      </c>
      <c r="X279" s="15" t="str">
        <f aca="false">IF(O279="","",IF(ISNUMBER(SEARCH(O279,J279)),"Yes","No"))</f>
        <v>No</v>
      </c>
      <c r="Y279" s="15" t="n">
        <v>0.7</v>
      </c>
      <c r="Z279" s="15" t="s">
        <v>663</v>
      </c>
      <c r="AA279" s="15" t="s">
        <v>131</v>
      </c>
      <c r="AB279" s="17"/>
      <c r="AC279" s="17"/>
    </row>
    <row r="280" customFormat="false" ht="23.85" hidden="false" customHeight="false" outlineLevel="0" collapsed="false">
      <c r="A280" s="15" t="s">
        <v>1822</v>
      </c>
      <c r="B280" s="15" t="s">
        <v>1823</v>
      </c>
      <c r="C280" s="15" t="s">
        <v>656</v>
      </c>
      <c r="D280" s="15" t="s">
        <v>86</v>
      </c>
      <c r="E280" s="15" t="s">
        <v>356</v>
      </c>
      <c r="F280" s="15"/>
      <c r="G280" s="15" t="s">
        <v>729</v>
      </c>
      <c r="H280" s="15"/>
      <c r="I280" s="15" t="s">
        <v>126</v>
      </c>
      <c r="J280" s="3" t="s">
        <v>1824</v>
      </c>
      <c r="K280" s="15" t="n">
        <f aca="false">LEN(J280)</f>
        <v>56</v>
      </c>
      <c r="L280" s="3" t="s">
        <v>1825</v>
      </c>
      <c r="M280" s="15" t="n">
        <f aca="false">LEN(L280)</f>
        <v>134</v>
      </c>
      <c r="N280" s="3" t="s">
        <v>1826</v>
      </c>
      <c r="O280" s="15" t="s">
        <v>1827</v>
      </c>
      <c r="P280" s="16" t="n">
        <v>290</v>
      </c>
      <c r="Q280" s="15" t="s">
        <v>662</v>
      </c>
      <c r="R280" s="15"/>
      <c r="S280" s="15" t="n">
        <f aca="false">COUNTIF('Page-Keyword Map'!$A$2:$A$668,B280)</f>
        <v>1</v>
      </c>
      <c r="T280" s="16" t="n">
        <f aca="false">SUMIF('Page-Keyword Map'!$A$2:$A$668,B280,'Page-Keyword Map'!$H$2:$H$668)</f>
        <v>290</v>
      </c>
      <c r="U280" s="15" t="n">
        <f aca="false">COUNTIFS('Page-Keyword Map'!$A$2:$A$668,B280,'Page-Keyword Map'!$E$2:$E$668,"Nationwide")</f>
        <v>0</v>
      </c>
      <c r="V280" s="15" t="n">
        <f aca="false">COUNTIFS('Page-Keyword Map'!$A$2:$A$668,B280,'Page-Keyword Map'!$E$2:$E$668,"Provincial")</f>
        <v>1</v>
      </c>
      <c r="W280" s="15" t="n">
        <f aca="false">COUNTIFS('Page-Keyword Map'!$A$2:$A$668,B280,'Page-Keyword Map'!$E$2:$E$668,"City")</f>
        <v>0</v>
      </c>
      <c r="X280" s="15" t="str">
        <f aca="false">IF(O280="","",IF(ISNUMBER(SEARCH(O280,J280)),"Yes","No"))</f>
        <v>No</v>
      </c>
      <c r="Y280" s="15" t="n">
        <v>0.7</v>
      </c>
      <c r="Z280" s="15" t="s">
        <v>663</v>
      </c>
      <c r="AA280" s="15" t="s">
        <v>131</v>
      </c>
      <c r="AB280" s="17"/>
      <c r="AC280" s="17"/>
    </row>
    <row r="281" customFormat="false" ht="23.85" hidden="false" customHeight="false" outlineLevel="0" collapsed="false">
      <c r="A281" s="15" t="s">
        <v>1828</v>
      </c>
      <c r="B281" s="15" t="s">
        <v>1829</v>
      </c>
      <c r="C281" s="15" t="s">
        <v>656</v>
      </c>
      <c r="D281" s="15" t="s">
        <v>86</v>
      </c>
      <c r="E281" s="15" t="s">
        <v>356</v>
      </c>
      <c r="F281" s="15"/>
      <c r="G281" s="15" t="s">
        <v>736</v>
      </c>
      <c r="H281" s="15"/>
      <c r="I281" s="15" t="s">
        <v>126</v>
      </c>
      <c r="J281" s="3" t="s">
        <v>1830</v>
      </c>
      <c r="K281" s="15" t="n">
        <f aca="false">LEN(J281)</f>
        <v>62</v>
      </c>
      <c r="L281" s="3" t="s">
        <v>1831</v>
      </c>
      <c r="M281" s="15" t="n">
        <f aca="false">LEN(L281)</f>
        <v>134</v>
      </c>
      <c r="N281" s="3" t="s">
        <v>1832</v>
      </c>
      <c r="O281" s="15" t="s">
        <v>1833</v>
      </c>
      <c r="P281" s="16" t="n">
        <v>150</v>
      </c>
      <c r="Q281" s="15" t="s">
        <v>662</v>
      </c>
      <c r="R281" s="15"/>
      <c r="S281" s="15" t="n">
        <f aca="false">COUNTIF('Page-Keyword Map'!$A$2:$A$668,B281)</f>
        <v>1</v>
      </c>
      <c r="T281" s="16" t="n">
        <f aca="false">SUMIF('Page-Keyword Map'!$A$2:$A$668,B281,'Page-Keyword Map'!$H$2:$H$668)</f>
        <v>150</v>
      </c>
      <c r="U281" s="15" t="n">
        <f aca="false">COUNTIFS('Page-Keyword Map'!$A$2:$A$668,B281,'Page-Keyword Map'!$E$2:$E$668,"Nationwide")</f>
        <v>0</v>
      </c>
      <c r="V281" s="15" t="n">
        <f aca="false">COUNTIFS('Page-Keyword Map'!$A$2:$A$668,B281,'Page-Keyword Map'!$E$2:$E$668,"Provincial")</f>
        <v>1</v>
      </c>
      <c r="W281" s="15" t="n">
        <f aca="false">COUNTIFS('Page-Keyword Map'!$A$2:$A$668,B281,'Page-Keyword Map'!$E$2:$E$668,"City")</f>
        <v>0</v>
      </c>
      <c r="X281" s="15" t="str">
        <f aca="false">IF(O281="","",IF(ISNUMBER(SEARCH(O281,J281)),"Yes","No"))</f>
        <v>No</v>
      </c>
      <c r="Y281" s="15" t="n">
        <v>0.7</v>
      </c>
      <c r="Z281" s="15" t="s">
        <v>663</v>
      </c>
      <c r="AA281" s="15" t="s">
        <v>131</v>
      </c>
      <c r="AB281" s="17"/>
      <c r="AC281" s="17"/>
    </row>
    <row r="282" customFormat="false" ht="23.85" hidden="false" customHeight="false" outlineLevel="0" collapsed="false">
      <c r="A282" s="15" t="s">
        <v>1834</v>
      </c>
      <c r="B282" s="15" t="s">
        <v>1835</v>
      </c>
      <c r="C282" s="15" t="s">
        <v>656</v>
      </c>
      <c r="D282" s="15" t="s">
        <v>86</v>
      </c>
      <c r="E282" s="15" t="s">
        <v>356</v>
      </c>
      <c r="F282" s="15"/>
      <c r="G282" s="15" t="s">
        <v>743</v>
      </c>
      <c r="H282" s="15"/>
      <c r="I282" s="15" t="s">
        <v>126</v>
      </c>
      <c r="J282" s="3" t="s">
        <v>1836</v>
      </c>
      <c r="K282" s="15" t="n">
        <f aca="false">LEN(J282)</f>
        <v>55</v>
      </c>
      <c r="L282" s="3" t="s">
        <v>1837</v>
      </c>
      <c r="M282" s="15" t="n">
        <f aca="false">LEN(L282)</f>
        <v>153</v>
      </c>
      <c r="N282" s="3" t="s">
        <v>1838</v>
      </c>
      <c r="O282" s="15"/>
      <c r="P282" s="16"/>
      <c r="Q282" s="15"/>
      <c r="R282" s="15" t="s">
        <v>1839</v>
      </c>
      <c r="S282" s="15" t="n">
        <f aca="false">COUNTIF('Page-Keyword Map'!$A$2:$A$668,B282)</f>
        <v>0</v>
      </c>
      <c r="T282" s="16" t="n">
        <f aca="false">SUMIF('Page-Keyword Map'!$A$2:$A$668,B282,'Page-Keyword Map'!$H$2:$H$668)</f>
        <v>0</v>
      </c>
      <c r="U282" s="15" t="n">
        <f aca="false">COUNTIFS('Page-Keyword Map'!$A$2:$A$668,B282,'Page-Keyword Map'!$E$2:$E$668,"Nationwide")</f>
        <v>0</v>
      </c>
      <c r="V282" s="15" t="n">
        <f aca="false">COUNTIFS('Page-Keyword Map'!$A$2:$A$668,B282,'Page-Keyword Map'!$E$2:$E$668,"Provincial")</f>
        <v>0</v>
      </c>
      <c r="W282" s="15" t="n">
        <f aca="false">COUNTIFS('Page-Keyword Map'!$A$2:$A$668,B282,'Page-Keyword Map'!$E$2:$E$668,"City")</f>
        <v>0</v>
      </c>
      <c r="X282" s="15" t="str">
        <f aca="false">IF(O282="","",IF(ISNUMBER(SEARCH(O282,J282)),"Yes","No"))</f>
        <v/>
      </c>
      <c r="Y282" s="15" t="n">
        <v>0.7</v>
      </c>
      <c r="Z282" s="15" t="s">
        <v>663</v>
      </c>
      <c r="AA282" s="15" t="s">
        <v>131</v>
      </c>
      <c r="AB282" s="17"/>
      <c r="AC282" s="17"/>
    </row>
    <row r="283" customFormat="false" ht="23.85" hidden="false" customHeight="false" outlineLevel="0" collapsed="false">
      <c r="A283" s="15" t="s">
        <v>1840</v>
      </c>
      <c r="B283" s="15" t="s">
        <v>1841</v>
      </c>
      <c r="C283" s="15" t="s">
        <v>656</v>
      </c>
      <c r="D283" s="15" t="s">
        <v>74</v>
      </c>
      <c r="E283" s="15" t="s">
        <v>363</v>
      </c>
      <c r="F283" s="15"/>
      <c r="G283" s="15" t="s">
        <v>657</v>
      </c>
      <c r="H283" s="15"/>
      <c r="I283" s="15" t="s">
        <v>126</v>
      </c>
      <c r="J283" s="3" t="s">
        <v>1842</v>
      </c>
      <c r="K283" s="15" t="n">
        <f aca="false">LEN(J283)</f>
        <v>60</v>
      </c>
      <c r="L283" s="3" t="s">
        <v>1843</v>
      </c>
      <c r="M283" s="15" t="n">
        <f aca="false">LEN(L283)</f>
        <v>154</v>
      </c>
      <c r="N283" s="3" t="s">
        <v>1844</v>
      </c>
      <c r="O283" s="15" t="s">
        <v>1845</v>
      </c>
      <c r="P283" s="16" t="n">
        <v>74</v>
      </c>
      <c r="Q283" s="15" t="s">
        <v>662</v>
      </c>
      <c r="R283" s="15"/>
      <c r="S283" s="15" t="n">
        <f aca="false">COUNTIF('Page-Keyword Map'!$A$2:$A$668,B283)</f>
        <v>1</v>
      </c>
      <c r="T283" s="16" t="n">
        <f aca="false">SUMIF('Page-Keyword Map'!$A$2:$A$668,B283,'Page-Keyword Map'!$H$2:$H$668)</f>
        <v>74</v>
      </c>
      <c r="U283" s="15" t="n">
        <f aca="false">COUNTIFS('Page-Keyword Map'!$A$2:$A$668,B283,'Page-Keyword Map'!$E$2:$E$668,"Nationwide")</f>
        <v>0</v>
      </c>
      <c r="V283" s="15" t="n">
        <f aca="false">COUNTIFS('Page-Keyword Map'!$A$2:$A$668,B283,'Page-Keyword Map'!$E$2:$E$668,"Provincial")</f>
        <v>1</v>
      </c>
      <c r="W283" s="15" t="n">
        <f aca="false">COUNTIFS('Page-Keyword Map'!$A$2:$A$668,B283,'Page-Keyword Map'!$E$2:$E$668,"City")</f>
        <v>0</v>
      </c>
      <c r="X283" s="15" t="str">
        <f aca="false">IF(O283="","",IF(ISNUMBER(SEARCH(O283,J283)),"Yes","No"))</f>
        <v>No</v>
      </c>
      <c r="Y283" s="15" t="n">
        <v>0.7</v>
      </c>
      <c r="Z283" s="15" t="s">
        <v>663</v>
      </c>
      <c r="AA283" s="15" t="s">
        <v>131</v>
      </c>
      <c r="AB283" s="17"/>
      <c r="AC283" s="17"/>
    </row>
    <row r="284" customFormat="false" ht="23.85" hidden="false" customHeight="false" outlineLevel="0" collapsed="false">
      <c r="A284" s="15" t="s">
        <v>1846</v>
      </c>
      <c r="B284" s="15" t="s">
        <v>1847</v>
      </c>
      <c r="C284" s="15" t="s">
        <v>656</v>
      </c>
      <c r="D284" s="15" t="s">
        <v>74</v>
      </c>
      <c r="E284" s="15" t="s">
        <v>363</v>
      </c>
      <c r="F284" s="15"/>
      <c r="G284" s="15" t="s">
        <v>666</v>
      </c>
      <c r="H284" s="15"/>
      <c r="I284" s="15" t="s">
        <v>126</v>
      </c>
      <c r="J284" s="3" t="s">
        <v>1848</v>
      </c>
      <c r="K284" s="15" t="n">
        <f aca="false">LEN(J284)</f>
        <v>69</v>
      </c>
      <c r="L284" s="3" t="s">
        <v>1849</v>
      </c>
      <c r="M284" s="15" t="n">
        <f aca="false">LEN(L284)</f>
        <v>146</v>
      </c>
      <c r="N284" s="3" t="s">
        <v>1850</v>
      </c>
      <c r="O284" s="15" t="s">
        <v>1851</v>
      </c>
      <c r="P284" s="16" t="n">
        <v>85</v>
      </c>
      <c r="Q284" s="15" t="s">
        <v>662</v>
      </c>
      <c r="R284" s="15"/>
      <c r="S284" s="15" t="n">
        <f aca="false">COUNTIF('Page-Keyword Map'!$A$2:$A$668,B284)</f>
        <v>1</v>
      </c>
      <c r="T284" s="16" t="n">
        <f aca="false">SUMIF('Page-Keyword Map'!$A$2:$A$668,B284,'Page-Keyword Map'!$H$2:$H$668)</f>
        <v>85</v>
      </c>
      <c r="U284" s="15" t="n">
        <f aca="false">COUNTIFS('Page-Keyword Map'!$A$2:$A$668,B284,'Page-Keyword Map'!$E$2:$E$668,"Nationwide")</f>
        <v>0</v>
      </c>
      <c r="V284" s="15" t="n">
        <f aca="false">COUNTIFS('Page-Keyword Map'!$A$2:$A$668,B284,'Page-Keyword Map'!$E$2:$E$668,"Provincial")</f>
        <v>1</v>
      </c>
      <c r="W284" s="15" t="n">
        <f aca="false">COUNTIFS('Page-Keyword Map'!$A$2:$A$668,B284,'Page-Keyword Map'!$E$2:$E$668,"City")</f>
        <v>0</v>
      </c>
      <c r="X284" s="15" t="str">
        <f aca="false">IF(O284="","",IF(ISNUMBER(SEARCH(O284,J284)),"Yes","No"))</f>
        <v>No</v>
      </c>
      <c r="Y284" s="15" t="n">
        <v>0.7</v>
      </c>
      <c r="Z284" s="15" t="s">
        <v>663</v>
      </c>
      <c r="AA284" s="15" t="s">
        <v>131</v>
      </c>
      <c r="AB284" s="17"/>
      <c r="AC284" s="17"/>
    </row>
    <row r="285" customFormat="false" ht="23.85" hidden="false" customHeight="false" outlineLevel="0" collapsed="false">
      <c r="A285" s="15" t="s">
        <v>1852</v>
      </c>
      <c r="B285" s="15" t="s">
        <v>1853</v>
      </c>
      <c r="C285" s="15" t="s">
        <v>656</v>
      </c>
      <c r="D285" s="15" t="s">
        <v>74</v>
      </c>
      <c r="E285" s="15" t="s">
        <v>363</v>
      </c>
      <c r="F285" s="15"/>
      <c r="G285" s="15" t="s">
        <v>673</v>
      </c>
      <c r="H285" s="15"/>
      <c r="I285" s="15" t="s">
        <v>126</v>
      </c>
      <c r="J285" s="3" t="s">
        <v>1854</v>
      </c>
      <c r="K285" s="15" t="n">
        <f aca="false">LEN(J285)</f>
        <v>61</v>
      </c>
      <c r="L285" s="3" t="s">
        <v>1855</v>
      </c>
      <c r="M285" s="15" t="n">
        <f aca="false">LEN(L285)</f>
        <v>129</v>
      </c>
      <c r="N285" s="3" t="s">
        <v>1856</v>
      </c>
      <c r="O285" s="15" t="s">
        <v>1857</v>
      </c>
      <c r="P285" s="16" t="n">
        <v>26</v>
      </c>
      <c r="Q285" s="15" t="s">
        <v>662</v>
      </c>
      <c r="R285" s="15"/>
      <c r="S285" s="15" t="n">
        <f aca="false">COUNTIF('Page-Keyword Map'!$A$2:$A$668,B285)</f>
        <v>1</v>
      </c>
      <c r="T285" s="16" t="n">
        <f aca="false">SUMIF('Page-Keyword Map'!$A$2:$A$668,B285,'Page-Keyword Map'!$H$2:$H$668)</f>
        <v>26</v>
      </c>
      <c r="U285" s="15" t="n">
        <f aca="false">COUNTIFS('Page-Keyword Map'!$A$2:$A$668,B285,'Page-Keyword Map'!$E$2:$E$668,"Nationwide")</f>
        <v>0</v>
      </c>
      <c r="V285" s="15" t="n">
        <f aca="false">COUNTIFS('Page-Keyword Map'!$A$2:$A$668,B285,'Page-Keyword Map'!$E$2:$E$668,"Provincial")</f>
        <v>1</v>
      </c>
      <c r="W285" s="15" t="n">
        <f aca="false">COUNTIFS('Page-Keyword Map'!$A$2:$A$668,B285,'Page-Keyword Map'!$E$2:$E$668,"City")</f>
        <v>0</v>
      </c>
      <c r="X285" s="15" t="str">
        <f aca="false">IF(O285="","",IF(ISNUMBER(SEARCH(O285,J285)),"Yes","No"))</f>
        <v>No</v>
      </c>
      <c r="Y285" s="15" t="n">
        <v>0.7</v>
      </c>
      <c r="Z285" s="15" t="s">
        <v>663</v>
      </c>
      <c r="AA285" s="15" t="s">
        <v>131</v>
      </c>
      <c r="AB285" s="17"/>
      <c r="AC285" s="17"/>
    </row>
    <row r="286" customFormat="false" ht="23.85" hidden="false" customHeight="false" outlineLevel="0" collapsed="false">
      <c r="A286" s="15" t="s">
        <v>1858</v>
      </c>
      <c r="B286" s="15" t="s">
        <v>1859</v>
      </c>
      <c r="C286" s="15" t="s">
        <v>656</v>
      </c>
      <c r="D286" s="15" t="s">
        <v>74</v>
      </c>
      <c r="E286" s="15" t="s">
        <v>363</v>
      </c>
      <c r="F286" s="15"/>
      <c r="G286" s="15" t="s">
        <v>680</v>
      </c>
      <c r="H286" s="15"/>
      <c r="I286" s="15" t="s">
        <v>126</v>
      </c>
      <c r="J286" s="3" t="s">
        <v>1860</v>
      </c>
      <c r="K286" s="15" t="n">
        <f aca="false">LEN(J286)</f>
        <v>66</v>
      </c>
      <c r="L286" s="3" t="s">
        <v>1861</v>
      </c>
      <c r="M286" s="15" t="n">
        <f aca="false">LEN(L286)</f>
        <v>139</v>
      </c>
      <c r="N286" s="3" t="s">
        <v>1862</v>
      </c>
      <c r="O286" s="15"/>
      <c r="P286" s="16"/>
      <c r="Q286" s="15"/>
      <c r="R286" s="15" t="s">
        <v>1863</v>
      </c>
      <c r="S286" s="15" t="n">
        <f aca="false">COUNTIF('Page-Keyword Map'!$A$2:$A$668,B286)</f>
        <v>0</v>
      </c>
      <c r="T286" s="16" t="n">
        <f aca="false">SUMIF('Page-Keyword Map'!$A$2:$A$668,B286,'Page-Keyword Map'!$H$2:$H$668)</f>
        <v>0</v>
      </c>
      <c r="U286" s="15" t="n">
        <f aca="false">COUNTIFS('Page-Keyword Map'!$A$2:$A$668,B286,'Page-Keyword Map'!$E$2:$E$668,"Nationwide")</f>
        <v>0</v>
      </c>
      <c r="V286" s="15" t="n">
        <f aca="false">COUNTIFS('Page-Keyword Map'!$A$2:$A$668,B286,'Page-Keyword Map'!$E$2:$E$668,"Provincial")</f>
        <v>0</v>
      </c>
      <c r="W286" s="15" t="n">
        <f aca="false">COUNTIFS('Page-Keyword Map'!$A$2:$A$668,B286,'Page-Keyword Map'!$E$2:$E$668,"City")</f>
        <v>0</v>
      </c>
      <c r="X286" s="15" t="str">
        <f aca="false">IF(O286="","",IF(ISNUMBER(SEARCH(O286,J286)),"Yes","No"))</f>
        <v/>
      </c>
      <c r="Y286" s="15" t="n">
        <v>0.7</v>
      </c>
      <c r="Z286" s="15" t="s">
        <v>663</v>
      </c>
      <c r="AA286" s="15" t="s">
        <v>131</v>
      </c>
      <c r="AB286" s="17"/>
      <c r="AC286" s="17"/>
    </row>
    <row r="287" customFormat="false" ht="23.85" hidden="false" customHeight="false" outlineLevel="0" collapsed="false">
      <c r="A287" s="15" t="s">
        <v>1864</v>
      </c>
      <c r="B287" s="15" t="s">
        <v>1865</v>
      </c>
      <c r="C287" s="15" t="s">
        <v>656</v>
      </c>
      <c r="D287" s="15" t="s">
        <v>74</v>
      </c>
      <c r="E287" s="15" t="s">
        <v>363</v>
      </c>
      <c r="F287" s="15"/>
      <c r="G287" s="15" t="s">
        <v>687</v>
      </c>
      <c r="H287" s="15"/>
      <c r="I287" s="15" t="s">
        <v>126</v>
      </c>
      <c r="J287" s="3" t="s">
        <v>1866</v>
      </c>
      <c r="K287" s="15" t="n">
        <f aca="false">LEN(J287)</f>
        <v>78</v>
      </c>
      <c r="L287" s="3" t="s">
        <v>1867</v>
      </c>
      <c r="M287" s="15" t="n">
        <f aca="false">LEN(L287)</f>
        <v>160</v>
      </c>
      <c r="N287" s="3" t="s">
        <v>1868</v>
      </c>
      <c r="O287" s="15"/>
      <c r="P287" s="16"/>
      <c r="Q287" s="15"/>
      <c r="R287" s="15" t="s">
        <v>1869</v>
      </c>
      <c r="S287" s="15" t="n">
        <f aca="false">COUNTIF('Page-Keyword Map'!$A$2:$A$668,B287)</f>
        <v>0</v>
      </c>
      <c r="T287" s="16" t="n">
        <f aca="false">SUMIF('Page-Keyword Map'!$A$2:$A$668,B287,'Page-Keyword Map'!$H$2:$H$668)</f>
        <v>0</v>
      </c>
      <c r="U287" s="15" t="n">
        <f aca="false">COUNTIFS('Page-Keyword Map'!$A$2:$A$668,B287,'Page-Keyword Map'!$E$2:$E$668,"Nationwide")</f>
        <v>0</v>
      </c>
      <c r="V287" s="15" t="n">
        <f aca="false">COUNTIFS('Page-Keyword Map'!$A$2:$A$668,B287,'Page-Keyword Map'!$E$2:$E$668,"Provincial")</f>
        <v>0</v>
      </c>
      <c r="W287" s="15" t="n">
        <f aca="false">COUNTIFS('Page-Keyword Map'!$A$2:$A$668,B287,'Page-Keyword Map'!$E$2:$E$668,"City")</f>
        <v>0</v>
      </c>
      <c r="X287" s="15" t="str">
        <f aca="false">IF(O287="","",IF(ISNUMBER(SEARCH(O287,J287)),"Yes","No"))</f>
        <v/>
      </c>
      <c r="Y287" s="15" t="n">
        <v>0.7</v>
      </c>
      <c r="Z287" s="15" t="s">
        <v>663</v>
      </c>
      <c r="AA287" s="15" t="s">
        <v>131</v>
      </c>
      <c r="AB287" s="17"/>
      <c r="AC287" s="17"/>
    </row>
    <row r="288" customFormat="false" ht="23.85" hidden="false" customHeight="false" outlineLevel="0" collapsed="false">
      <c r="A288" s="15" t="s">
        <v>1870</v>
      </c>
      <c r="B288" s="15" t="s">
        <v>1871</v>
      </c>
      <c r="C288" s="15" t="s">
        <v>656</v>
      </c>
      <c r="D288" s="15" t="s">
        <v>74</v>
      </c>
      <c r="E288" s="15" t="s">
        <v>363</v>
      </c>
      <c r="F288" s="15"/>
      <c r="G288" s="15" t="s">
        <v>694</v>
      </c>
      <c r="H288" s="15"/>
      <c r="I288" s="15" t="s">
        <v>126</v>
      </c>
      <c r="J288" s="3" t="s">
        <v>1872</v>
      </c>
      <c r="K288" s="15" t="n">
        <f aca="false">LEN(J288)</f>
        <v>74</v>
      </c>
      <c r="L288" s="3" t="s">
        <v>1873</v>
      </c>
      <c r="M288" s="15" t="n">
        <f aca="false">LEN(L288)</f>
        <v>164</v>
      </c>
      <c r="N288" s="3" t="s">
        <v>1874</v>
      </c>
      <c r="O288" s="15"/>
      <c r="P288" s="16"/>
      <c r="Q288" s="15"/>
      <c r="R288" s="15" t="s">
        <v>1875</v>
      </c>
      <c r="S288" s="15" t="n">
        <f aca="false">COUNTIF('Page-Keyword Map'!$A$2:$A$668,B288)</f>
        <v>0</v>
      </c>
      <c r="T288" s="16" t="n">
        <f aca="false">SUMIF('Page-Keyword Map'!$A$2:$A$668,B288,'Page-Keyword Map'!$H$2:$H$668)</f>
        <v>0</v>
      </c>
      <c r="U288" s="15" t="n">
        <f aca="false">COUNTIFS('Page-Keyword Map'!$A$2:$A$668,B288,'Page-Keyword Map'!$E$2:$E$668,"Nationwide")</f>
        <v>0</v>
      </c>
      <c r="V288" s="15" t="n">
        <f aca="false">COUNTIFS('Page-Keyword Map'!$A$2:$A$668,B288,'Page-Keyword Map'!$E$2:$E$668,"Provincial")</f>
        <v>0</v>
      </c>
      <c r="W288" s="15" t="n">
        <f aca="false">COUNTIFS('Page-Keyword Map'!$A$2:$A$668,B288,'Page-Keyword Map'!$E$2:$E$668,"City")</f>
        <v>0</v>
      </c>
      <c r="X288" s="15" t="str">
        <f aca="false">IF(O288="","",IF(ISNUMBER(SEARCH(O288,J288)),"Yes","No"))</f>
        <v/>
      </c>
      <c r="Y288" s="15" t="n">
        <v>0.7</v>
      </c>
      <c r="Z288" s="15" t="s">
        <v>663</v>
      </c>
      <c r="AA288" s="15" t="s">
        <v>131</v>
      </c>
      <c r="AB288" s="17"/>
      <c r="AC288" s="17"/>
    </row>
    <row r="289" customFormat="false" ht="23.85" hidden="false" customHeight="false" outlineLevel="0" collapsed="false">
      <c r="A289" s="15" t="s">
        <v>1876</v>
      </c>
      <c r="B289" s="15" t="s">
        <v>1877</v>
      </c>
      <c r="C289" s="15" t="s">
        <v>656</v>
      </c>
      <c r="D289" s="15" t="s">
        <v>74</v>
      </c>
      <c r="E289" s="15" t="s">
        <v>363</v>
      </c>
      <c r="F289" s="15"/>
      <c r="G289" s="15" t="s">
        <v>701</v>
      </c>
      <c r="H289" s="15"/>
      <c r="I289" s="15" t="s">
        <v>126</v>
      </c>
      <c r="J289" s="3" t="s">
        <v>1878</v>
      </c>
      <c r="K289" s="15" t="n">
        <f aca="false">LEN(J289)</f>
        <v>64</v>
      </c>
      <c r="L289" s="3" t="s">
        <v>1879</v>
      </c>
      <c r="M289" s="15" t="n">
        <f aca="false">LEN(L289)</f>
        <v>165</v>
      </c>
      <c r="N289" s="3" t="s">
        <v>1880</v>
      </c>
      <c r="O289" s="15"/>
      <c r="P289" s="16"/>
      <c r="Q289" s="15"/>
      <c r="R289" s="15" t="s">
        <v>1881</v>
      </c>
      <c r="S289" s="15" t="n">
        <f aca="false">COUNTIF('Page-Keyword Map'!$A$2:$A$668,B289)</f>
        <v>0</v>
      </c>
      <c r="T289" s="16" t="n">
        <f aca="false">SUMIF('Page-Keyword Map'!$A$2:$A$668,B289,'Page-Keyword Map'!$H$2:$H$668)</f>
        <v>0</v>
      </c>
      <c r="U289" s="15" t="n">
        <f aca="false">COUNTIFS('Page-Keyword Map'!$A$2:$A$668,B289,'Page-Keyword Map'!$E$2:$E$668,"Nationwide")</f>
        <v>0</v>
      </c>
      <c r="V289" s="15" t="n">
        <f aca="false">COUNTIFS('Page-Keyword Map'!$A$2:$A$668,B289,'Page-Keyword Map'!$E$2:$E$668,"Provincial")</f>
        <v>0</v>
      </c>
      <c r="W289" s="15" t="n">
        <f aca="false">COUNTIFS('Page-Keyword Map'!$A$2:$A$668,B289,'Page-Keyword Map'!$E$2:$E$668,"City")</f>
        <v>0</v>
      </c>
      <c r="X289" s="15" t="str">
        <f aca="false">IF(O289="","",IF(ISNUMBER(SEARCH(O289,J289)),"Yes","No"))</f>
        <v/>
      </c>
      <c r="Y289" s="15" t="n">
        <v>0.7</v>
      </c>
      <c r="Z289" s="15" t="s">
        <v>663</v>
      </c>
      <c r="AA289" s="15" t="s">
        <v>131</v>
      </c>
      <c r="AB289" s="17"/>
      <c r="AC289" s="17"/>
    </row>
    <row r="290" customFormat="false" ht="23.85" hidden="false" customHeight="false" outlineLevel="0" collapsed="false">
      <c r="A290" s="15" t="s">
        <v>1882</v>
      </c>
      <c r="B290" s="15" t="s">
        <v>1883</v>
      </c>
      <c r="C290" s="15" t="s">
        <v>656</v>
      </c>
      <c r="D290" s="15" t="s">
        <v>74</v>
      </c>
      <c r="E290" s="15" t="s">
        <v>363</v>
      </c>
      <c r="F290" s="15"/>
      <c r="G290" s="15" t="s">
        <v>708</v>
      </c>
      <c r="H290" s="15"/>
      <c r="I290" s="15" t="s">
        <v>126</v>
      </c>
      <c r="J290" s="3" t="s">
        <v>1884</v>
      </c>
      <c r="K290" s="15" t="n">
        <f aca="false">LEN(J290)</f>
        <v>60</v>
      </c>
      <c r="L290" s="3" t="s">
        <v>1885</v>
      </c>
      <c r="M290" s="15" t="n">
        <f aca="false">LEN(L290)</f>
        <v>162</v>
      </c>
      <c r="N290" s="3" t="s">
        <v>1886</v>
      </c>
      <c r="O290" s="15"/>
      <c r="P290" s="16"/>
      <c r="Q290" s="15"/>
      <c r="R290" s="15" t="s">
        <v>1887</v>
      </c>
      <c r="S290" s="15" t="n">
        <f aca="false">COUNTIF('Page-Keyword Map'!$A$2:$A$668,B290)</f>
        <v>0</v>
      </c>
      <c r="T290" s="16" t="n">
        <f aca="false">SUMIF('Page-Keyword Map'!$A$2:$A$668,B290,'Page-Keyword Map'!$H$2:$H$668)</f>
        <v>0</v>
      </c>
      <c r="U290" s="15" t="n">
        <f aca="false">COUNTIFS('Page-Keyword Map'!$A$2:$A$668,B290,'Page-Keyword Map'!$E$2:$E$668,"Nationwide")</f>
        <v>0</v>
      </c>
      <c r="V290" s="15" t="n">
        <f aca="false">COUNTIFS('Page-Keyword Map'!$A$2:$A$668,B290,'Page-Keyword Map'!$E$2:$E$668,"Provincial")</f>
        <v>0</v>
      </c>
      <c r="W290" s="15" t="n">
        <f aca="false">COUNTIFS('Page-Keyword Map'!$A$2:$A$668,B290,'Page-Keyword Map'!$E$2:$E$668,"City")</f>
        <v>0</v>
      </c>
      <c r="X290" s="15" t="str">
        <f aca="false">IF(O290="","",IF(ISNUMBER(SEARCH(O290,J290)),"Yes","No"))</f>
        <v/>
      </c>
      <c r="Y290" s="15" t="n">
        <v>0.7</v>
      </c>
      <c r="Z290" s="15" t="s">
        <v>663</v>
      </c>
      <c r="AA290" s="15" t="s">
        <v>131</v>
      </c>
      <c r="AB290" s="17"/>
      <c r="AC290" s="17"/>
    </row>
    <row r="291" customFormat="false" ht="23.85" hidden="false" customHeight="false" outlineLevel="0" collapsed="false">
      <c r="A291" s="15" t="s">
        <v>1888</v>
      </c>
      <c r="B291" s="15" t="s">
        <v>1889</v>
      </c>
      <c r="C291" s="15" t="s">
        <v>656</v>
      </c>
      <c r="D291" s="15" t="s">
        <v>74</v>
      </c>
      <c r="E291" s="15" t="s">
        <v>363</v>
      </c>
      <c r="F291" s="15"/>
      <c r="G291" s="15" t="s">
        <v>715</v>
      </c>
      <c r="H291" s="15"/>
      <c r="I291" s="15" t="s">
        <v>126</v>
      </c>
      <c r="J291" s="3" t="s">
        <v>1890</v>
      </c>
      <c r="K291" s="15" t="n">
        <f aca="false">LEN(J291)</f>
        <v>60</v>
      </c>
      <c r="L291" s="3" t="s">
        <v>1891</v>
      </c>
      <c r="M291" s="15" t="n">
        <f aca="false">LEN(L291)</f>
        <v>127</v>
      </c>
      <c r="N291" s="3" t="s">
        <v>1892</v>
      </c>
      <c r="O291" s="15" t="s">
        <v>1893</v>
      </c>
      <c r="P291" s="16" t="n">
        <v>240</v>
      </c>
      <c r="Q291" s="15" t="s">
        <v>662</v>
      </c>
      <c r="R291" s="15"/>
      <c r="S291" s="15" t="n">
        <f aca="false">COUNTIF('Page-Keyword Map'!$A$2:$A$668,B291)</f>
        <v>1</v>
      </c>
      <c r="T291" s="16" t="n">
        <f aca="false">SUMIF('Page-Keyword Map'!$A$2:$A$668,B291,'Page-Keyword Map'!$H$2:$H$668)</f>
        <v>240</v>
      </c>
      <c r="U291" s="15" t="n">
        <f aca="false">COUNTIFS('Page-Keyword Map'!$A$2:$A$668,B291,'Page-Keyword Map'!$E$2:$E$668,"Nationwide")</f>
        <v>0</v>
      </c>
      <c r="V291" s="15" t="n">
        <f aca="false">COUNTIFS('Page-Keyword Map'!$A$2:$A$668,B291,'Page-Keyword Map'!$E$2:$E$668,"Provincial")</f>
        <v>1</v>
      </c>
      <c r="W291" s="15" t="n">
        <f aca="false">COUNTIFS('Page-Keyword Map'!$A$2:$A$668,B291,'Page-Keyword Map'!$E$2:$E$668,"City")</f>
        <v>0</v>
      </c>
      <c r="X291" s="15" t="str">
        <f aca="false">IF(O291="","",IF(ISNUMBER(SEARCH(O291,J291)),"Yes","No"))</f>
        <v>No</v>
      </c>
      <c r="Y291" s="15" t="n">
        <v>0.7</v>
      </c>
      <c r="Z291" s="15" t="s">
        <v>663</v>
      </c>
      <c r="AA291" s="15" t="s">
        <v>131</v>
      </c>
      <c r="AB291" s="17"/>
      <c r="AC291" s="17"/>
    </row>
    <row r="292" customFormat="false" ht="23.85" hidden="false" customHeight="false" outlineLevel="0" collapsed="false">
      <c r="A292" s="15" t="s">
        <v>1894</v>
      </c>
      <c r="B292" s="15" t="s">
        <v>1895</v>
      </c>
      <c r="C292" s="15" t="s">
        <v>656</v>
      </c>
      <c r="D292" s="15" t="s">
        <v>74</v>
      </c>
      <c r="E292" s="15" t="s">
        <v>363</v>
      </c>
      <c r="F292" s="15"/>
      <c r="G292" s="15" t="s">
        <v>722</v>
      </c>
      <c r="H292" s="15"/>
      <c r="I292" s="15" t="s">
        <v>126</v>
      </c>
      <c r="J292" s="3" t="s">
        <v>1896</v>
      </c>
      <c r="K292" s="15" t="n">
        <f aca="false">LEN(J292)</f>
        <v>73</v>
      </c>
      <c r="L292" s="3" t="s">
        <v>1897</v>
      </c>
      <c r="M292" s="15" t="n">
        <f aca="false">LEN(L292)</f>
        <v>164</v>
      </c>
      <c r="N292" s="3" t="s">
        <v>1898</v>
      </c>
      <c r="O292" s="15"/>
      <c r="P292" s="16"/>
      <c r="Q292" s="15"/>
      <c r="R292" s="15" t="s">
        <v>1899</v>
      </c>
      <c r="S292" s="15" t="n">
        <f aca="false">COUNTIF('Page-Keyword Map'!$A$2:$A$668,B292)</f>
        <v>0</v>
      </c>
      <c r="T292" s="16" t="n">
        <f aca="false">SUMIF('Page-Keyword Map'!$A$2:$A$668,B292,'Page-Keyword Map'!$H$2:$H$668)</f>
        <v>0</v>
      </c>
      <c r="U292" s="15" t="n">
        <f aca="false">COUNTIFS('Page-Keyword Map'!$A$2:$A$668,B292,'Page-Keyword Map'!$E$2:$E$668,"Nationwide")</f>
        <v>0</v>
      </c>
      <c r="V292" s="15" t="n">
        <f aca="false">COUNTIFS('Page-Keyword Map'!$A$2:$A$668,B292,'Page-Keyword Map'!$E$2:$E$668,"Provincial")</f>
        <v>0</v>
      </c>
      <c r="W292" s="15" t="n">
        <f aca="false">COUNTIFS('Page-Keyword Map'!$A$2:$A$668,B292,'Page-Keyword Map'!$E$2:$E$668,"City")</f>
        <v>0</v>
      </c>
      <c r="X292" s="15" t="str">
        <f aca="false">IF(O292="","",IF(ISNUMBER(SEARCH(O292,J292)),"Yes","No"))</f>
        <v/>
      </c>
      <c r="Y292" s="15" t="n">
        <v>0.7</v>
      </c>
      <c r="Z292" s="15" t="s">
        <v>663</v>
      </c>
      <c r="AA292" s="15" t="s">
        <v>131</v>
      </c>
      <c r="AB292" s="17"/>
      <c r="AC292" s="17"/>
    </row>
    <row r="293" customFormat="false" ht="23.85" hidden="false" customHeight="false" outlineLevel="0" collapsed="false">
      <c r="A293" s="15" t="s">
        <v>1900</v>
      </c>
      <c r="B293" s="15" t="s">
        <v>1901</v>
      </c>
      <c r="C293" s="15" t="s">
        <v>656</v>
      </c>
      <c r="D293" s="15" t="s">
        <v>74</v>
      </c>
      <c r="E293" s="15" t="s">
        <v>363</v>
      </c>
      <c r="F293" s="15"/>
      <c r="G293" s="15" t="s">
        <v>729</v>
      </c>
      <c r="H293" s="15"/>
      <c r="I293" s="15" t="s">
        <v>126</v>
      </c>
      <c r="J293" s="3" t="s">
        <v>1902</v>
      </c>
      <c r="K293" s="15" t="n">
        <f aca="false">LEN(J293)</f>
        <v>59</v>
      </c>
      <c r="L293" s="3" t="s">
        <v>1903</v>
      </c>
      <c r="M293" s="15" t="n">
        <f aca="false">LEN(L293)</f>
        <v>137</v>
      </c>
      <c r="N293" s="3" t="s">
        <v>1904</v>
      </c>
      <c r="O293" s="15" t="s">
        <v>1905</v>
      </c>
      <c r="P293" s="16" t="n">
        <v>43</v>
      </c>
      <c r="Q293" s="15" t="s">
        <v>662</v>
      </c>
      <c r="R293" s="15"/>
      <c r="S293" s="15" t="n">
        <f aca="false">COUNTIF('Page-Keyword Map'!$A$2:$A$668,B293)</f>
        <v>1</v>
      </c>
      <c r="T293" s="16" t="n">
        <f aca="false">SUMIF('Page-Keyword Map'!$A$2:$A$668,B293,'Page-Keyword Map'!$H$2:$H$668)</f>
        <v>43</v>
      </c>
      <c r="U293" s="15" t="n">
        <f aca="false">COUNTIFS('Page-Keyword Map'!$A$2:$A$668,B293,'Page-Keyword Map'!$E$2:$E$668,"Nationwide")</f>
        <v>0</v>
      </c>
      <c r="V293" s="15" t="n">
        <f aca="false">COUNTIFS('Page-Keyword Map'!$A$2:$A$668,B293,'Page-Keyword Map'!$E$2:$E$668,"Provincial")</f>
        <v>1</v>
      </c>
      <c r="W293" s="15" t="n">
        <f aca="false">COUNTIFS('Page-Keyword Map'!$A$2:$A$668,B293,'Page-Keyword Map'!$E$2:$E$668,"City")</f>
        <v>0</v>
      </c>
      <c r="X293" s="15" t="str">
        <f aca="false">IF(O293="","",IF(ISNUMBER(SEARCH(O293,J293)),"Yes","No"))</f>
        <v>No</v>
      </c>
      <c r="Y293" s="15" t="n">
        <v>0.7</v>
      </c>
      <c r="Z293" s="15" t="s">
        <v>663</v>
      </c>
      <c r="AA293" s="15" t="s">
        <v>131</v>
      </c>
      <c r="AB293" s="17"/>
      <c r="AC293" s="17"/>
    </row>
    <row r="294" customFormat="false" ht="23.85" hidden="false" customHeight="false" outlineLevel="0" collapsed="false">
      <c r="A294" s="15" t="s">
        <v>1906</v>
      </c>
      <c r="B294" s="15" t="s">
        <v>1907</v>
      </c>
      <c r="C294" s="15" t="s">
        <v>656</v>
      </c>
      <c r="D294" s="15" t="s">
        <v>74</v>
      </c>
      <c r="E294" s="15" t="s">
        <v>363</v>
      </c>
      <c r="F294" s="15"/>
      <c r="G294" s="15" t="s">
        <v>736</v>
      </c>
      <c r="H294" s="15"/>
      <c r="I294" s="15" t="s">
        <v>126</v>
      </c>
      <c r="J294" s="3" t="s">
        <v>1908</v>
      </c>
      <c r="K294" s="15" t="n">
        <f aca="false">LEN(J294)</f>
        <v>65</v>
      </c>
      <c r="L294" s="3" t="s">
        <v>1909</v>
      </c>
      <c r="M294" s="15" t="n">
        <f aca="false">LEN(L294)</f>
        <v>137</v>
      </c>
      <c r="N294" s="3" t="s">
        <v>1910</v>
      </c>
      <c r="O294" s="15" t="s">
        <v>1911</v>
      </c>
      <c r="P294" s="16" t="n">
        <v>22</v>
      </c>
      <c r="Q294" s="15" t="s">
        <v>662</v>
      </c>
      <c r="R294" s="15"/>
      <c r="S294" s="15" t="n">
        <f aca="false">COUNTIF('Page-Keyword Map'!$A$2:$A$668,B294)</f>
        <v>1</v>
      </c>
      <c r="T294" s="16" t="n">
        <f aca="false">SUMIF('Page-Keyword Map'!$A$2:$A$668,B294,'Page-Keyword Map'!$H$2:$H$668)</f>
        <v>22</v>
      </c>
      <c r="U294" s="15" t="n">
        <f aca="false">COUNTIFS('Page-Keyword Map'!$A$2:$A$668,B294,'Page-Keyword Map'!$E$2:$E$668,"Nationwide")</f>
        <v>0</v>
      </c>
      <c r="V294" s="15" t="n">
        <f aca="false">COUNTIFS('Page-Keyword Map'!$A$2:$A$668,B294,'Page-Keyword Map'!$E$2:$E$668,"Provincial")</f>
        <v>1</v>
      </c>
      <c r="W294" s="15" t="n">
        <f aca="false">COUNTIFS('Page-Keyword Map'!$A$2:$A$668,B294,'Page-Keyword Map'!$E$2:$E$668,"City")</f>
        <v>0</v>
      </c>
      <c r="X294" s="15" t="str">
        <f aca="false">IF(O294="","",IF(ISNUMBER(SEARCH(O294,J294)),"Yes","No"))</f>
        <v>No</v>
      </c>
      <c r="Y294" s="15" t="n">
        <v>0.7</v>
      </c>
      <c r="Z294" s="15" t="s">
        <v>663</v>
      </c>
      <c r="AA294" s="15" t="s">
        <v>131</v>
      </c>
      <c r="AB294" s="17"/>
      <c r="AC294" s="17"/>
    </row>
    <row r="295" customFormat="false" ht="23.85" hidden="false" customHeight="false" outlineLevel="0" collapsed="false">
      <c r="A295" s="15" t="s">
        <v>1912</v>
      </c>
      <c r="B295" s="15" t="s">
        <v>1913</v>
      </c>
      <c r="C295" s="15" t="s">
        <v>656</v>
      </c>
      <c r="D295" s="15" t="s">
        <v>74</v>
      </c>
      <c r="E295" s="15" t="s">
        <v>363</v>
      </c>
      <c r="F295" s="15"/>
      <c r="G295" s="15" t="s">
        <v>743</v>
      </c>
      <c r="H295" s="15"/>
      <c r="I295" s="15" t="s">
        <v>126</v>
      </c>
      <c r="J295" s="3" t="s">
        <v>1914</v>
      </c>
      <c r="K295" s="15" t="n">
        <f aca="false">LEN(J295)</f>
        <v>58</v>
      </c>
      <c r="L295" s="3" t="s">
        <v>1915</v>
      </c>
      <c r="M295" s="15" t="n">
        <f aca="false">LEN(L295)</f>
        <v>156</v>
      </c>
      <c r="N295" s="3" t="s">
        <v>1916</v>
      </c>
      <c r="O295" s="15"/>
      <c r="P295" s="16"/>
      <c r="Q295" s="15"/>
      <c r="R295" s="15" t="s">
        <v>1917</v>
      </c>
      <c r="S295" s="15" t="n">
        <f aca="false">COUNTIF('Page-Keyword Map'!$A$2:$A$668,B295)</f>
        <v>0</v>
      </c>
      <c r="T295" s="16" t="n">
        <f aca="false">SUMIF('Page-Keyword Map'!$A$2:$A$668,B295,'Page-Keyword Map'!$H$2:$H$668)</f>
        <v>0</v>
      </c>
      <c r="U295" s="15" t="n">
        <f aca="false">COUNTIFS('Page-Keyword Map'!$A$2:$A$668,B295,'Page-Keyword Map'!$E$2:$E$668,"Nationwide")</f>
        <v>0</v>
      </c>
      <c r="V295" s="15" t="n">
        <f aca="false">COUNTIFS('Page-Keyword Map'!$A$2:$A$668,B295,'Page-Keyword Map'!$E$2:$E$668,"Provincial")</f>
        <v>0</v>
      </c>
      <c r="W295" s="15" t="n">
        <f aca="false">COUNTIFS('Page-Keyword Map'!$A$2:$A$668,B295,'Page-Keyword Map'!$E$2:$E$668,"City")</f>
        <v>0</v>
      </c>
      <c r="X295" s="15" t="str">
        <f aca="false">IF(O295="","",IF(ISNUMBER(SEARCH(O295,J295)),"Yes","No"))</f>
        <v/>
      </c>
      <c r="Y295" s="15" t="n">
        <v>0.7</v>
      </c>
      <c r="Z295" s="15" t="s">
        <v>663</v>
      </c>
      <c r="AA295" s="15" t="s">
        <v>131</v>
      </c>
      <c r="AB295" s="17"/>
      <c r="AC295" s="17"/>
    </row>
    <row r="296" customFormat="false" ht="23.85" hidden="false" customHeight="false" outlineLevel="0" collapsed="false">
      <c r="A296" s="15" t="s">
        <v>1918</v>
      </c>
      <c r="B296" s="15" t="s">
        <v>1919</v>
      </c>
      <c r="C296" s="15" t="s">
        <v>656</v>
      </c>
      <c r="D296" s="15" t="s">
        <v>80</v>
      </c>
      <c r="E296" s="15" t="s">
        <v>370</v>
      </c>
      <c r="F296" s="15"/>
      <c r="G296" s="15" t="s">
        <v>657</v>
      </c>
      <c r="H296" s="15"/>
      <c r="I296" s="15" t="s">
        <v>126</v>
      </c>
      <c r="J296" s="3" t="s">
        <v>1920</v>
      </c>
      <c r="K296" s="15" t="n">
        <f aca="false">LEN(J296)</f>
        <v>57</v>
      </c>
      <c r="L296" s="3" t="s">
        <v>1921</v>
      </c>
      <c r="M296" s="15" t="n">
        <f aca="false">LEN(L296)</f>
        <v>151</v>
      </c>
      <c r="N296" s="3" t="s">
        <v>1922</v>
      </c>
      <c r="O296" s="15"/>
      <c r="P296" s="16"/>
      <c r="Q296" s="15"/>
      <c r="R296" s="15" t="s">
        <v>1923</v>
      </c>
      <c r="S296" s="15" t="n">
        <f aca="false">COUNTIF('Page-Keyword Map'!$A$2:$A$668,B296)</f>
        <v>0</v>
      </c>
      <c r="T296" s="16" t="n">
        <f aca="false">SUMIF('Page-Keyword Map'!$A$2:$A$668,B296,'Page-Keyword Map'!$H$2:$H$668)</f>
        <v>0</v>
      </c>
      <c r="U296" s="15" t="n">
        <f aca="false">COUNTIFS('Page-Keyword Map'!$A$2:$A$668,B296,'Page-Keyword Map'!$E$2:$E$668,"Nationwide")</f>
        <v>0</v>
      </c>
      <c r="V296" s="15" t="n">
        <f aca="false">COUNTIFS('Page-Keyword Map'!$A$2:$A$668,B296,'Page-Keyword Map'!$E$2:$E$668,"Provincial")</f>
        <v>0</v>
      </c>
      <c r="W296" s="15" t="n">
        <f aca="false">COUNTIFS('Page-Keyword Map'!$A$2:$A$668,B296,'Page-Keyword Map'!$E$2:$E$668,"City")</f>
        <v>0</v>
      </c>
      <c r="X296" s="15" t="str">
        <f aca="false">IF(O296="","",IF(ISNUMBER(SEARCH(O296,J296)),"Yes","No"))</f>
        <v/>
      </c>
      <c r="Y296" s="15" t="n">
        <v>0.7</v>
      </c>
      <c r="Z296" s="15" t="s">
        <v>663</v>
      </c>
      <c r="AA296" s="15" t="s">
        <v>131</v>
      </c>
      <c r="AB296" s="17"/>
      <c r="AC296" s="17"/>
    </row>
    <row r="297" customFormat="false" ht="23.85" hidden="false" customHeight="false" outlineLevel="0" collapsed="false">
      <c r="A297" s="15" t="s">
        <v>1924</v>
      </c>
      <c r="B297" s="15" t="s">
        <v>1925</v>
      </c>
      <c r="C297" s="15" t="s">
        <v>656</v>
      </c>
      <c r="D297" s="15" t="s">
        <v>80</v>
      </c>
      <c r="E297" s="15" t="s">
        <v>370</v>
      </c>
      <c r="F297" s="15"/>
      <c r="G297" s="15" t="s">
        <v>666</v>
      </c>
      <c r="H297" s="15"/>
      <c r="I297" s="15" t="s">
        <v>126</v>
      </c>
      <c r="J297" s="3" t="s">
        <v>1926</v>
      </c>
      <c r="K297" s="15" t="n">
        <f aca="false">LEN(J297)</f>
        <v>66</v>
      </c>
      <c r="L297" s="3" t="s">
        <v>1927</v>
      </c>
      <c r="M297" s="15" t="n">
        <f aca="false">LEN(L297)</f>
        <v>143</v>
      </c>
      <c r="N297" s="3" t="s">
        <v>1928</v>
      </c>
      <c r="O297" s="15"/>
      <c r="P297" s="16"/>
      <c r="Q297" s="15"/>
      <c r="R297" s="15" t="s">
        <v>1929</v>
      </c>
      <c r="S297" s="15" t="n">
        <f aca="false">COUNTIF('Page-Keyword Map'!$A$2:$A$668,B297)</f>
        <v>0</v>
      </c>
      <c r="T297" s="16" t="n">
        <f aca="false">SUMIF('Page-Keyword Map'!$A$2:$A$668,B297,'Page-Keyword Map'!$H$2:$H$668)</f>
        <v>0</v>
      </c>
      <c r="U297" s="15" t="n">
        <f aca="false">COUNTIFS('Page-Keyword Map'!$A$2:$A$668,B297,'Page-Keyword Map'!$E$2:$E$668,"Nationwide")</f>
        <v>0</v>
      </c>
      <c r="V297" s="15" t="n">
        <f aca="false">COUNTIFS('Page-Keyword Map'!$A$2:$A$668,B297,'Page-Keyword Map'!$E$2:$E$668,"Provincial")</f>
        <v>0</v>
      </c>
      <c r="W297" s="15" t="n">
        <f aca="false">COUNTIFS('Page-Keyword Map'!$A$2:$A$668,B297,'Page-Keyword Map'!$E$2:$E$668,"City")</f>
        <v>0</v>
      </c>
      <c r="X297" s="15" t="str">
        <f aca="false">IF(O297="","",IF(ISNUMBER(SEARCH(O297,J297)),"Yes","No"))</f>
        <v/>
      </c>
      <c r="Y297" s="15" t="n">
        <v>0.7</v>
      </c>
      <c r="Z297" s="15" t="s">
        <v>663</v>
      </c>
      <c r="AA297" s="15" t="s">
        <v>131</v>
      </c>
      <c r="AB297" s="17"/>
      <c r="AC297" s="17"/>
    </row>
    <row r="298" customFormat="false" ht="23.85" hidden="false" customHeight="false" outlineLevel="0" collapsed="false">
      <c r="A298" s="15" t="s">
        <v>1930</v>
      </c>
      <c r="B298" s="15" t="s">
        <v>1931</v>
      </c>
      <c r="C298" s="15" t="s">
        <v>656</v>
      </c>
      <c r="D298" s="15" t="s">
        <v>80</v>
      </c>
      <c r="E298" s="15" t="s">
        <v>370</v>
      </c>
      <c r="F298" s="15"/>
      <c r="G298" s="15" t="s">
        <v>673</v>
      </c>
      <c r="H298" s="15"/>
      <c r="I298" s="15" t="s">
        <v>126</v>
      </c>
      <c r="J298" s="3" t="s">
        <v>1932</v>
      </c>
      <c r="K298" s="15" t="n">
        <f aca="false">LEN(J298)</f>
        <v>58</v>
      </c>
      <c r="L298" s="3" t="s">
        <v>1933</v>
      </c>
      <c r="M298" s="15" t="n">
        <f aca="false">LEN(L298)</f>
        <v>126</v>
      </c>
      <c r="N298" s="3" t="s">
        <v>1934</v>
      </c>
      <c r="O298" s="15"/>
      <c r="P298" s="16"/>
      <c r="Q298" s="15"/>
      <c r="R298" s="15" t="s">
        <v>1935</v>
      </c>
      <c r="S298" s="15" t="n">
        <f aca="false">COUNTIF('Page-Keyword Map'!$A$2:$A$668,B298)</f>
        <v>0</v>
      </c>
      <c r="T298" s="16" t="n">
        <f aca="false">SUMIF('Page-Keyword Map'!$A$2:$A$668,B298,'Page-Keyword Map'!$H$2:$H$668)</f>
        <v>0</v>
      </c>
      <c r="U298" s="15" t="n">
        <f aca="false">COUNTIFS('Page-Keyword Map'!$A$2:$A$668,B298,'Page-Keyword Map'!$E$2:$E$668,"Nationwide")</f>
        <v>0</v>
      </c>
      <c r="V298" s="15" t="n">
        <f aca="false">COUNTIFS('Page-Keyword Map'!$A$2:$A$668,B298,'Page-Keyword Map'!$E$2:$E$668,"Provincial")</f>
        <v>0</v>
      </c>
      <c r="W298" s="15" t="n">
        <f aca="false">COUNTIFS('Page-Keyword Map'!$A$2:$A$668,B298,'Page-Keyword Map'!$E$2:$E$668,"City")</f>
        <v>0</v>
      </c>
      <c r="X298" s="15" t="str">
        <f aca="false">IF(O298="","",IF(ISNUMBER(SEARCH(O298,J298)),"Yes","No"))</f>
        <v/>
      </c>
      <c r="Y298" s="15" t="n">
        <v>0.7</v>
      </c>
      <c r="Z298" s="15" t="s">
        <v>663</v>
      </c>
      <c r="AA298" s="15" t="s">
        <v>131</v>
      </c>
      <c r="AB298" s="17"/>
      <c r="AC298" s="17"/>
    </row>
    <row r="299" customFormat="false" ht="23.85" hidden="false" customHeight="false" outlineLevel="0" collapsed="false">
      <c r="A299" s="15" t="s">
        <v>1936</v>
      </c>
      <c r="B299" s="15" t="s">
        <v>1937</v>
      </c>
      <c r="C299" s="15" t="s">
        <v>656</v>
      </c>
      <c r="D299" s="15" t="s">
        <v>80</v>
      </c>
      <c r="E299" s="15" t="s">
        <v>370</v>
      </c>
      <c r="F299" s="15"/>
      <c r="G299" s="15" t="s">
        <v>680</v>
      </c>
      <c r="H299" s="15"/>
      <c r="I299" s="15" t="s">
        <v>126</v>
      </c>
      <c r="J299" s="3" t="s">
        <v>1938</v>
      </c>
      <c r="K299" s="15" t="n">
        <f aca="false">LEN(J299)</f>
        <v>63</v>
      </c>
      <c r="L299" s="3" t="s">
        <v>1939</v>
      </c>
      <c r="M299" s="15" t="n">
        <f aca="false">LEN(L299)</f>
        <v>136</v>
      </c>
      <c r="N299" s="3" t="s">
        <v>1940</v>
      </c>
      <c r="O299" s="15"/>
      <c r="P299" s="16"/>
      <c r="Q299" s="15"/>
      <c r="R299" s="15" t="s">
        <v>1941</v>
      </c>
      <c r="S299" s="15" t="n">
        <f aca="false">COUNTIF('Page-Keyword Map'!$A$2:$A$668,B299)</f>
        <v>0</v>
      </c>
      <c r="T299" s="16" t="n">
        <f aca="false">SUMIF('Page-Keyword Map'!$A$2:$A$668,B299,'Page-Keyword Map'!$H$2:$H$668)</f>
        <v>0</v>
      </c>
      <c r="U299" s="15" t="n">
        <f aca="false">COUNTIFS('Page-Keyword Map'!$A$2:$A$668,B299,'Page-Keyword Map'!$E$2:$E$668,"Nationwide")</f>
        <v>0</v>
      </c>
      <c r="V299" s="15" t="n">
        <f aca="false">COUNTIFS('Page-Keyword Map'!$A$2:$A$668,B299,'Page-Keyword Map'!$E$2:$E$668,"Provincial")</f>
        <v>0</v>
      </c>
      <c r="W299" s="15" t="n">
        <f aca="false">COUNTIFS('Page-Keyword Map'!$A$2:$A$668,B299,'Page-Keyword Map'!$E$2:$E$668,"City")</f>
        <v>0</v>
      </c>
      <c r="X299" s="15" t="str">
        <f aca="false">IF(O299="","",IF(ISNUMBER(SEARCH(O299,J299)),"Yes","No"))</f>
        <v/>
      </c>
      <c r="Y299" s="15" t="n">
        <v>0.7</v>
      </c>
      <c r="Z299" s="15" t="s">
        <v>663</v>
      </c>
      <c r="AA299" s="15" t="s">
        <v>131</v>
      </c>
      <c r="AB299" s="17"/>
      <c r="AC299" s="17"/>
    </row>
    <row r="300" customFormat="false" ht="23.85" hidden="false" customHeight="false" outlineLevel="0" collapsed="false">
      <c r="A300" s="15" t="s">
        <v>1942</v>
      </c>
      <c r="B300" s="15" t="s">
        <v>1943</v>
      </c>
      <c r="C300" s="15" t="s">
        <v>656</v>
      </c>
      <c r="D300" s="15" t="s">
        <v>80</v>
      </c>
      <c r="E300" s="15" t="s">
        <v>370</v>
      </c>
      <c r="F300" s="15"/>
      <c r="G300" s="15" t="s">
        <v>687</v>
      </c>
      <c r="H300" s="15"/>
      <c r="I300" s="15" t="s">
        <v>126</v>
      </c>
      <c r="J300" s="3" t="s">
        <v>1944</v>
      </c>
      <c r="K300" s="15" t="n">
        <f aca="false">LEN(J300)</f>
        <v>75</v>
      </c>
      <c r="L300" s="3" t="s">
        <v>1945</v>
      </c>
      <c r="M300" s="15" t="n">
        <f aca="false">LEN(L300)</f>
        <v>157</v>
      </c>
      <c r="N300" s="3" t="s">
        <v>1946</v>
      </c>
      <c r="O300" s="15"/>
      <c r="P300" s="16"/>
      <c r="Q300" s="15"/>
      <c r="R300" s="15" t="s">
        <v>1947</v>
      </c>
      <c r="S300" s="15" t="n">
        <f aca="false">COUNTIF('Page-Keyword Map'!$A$2:$A$668,B300)</f>
        <v>0</v>
      </c>
      <c r="T300" s="16" t="n">
        <f aca="false">SUMIF('Page-Keyword Map'!$A$2:$A$668,B300,'Page-Keyword Map'!$H$2:$H$668)</f>
        <v>0</v>
      </c>
      <c r="U300" s="15" t="n">
        <f aca="false">COUNTIFS('Page-Keyword Map'!$A$2:$A$668,B300,'Page-Keyword Map'!$E$2:$E$668,"Nationwide")</f>
        <v>0</v>
      </c>
      <c r="V300" s="15" t="n">
        <f aca="false">COUNTIFS('Page-Keyword Map'!$A$2:$A$668,B300,'Page-Keyword Map'!$E$2:$E$668,"Provincial")</f>
        <v>0</v>
      </c>
      <c r="W300" s="15" t="n">
        <f aca="false">COUNTIFS('Page-Keyword Map'!$A$2:$A$668,B300,'Page-Keyword Map'!$E$2:$E$668,"City")</f>
        <v>0</v>
      </c>
      <c r="X300" s="15" t="str">
        <f aca="false">IF(O300="","",IF(ISNUMBER(SEARCH(O300,J300)),"Yes","No"))</f>
        <v/>
      </c>
      <c r="Y300" s="15" t="n">
        <v>0.7</v>
      </c>
      <c r="Z300" s="15" t="s">
        <v>663</v>
      </c>
      <c r="AA300" s="15" t="s">
        <v>131</v>
      </c>
      <c r="AB300" s="17"/>
      <c r="AC300" s="17"/>
    </row>
    <row r="301" customFormat="false" ht="23.85" hidden="false" customHeight="false" outlineLevel="0" collapsed="false">
      <c r="A301" s="15" t="s">
        <v>1948</v>
      </c>
      <c r="B301" s="15" t="s">
        <v>1949</v>
      </c>
      <c r="C301" s="15" t="s">
        <v>656</v>
      </c>
      <c r="D301" s="15" t="s">
        <v>80</v>
      </c>
      <c r="E301" s="15" t="s">
        <v>370</v>
      </c>
      <c r="F301" s="15"/>
      <c r="G301" s="15" t="s">
        <v>694</v>
      </c>
      <c r="H301" s="15"/>
      <c r="I301" s="15" t="s">
        <v>126</v>
      </c>
      <c r="J301" s="3" t="s">
        <v>1950</v>
      </c>
      <c r="K301" s="15" t="n">
        <f aca="false">LEN(J301)</f>
        <v>71</v>
      </c>
      <c r="L301" s="3" t="s">
        <v>1951</v>
      </c>
      <c r="M301" s="15" t="n">
        <f aca="false">LEN(L301)</f>
        <v>161</v>
      </c>
      <c r="N301" s="3" t="s">
        <v>1952</v>
      </c>
      <c r="O301" s="15"/>
      <c r="P301" s="16"/>
      <c r="Q301" s="15"/>
      <c r="R301" s="15" t="s">
        <v>1953</v>
      </c>
      <c r="S301" s="15" t="n">
        <f aca="false">COUNTIF('Page-Keyword Map'!$A$2:$A$668,B301)</f>
        <v>0</v>
      </c>
      <c r="T301" s="16" t="n">
        <f aca="false">SUMIF('Page-Keyword Map'!$A$2:$A$668,B301,'Page-Keyword Map'!$H$2:$H$668)</f>
        <v>0</v>
      </c>
      <c r="U301" s="15" t="n">
        <f aca="false">COUNTIFS('Page-Keyword Map'!$A$2:$A$668,B301,'Page-Keyword Map'!$E$2:$E$668,"Nationwide")</f>
        <v>0</v>
      </c>
      <c r="V301" s="15" t="n">
        <f aca="false">COUNTIFS('Page-Keyword Map'!$A$2:$A$668,B301,'Page-Keyword Map'!$E$2:$E$668,"Provincial")</f>
        <v>0</v>
      </c>
      <c r="W301" s="15" t="n">
        <f aca="false">COUNTIFS('Page-Keyword Map'!$A$2:$A$668,B301,'Page-Keyword Map'!$E$2:$E$668,"City")</f>
        <v>0</v>
      </c>
      <c r="X301" s="15" t="str">
        <f aca="false">IF(O301="","",IF(ISNUMBER(SEARCH(O301,J301)),"Yes","No"))</f>
        <v/>
      </c>
      <c r="Y301" s="15" t="n">
        <v>0.7</v>
      </c>
      <c r="Z301" s="15" t="s">
        <v>663</v>
      </c>
      <c r="AA301" s="15" t="s">
        <v>131</v>
      </c>
      <c r="AB301" s="17"/>
      <c r="AC301" s="17"/>
    </row>
    <row r="302" customFormat="false" ht="23.85" hidden="false" customHeight="false" outlineLevel="0" collapsed="false">
      <c r="A302" s="15" t="s">
        <v>1954</v>
      </c>
      <c r="B302" s="15" t="s">
        <v>1955</v>
      </c>
      <c r="C302" s="15" t="s">
        <v>656</v>
      </c>
      <c r="D302" s="15" t="s">
        <v>80</v>
      </c>
      <c r="E302" s="15" t="s">
        <v>370</v>
      </c>
      <c r="F302" s="15"/>
      <c r="G302" s="15" t="s">
        <v>701</v>
      </c>
      <c r="H302" s="15"/>
      <c r="I302" s="15" t="s">
        <v>126</v>
      </c>
      <c r="J302" s="3" t="s">
        <v>1956</v>
      </c>
      <c r="K302" s="15" t="n">
        <f aca="false">LEN(J302)</f>
        <v>61</v>
      </c>
      <c r="L302" s="3" t="s">
        <v>1957</v>
      </c>
      <c r="M302" s="15" t="n">
        <f aca="false">LEN(L302)</f>
        <v>162</v>
      </c>
      <c r="N302" s="3" t="s">
        <v>1958</v>
      </c>
      <c r="O302" s="15"/>
      <c r="P302" s="16"/>
      <c r="Q302" s="15"/>
      <c r="R302" s="15" t="s">
        <v>1959</v>
      </c>
      <c r="S302" s="15" t="n">
        <f aca="false">COUNTIF('Page-Keyword Map'!$A$2:$A$668,B302)</f>
        <v>0</v>
      </c>
      <c r="T302" s="16" t="n">
        <f aca="false">SUMIF('Page-Keyword Map'!$A$2:$A$668,B302,'Page-Keyword Map'!$H$2:$H$668)</f>
        <v>0</v>
      </c>
      <c r="U302" s="15" t="n">
        <f aca="false">COUNTIFS('Page-Keyword Map'!$A$2:$A$668,B302,'Page-Keyword Map'!$E$2:$E$668,"Nationwide")</f>
        <v>0</v>
      </c>
      <c r="V302" s="15" t="n">
        <f aca="false">COUNTIFS('Page-Keyword Map'!$A$2:$A$668,B302,'Page-Keyword Map'!$E$2:$E$668,"Provincial")</f>
        <v>0</v>
      </c>
      <c r="W302" s="15" t="n">
        <f aca="false">COUNTIFS('Page-Keyword Map'!$A$2:$A$668,B302,'Page-Keyword Map'!$E$2:$E$668,"City")</f>
        <v>0</v>
      </c>
      <c r="X302" s="15" t="str">
        <f aca="false">IF(O302="","",IF(ISNUMBER(SEARCH(O302,J302)),"Yes","No"))</f>
        <v/>
      </c>
      <c r="Y302" s="15" t="n">
        <v>0.7</v>
      </c>
      <c r="Z302" s="15" t="s">
        <v>663</v>
      </c>
      <c r="AA302" s="15" t="s">
        <v>131</v>
      </c>
      <c r="AB302" s="17"/>
      <c r="AC302" s="17"/>
    </row>
    <row r="303" customFormat="false" ht="23.85" hidden="false" customHeight="false" outlineLevel="0" collapsed="false">
      <c r="A303" s="15" t="s">
        <v>1960</v>
      </c>
      <c r="B303" s="15" t="s">
        <v>1961</v>
      </c>
      <c r="C303" s="15" t="s">
        <v>656</v>
      </c>
      <c r="D303" s="15" t="s">
        <v>80</v>
      </c>
      <c r="E303" s="15" t="s">
        <v>370</v>
      </c>
      <c r="F303" s="15"/>
      <c r="G303" s="15" t="s">
        <v>708</v>
      </c>
      <c r="H303" s="15"/>
      <c r="I303" s="15" t="s">
        <v>126</v>
      </c>
      <c r="J303" s="3" t="s">
        <v>1962</v>
      </c>
      <c r="K303" s="15" t="n">
        <f aca="false">LEN(J303)</f>
        <v>57</v>
      </c>
      <c r="L303" s="3" t="s">
        <v>1963</v>
      </c>
      <c r="M303" s="15" t="n">
        <f aca="false">LEN(L303)</f>
        <v>159</v>
      </c>
      <c r="N303" s="3" t="s">
        <v>1964</v>
      </c>
      <c r="O303" s="15"/>
      <c r="P303" s="16"/>
      <c r="Q303" s="15"/>
      <c r="R303" s="15" t="s">
        <v>1965</v>
      </c>
      <c r="S303" s="15" t="n">
        <f aca="false">COUNTIF('Page-Keyword Map'!$A$2:$A$668,B303)</f>
        <v>0</v>
      </c>
      <c r="T303" s="16" t="n">
        <f aca="false">SUMIF('Page-Keyword Map'!$A$2:$A$668,B303,'Page-Keyword Map'!$H$2:$H$668)</f>
        <v>0</v>
      </c>
      <c r="U303" s="15" t="n">
        <f aca="false">COUNTIFS('Page-Keyword Map'!$A$2:$A$668,B303,'Page-Keyword Map'!$E$2:$E$668,"Nationwide")</f>
        <v>0</v>
      </c>
      <c r="V303" s="15" t="n">
        <f aca="false">COUNTIFS('Page-Keyword Map'!$A$2:$A$668,B303,'Page-Keyword Map'!$E$2:$E$668,"Provincial")</f>
        <v>0</v>
      </c>
      <c r="W303" s="15" t="n">
        <f aca="false">COUNTIFS('Page-Keyword Map'!$A$2:$A$668,B303,'Page-Keyword Map'!$E$2:$E$668,"City")</f>
        <v>0</v>
      </c>
      <c r="X303" s="15" t="str">
        <f aca="false">IF(O303="","",IF(ISNUMBER(SEARCH(O303,J303)),"Yes","No"))</f>
        <v/>
      </c>
      <c r="Y303" s="15" t="n">
        <v>0.7</v>
      </c>
      <c r="Z303" s="15" t="s">
        <v>663</v>
      </c>
      <c r="AA303" s="15" t="s">
        <v>131</v>
      </c>
      <c r="AB303" s="17"/>
      <c r="AC303" s="17"/>
    </row>
    <row r="304" customFormat="false" ht="23.85" hidden="false" customHeight="false" outlineLevel="0" collapsed="false">
      <c r="A304" s="15" t="s">
        <v>1966</v>
      </c>
      <c r="B304" s="15" t="s">
        <v>1967</v>
      </c>
      <c r="C304" s="15" t="s">
        <v>656</v>
      </c>
      <c r="D304" s="15" t="s">
        <v>80</v>
      </c>
      <c r="E304" s="15" t="s">
        <v>370</v>
      </c>
      <c r="F304" s="15"/>
      <c r="G304" s="15" t="s">
        <v>715</v>
      </c>
      <c r="H304" s="15"/>
      <c r="I304" s="15" t="s">
        <v>126</v>
      </c>
      <c r="J304" s="3" t="s">
        <v>1968</v>
      </c>
      <c r="K304" s="15" t="n">
        <f aca="false">LEN(J304)</f>
        <v>57</v>
      </c>
      <c r="L304" s="3" t="s">
        <v>1969</v>
      </c>
      <c r="M304" s="15" t="n">
        <f aca="false">LEN(L304)</f>
        <v>124</v>
      </c>
      <c r="N304" s="3" t="s">
        <v>1970</v>
      </c>
      <c r="O304" s="15"/>
      <c r="P304" s="16"/>
      <c r="Q304" s="15"/>
      <c r="R304" s="15" t="s">
        <v>1971</v>
      </c>
      <c r="S304" s="15" t="n">
        <f aca="false">COUNTIF('Page-Keyword Map'!$A$2:$A$668,B304)</f>
        <v>0</v>
      </c>
      <c r="T304" s="16" t="n">
        <f aca="false">SUMIF('Page-Keyword Map'!$A$2:$A$668,B304,'Page-Keyword Map'!$H$2:$H$668)</f>
        <v>0</v>
      </c>
      <c r="U304" s="15" t="n">
        <f aca="false">COUNTIFS('Page-Keyword Map'!$A$2:$A$668,B304,'Page-Keyword Map'!$E$2:$E$668,"Nationwide")</f>
        <v>0</v>
      </c>
      <c r="V304" s="15" t="n">
        <f aca="false">COUNTIFS('Page-Keyword Map'!$A$2:$A$668,B304,'Page-Keyword Map'!$E$2:$E$668,"Provincial")</f>
        <v>0</v>
      </c>
      <c r="W304" s="15" t="n">
        <f aca="false">COUNTIFS('Page-Keyword Map'!$A$2:$A$668,B304,'Page-Keyword Map'!$E$2:$E$668,"City")</f>
        <v>0</v>
      </c>
      <c r="X304" s="15" t="str">
        <f aca="false">IF(O304="","",IF(ISNUMBER(SEARCH(O304,J304)),"Yes","No"))</f>
        <v/>
      </c>
      <c r="Y304" s="15" t="n">
        <v>0.7</v>
      </c>
      <c r="Z304" s="15" t="s">
        <v>663</v>
      </c>
      <c r="AA304" s="15" t="s">
        <v>131</v>
      </c>
      <c r="AB304" s="17"/>
      <c r="AC304" s="17"/>
    </row>
    <row r="305" customFormat="false" ht="23.85" hidden="false" customHeight="false" outlineLevel="0" collapsed="false">
      <c r="A305" s="15" t="s">
        <v>1972</v>
      </c>
      <c r="B305" s="15" t="s">
        <v>1973</v>
      </c>
      <c r="C305" s="15" t="s">
        <v>656</v>
      </c>
      <c r="D305" s="15" t="s">
        <v>80</v>
      </c>
      <c r="E305" s="15" t="s">
        <v>370</v>
      </c>
      <c r="F305" s="15"/>
      <c r="G305" s="15" t="s">
        <v>722</v>
      </c>
      <c r="H305" s="15"/>
      <c r="I305" s="15" t="s">
        <v>126</v>
      </c>
      <c r="J305" s="3" t="s">
        <v>1974</v>
      </c>
      <c r="K305" s="15" t="n">
        <f aca="false">LEN(J305)</f>
        <v>70</v>
      </c>
      <c r="L305" s="3" t="s">
        <v>1975</v>
      </c>
      <c r="M305" s="15" t="n">
        <f aca="false">LEN(L305)</f>
        <v>161</v>
      </c>
      <c r="N305" s="3" t="s">
        <v>1976</v>
      </c>
      <c r="O305" s="15"/>
      <c r="P305" s="16"/>
      <c r="Q305" s="15"/>
      <c r="R305" s="15" t="s">
        <v>1977</v>
      </c>
      <c r="S305" s="15" t="n">
        <f aca="false">COUNTIF('Page-Keyword Map'!$A$2:$A$668,B305)</f>
        <v>0</v>
      </c>
      <c r="T305" s="16" t="n">
        <f aca="false">SUMIF('Page-Keyword Map'!$A$2:$A$668,B305,'Page-Keyword Map'!$H$2:$H$668)</f>
        <v>0</v>
      </c>
      <c r="U305" s="15" t="n">
        <f aca="false">COUNTIFS('Page-Keyword Map'!$A$2:$A$668,B305,'Page-Keyword Map'!$E$2:$E$668,"Nationwide")</f>
        <v>0</v>
      </c>
      <c r="V305" s="15" t="n">
        <f aca="false">COUNTIFS('Page-Keyword Map'!$A$2:$A$668,B305,'Page-Keyword Map'!$E$2:$E$668,"Provincial")</f>
        <v>0</v>
      </c>
      <c r="W305" s="15" t="n">
        <f aca="false">COUNTIFS('Page-Keyword Map'!$A$2:$A$668,B305,'Page-Keyword Map'!$E$2:$E$668,"City")</f>
        <v>0</v>
      </c>
      <c r="X305" s="15" t="str">
        <f aca="false">IF(O305="","",IF(ISNUMBER(SEARCH(O305,J305)),"Yes","No"))</f>
        <v/>
      </c>
      <c r="Y305" s="15" t="n">
        <v>0.7</v>
      </c>
      <c r="Z305" s="15" t="s">
        <v>663</v>
      </c>
      <c r="AA305" s="15" t="s">
        <v>131</v>
      </c>
      <c r="AB305" s="17"/>
      <c r="AC305" s="17"/>
    </row>
    <row r="306" customFormat="false" ht="23.85" hidden="false" customHeight="false" outlineLevel="0" collapsed="false">
      <c r="A306" s="15" t="s">
        <v>1978</v>
      </c>
      <c r="B306" s="15" t="s">
        <v>1979</v>
      </c>
      <c r="C306" s="15" t="s">
        <v>656</v>
      </c>
      <c r="D306" s="15" t="s">
        <v>80</v>
      </c>
      <c r="E306" s="15" t="s">
        <v>370</v>
      </c>
      <c r="F306" s="15"/>
      <c r="G306" s="15" t="s">
        <v>729</v>
      </c>
      <c r="H306" s="15"/>
      <c r="I306" s="15" t="s">
        <v>126</v>
      </c>
      <c r="J306" s="3" t="s">
        <v>1980</v>
      </c>
      <c r="K306" s="15" t="n">
        <f aca="false">LEN(J306)</f>
        <v>56</v>
      </c>
      <c r="L306" s="3" t="s">
        <v>1981</v>
      </c>
      <c r="M306" s="15" t="n">
        <f aca="false">LEN(L306)</f>
        <v>134</v>
      </c>
      <c r="N306" s="3" t="s">
        <v>1982</v>
      </c>
      <c r="O306" s="15"/>
      <c r="P306" s="16"/>
      <c r="Q306" s="15"/>
      <c r="R306" s="15" t="s">
        <v>1983</v>
      </c>
      <c r="S306" s="15" t="n">
        <f aca="false">COUNTIF('Page-Keyword Map'!$A$2:$A$668,B306)</f>
        <v>0</v>
      </c>
      <c r="T306" s="16" t="n">
        <f aca="false">SUMIF('Page-Keyword Map'!$A$2:$A$668,B306,'Page-Keyword Map'!$H$2:$H$668)</f>
        <v>0</v>
      </c>
      <c r="U306" s="15" t="n">
        <f aca="false">COUNTIFS('Page-Keyword Map'!$A$2:$A$668,B306,'Page-Keyword Map'!$E$2:$E$668,"Nationwide")</f>
        <v>0</v>
      </c>
      <c r="V306" s="15" t="n">
        <f aca="false">COUNTIFS('Page-Keyword Map'!$A$2:$A$668,B306,'Page-Keyword Map'!$E$2:$E$668,"Provincial")</f>
        <v>0</v>
      </c>
      <c r="W306" s="15" t="n">
        <f aca="false">COUNTIFS('Page-Keyword Map'!$A$2:$A$668,B306,'Page-Keyword Map'!$E$2:$E$668,"City")</f>
        <v>0</v>
      </c>
      <c r="X306" s="15" t="str">
        <f aca="false">IF(O306="","",IF(ISNUMBER(SEARCH(O306,J306)),"Yes","No"))</f>
        <v/>
      </c>
      <c r="Y306" s="15" t="n">
        <v>0.7</v>
      </c>
      <c r="Z306" s="15" t="s">
        <v>663</v>
      </c>
      <c r="AA306" s="15" t="s">
        <v>131</v>
      </c>
      <c r="AB306" s="17"/>
      <c r="AC306" s="17"/>
    </row>
    <row r="307" customFormat="false" ht="23.85" hidden="false" customHeight="false" outlineLevel="0" collapsed="false">
      <c r="A307" s="15" t="s">
        <v>1984</v>
      </c>
      <c r="B307" s="15" t="s">
        <v>1985</v>
      </c>
      <c r="C307" s="15" t="s">
        <v>656</v>
      </c>
      <c r="D307" s="15" t="s">
        <v>80</v>
      </c>
      <c r="E307" s="15" t="s">
        <v>370</v>
      </c>
      <c r="F307" s="15"/>
      <c r="G307" s="15" t="s">
        <v>736</v>
      </c>
      <c r="H307" s="15"/>
      <c r="I307" s="15" t="s">
        <v>126</v>
      </c>
      <c r="J307" s="3" t="s">
        <v>1986</v>
      </c>
      <c r="K307" s="15" t="n">
        <f aca="false">LEN(J307)</f>
        <v>62</v>
      </c>
      <c r="L307" s="3" t="s">
        <v>1987</v>
      </c>
      <c r="M307" s="15" t="n">
        <f aca="false">LEN(L307)</f>
        <v>134</v>
      </c>
      <c r="N307" s="3" t="s">
        <v>1988</v>
      </c>
      <c r="O307" s="15"/>
      <c r="P307" s="16"/>
      <c r="Q307" s="15"/>
      <c r="R307" s="15" t="s">
        <v>1989</v>
      </c>
      <c r="S307" s="15" t="n">
        <f aca="false">COUNTIF('Page-Keyword Map'!$A$2:$A$668,B307)</f>
        <v>0</v>
      </c>
      <c r="T307" s="16" t="n">
        <f aca="false">SUMIF('Page-Keyword Map'!$A$2:$A$668,B307,'Page-Keyword Map'!$H$2:$H$668)</f>
        <v>0</v>
      </c>
      <c r="U307" s="15" t="n">
        <f aca="false">COUNTIFS('Page-Keyword Map'!$A$2:$A$668,B307,'Page-Keyword Map'!$E$2:$E$668,"Nationwide")</f>
        <v>0</v>
      </c>
      <c r="V307" s="15" t="n">
        <f aca="false">COUNTIFS('Page-Keyword Map'!$A$2:$A$668,B307,'Page-Keyword Map'!$E$2:$E$668,"Provincial")</f>
        <v>0</v>
      </c>
      <c r="W307" s="15" t="n">
        <f aca="false">COUNTIFS('Page-Keyword Map'!$A$2:$A$668,B307,'Page-Keyword Map'!$E$2:$E$668,"City")</f>
        <v>0</v>
      </c>
      <c r="X307" s="15" t="str">
        <f aca="false">IF(O307="","",IF(ISNUMBER(SEARCH(O307,J307)),"Yes","No"))</f>
        <v/>
      </c>
      <c r="Y307" s="15" t="n">
        <v>0.7</v>
      </c>
      <c r="Z307" s="15" t="s">
        <v>663</v>
      </c>
      <c r="AA307" s="15" t="s">
        <v>131</v>
      </c>
      <c r="AB307" s="17"/>
      <c r="AC307" s="17"/>
    </row>
    <row r="308" customFormat="false" ht="23.85" hidden="false" customHeight="false" outlineLevel="0" collapsed="false">
      <c r="A308" s="15" t="s">
        <v>1990</v>
      </c>
      <c r="B308" s="15" t="s">
        <v>1991</v>
      </c>
      <c r="C308" s="15" t="s">
        <v>656</v>
      </c>
      <c r="D308" s="15" t="s">
        <v>80</v>
      </c>
      <c r="E308" s="15" t="s">
        <v>370</v>
      </c>
      <c r="F308" s="15"/>
      <c r="G308" s="15" t="s">
        <v>743</v>
      </c>
      <c r="H308" s="15"/>
      <c r="I308" s="15" t="s">
        <v>126</v>
      </c>
      <c r="J308" s="3" t="s">
        <v>1992</v>
      </c>
      <c r="K308" s="15" t="n">
        <f aca="false">LEN(J308)</f>
        <v>55</v>
      </c>
      <c r="L308" s="3" t="s">
        <v>1993</v>
      </c>
      <c r="M308" s="15" t="n">
        <f aca="false">LEN(L308)</f>
        <v>153</v>
      </c>
      <c r="N308" s="3" t="s">
        <v>1994</v>
      </c>
      <c r="O308" s="15"/>
      <c r="P308" s="16"/>
      <c r="Q308" s="15"/>
      <c r="R308" s="15" t="s">
        <v>1995</v>
      </c>
      <c r="S308" s="15" t="n">
        <f aca="false">COUNTIF('Page-Keyword Map'!$A$2:$A$668,B308)</f>
        <v>0</v>
      </c>
      <c r="T308" s="16" t="n">
        <f aca="false">SUMIF('Page-Keyword Map'!$A$2:$A$668,B308,'Page-Keyword Map'!$H$2:$H$668)</f>
        <v>0</v>
      </c>
      <c r="U308" s="15" t="n">
        <f aca="false">COUNTIFS('Page-Keyword Map'!$A$2:$A$668,B308,'Page-Keyword Map'!$E$2:$E$668,"Nationwide")</f>
        <v>0</v>
      </c>
      <c r="V308" s="15" t="n">
        <f aca="false">COUNTIFS('Page-Keyword Map'!$A$2:$A$668,B308,'Page-Keyword Map'!$E$2:$E$668,"Provincial")</f>
        <v>0</v>
      </c>
      <c r="W308" s="15" t="n">
        <f aca="false">COUNTIFS('Page-Keyword Map'!$A$2:$A$668,B308,'Page-Keyword Map'!$E$2:$E$668,"City")</f>
        <v>0</v>
      </c>
      <c r="X308" s="15" t="str">
        <f aca="false">IF(O308="","",IF(ISNUMBER(SEARCH(O308,J308)),"Yes","No"))</f>
        <v/>
      </c>
      <c r="Y308" s="15" t="n">
        <v>0.7</v>
      </c>
      <c r="Z308" s="15" t="s">
        <v>663</v>
      </c>
      <c r="AA308" s="15" t="s">
        <v>131</v>
      </c>
      <c r="AB308" s="17"/>
      <c r="AC308" s="17"/>
    </row>
    <row r="309" customFormat="false" ht="23.85" hidden="false" customHeight="false" outlineLevel="0" collapsed="false">
      <c r="A309" s="15" t="s">
        <v>1996</v>
      </c>
      <c r="B309" s="15" t="s">
        <v>1997</v>
      </c>
      <c r="C309" s="15" t="s">
        <v>656</v>
      </c>
      <c r="D309" s="15" t="s">
        <v>74</v>
      </c>
      <c r="E309" s="15" t="s">
        <v>377</v>
      </c>
      <c r="F309" s="15"/>
      <c r="G309" s="15" t="s">
        <v>657</v>
      </c>
      <c r="H309" s="15"/>
      <c r="I309" s="15" t="s">
        <v>126</v>
      </c>
      <c r="J309" s="3" t="s">
        <v>1998</v>
      </c>
      <c r="K309" s="15" t="n">
        <f aca="false">LEN(J309)</f>
        <v>61</v>
      </c>
      <c r="L309" s="3" t="s">
        <v>1999</v>
      </c>
      <c r="M309" s="15" t="n">
        <f aca="false">LEN(L309)</f>
        <v>155</v>
      </c>
      <c r="N309" s="3" t="s">
        <v>2000</v>
      </c>
      <c r="O309" s="15"/>
      <c r="P309" s="16"/>
      <c r="Q309" s="15"/>
      <c r="R309" s="15" t="s">
        <v>2001</v>
      </c>
      <c r="S309" s="15" t="n">
        <f aca="false">COUNTIF('Page-Keyword Map'!$A$2:$A$668,B309)</f>
        <v>0</v>
      </c>
      <c r="T309" s="16" t="n">
        <f aca="false">SUMIF('Page-Keyword Map'!$A$2:$A$668,B309,'Page-Keyword Map'!$H$2:$H$668)</f>
        <v>0</v>
      </c>
      <c r="U309" s="15" t="n">
        <f aca="false">COUNTIFS('Page-Keyword Map'!$A$2:$A$668,B309,'Page-Keyword Map'!$E$2:$E$668,"Nationwide")</f>
        <v>0</v>
      </c>
      <c r="V309" s="15" t="n">
        <f aca="false">COUNTIFS('Page-Keyword Map'!$A$2:$A$668,B309,'Page-Keyword Map'!$E$2:$E$668,"Provincial")</f>
        <v>0</v>
      </c>
      <c r="W309" s="15" t="n">
        <f aca="false">COUNTIFS('Page-Keyword Map'!$A$2:$A$668,B309,'Page-Keyword Map'!$E$2:$E$668,"City")</f>
        <v>0</v>
      </c>
      <c r="X309" s="15" t="str">
        <f aca="false">IF(O309="","",IF(ISNUMBER(SEARCH(O309,J309)),"Yes","No"))</f>
        <v/>
      </c>
      <c r="Y309" s="15" t="n">
        <v>0.7</v>
      </c>
      <c r="Z309" s="15" t="s">
        <v>663</v>
      </c>
      <c r="AA309" s="15" t="s">
        <v>131</v>
      </c>
      <c r="AB309" s="17"/>
      <c r="AC309" s="17"/>
    </row>
    <row r="310" customFormat="false" ht="23.85" hidden="false" customHeight="false" outlineLevel="0" collapsed="false">
      <c r="A310" s="15" t="s">
        <v>2002</v>
      </c>
      <c r="B310" s="15" t="s">
        <v>2003</v>
      </c>
      <c r="C310" s="15" t="s">
        <v>656</v>
      </c>
      <c r="D310" s="15" t="s">
        <v>74</v>
      </c>
      <c r="E310" s="15" t="s">
        <v>377</v>
      </c>
      <c r="F310" s="15"/>
      <c r="G310" s="15" t="s">
        <v>666</v>
      </c>
      <c r="H310" s="15"/>
      <c r="I310" s="15" t="s">
        <v>126</v>
      </c>
      <c r="J310" s="3" t="s">
        <v>2004</v>
      </c>
      <c r="K310" s="15" t="n">
        <f aca="false">LEN(J310)</f>
        <v>70</v>
      </c>
      <c r="L310" s="3" t="s">
        <v>2005</v>
      </c>
      <c r="M310" s="15" t="n">
        <f aca="false">LEN(L310)</f>
        <v>147</v>
      </c>
      <c r="N310" s="3" t="s">
        <v>2006</v>
      </c>
      <c r="O310" s="15"/>
      <c r="P310" s="16"/>
      <c r="Q310" s="15"/>
      <c r="R310" s="15" t="s">
        <v>2007</v>
      </c>
      <c r="S310" s="15" t="n">
        <f aca="false">COUNTIF('Page-Keyword Map'!$A$2:$A$668,B310)</f>
        <v>0</v>
      </c>
      <c r="T310" s="16" t="n">
        <f aca="false">SUMIF('Page-Keyword Map'!$A$2:$A$668,B310,'Page-Keyword Map'!$H$2:$H$668)</f>
        <v>0</v>
      </c>
      <c r="U310" s="15" t="n">
        <f aca="false">COUNTIFS('Page-Keyword Map'!$A$2:$A$668,B310,'Page-Keyword Map'!$E$2:$E$668,"Nationwide")</f>
        <v>0</v>
      </c>
      <c r="V310" s="15" t="n">
        <f aca="false">COUNTIFS('Page-Keyword Map'!$A$2:$A$668,B310,'Page-Keyword Map'!$E$2:$E$668,"Provincial")</f>
        <v>0</v>
      </c>
      <c r="W310" s="15" t="n">
        <f aca="false">COUNTIFS('Page-Keyword Map'!$A$2:$A$668,B310,'Page-Keyword Map'!$E$2:$E$668,"City")</f>
        <v>0</v>
      </c>
      <c r="X310" s="15" t="str">
        <f aca="false">IF(O310="","",IF(ISNUMBER(SEARCH(O310,J310)),"Yes","No"))</f>
        <v/>
      </c>
      <c r="Y310" s="15" t="n">
        <v>0.7</v>
      </c>
      <c r="Z310" s="15" t="s">
        <v>663</v>
      </c>
      <c r="AA310" s="15" t="s">
        <v>131</v>
      </c>
      <c r="AB310" s="17"/>
      <c r="AC310" s="17"/>
    </row>
    <row r="311" customFormat="false" ht="23.85" hidden="false" customHeight="false" outlineLevel="0" collapsed="false">
      <c r="A311" s="15" t="s">
        <v>2008</v>
      </c>
      <c r="B311" s="15" t="s">
        <v>2009</v>
      </c>
      <c r="C311" s="15" t="s">
        <v>656</v>
      </c>
      <c r="D311" s="15" t="s">
        <v>74</v>
      </c>
      <c r="E311" s="15" t="s">
        <v>377</v>
      </c>
      <c r="F311" s="15"/>
      <c r="G311" s="15" t="s">
        <v>673</v>
      </c>
      <c r="H311" s="15"/>
      <c r="I311" s="15" t="s">
        <v>126</v>
      </c>
      <c r="J311" s="3" t="s">
        <v>2010</v>
      </c>
      <c r="K311" s="15" t="n">
        <f aca="false">LEN(J311)</f>
        <v>62</v>
      </c>
      <c r="L311" s="3" t="s">
        <v>2011</v>
      </c>
      <c r="M311" s="15" t="n">
        <f aca="false">LEN(L311)</f>
        <v>130</v>
      </c>
      <c r="N311" s="3" t="s">
        <v>2012</v>
      </c>
      <c r="O311" s="15"/>
      <c r="P311" s="16"/>
      <c r="Q311" s="15"/>
      <c r="R311" s="15" t="s">
        <v>2013</v>
      </c>
      <c r="S311" s="15" t="n">
        <f aca="false">COUNTIF('Page-Keyword Map'!$A$2:$A$668,B311)</f>
        <v>0</v>
      </c>
      <c r="T311" s="16" t="n">
        <f aca="false">SUMIF('Page-Keyword Map'!$A$2:$A$668,B311,'Page-Keyword Map'!$H$2:$H$668)</f>
        <v>0</v>
      </c>
      <c r="U311" s="15" t="n">
        <f aca="false">COUNTIFS('Page-Keyword Map'!$A$2:$A$668,B311,'Page-Keyword Map'!$E$2:$E$668,"Nationwide")</f>
        <v>0</v>
      </c>
      <c r="V311" s="15" t="n">
        <f aca="false">COUNTIFS('Page-Keyword Map'!$A$2:$A$668,B311,'Page-Keyword Map'!$E$2:$E$668,"Provincial")</f>
        <v>0</v>
      </c>
      <c r="W311" s="15" t="n">
        <f aca="false">COUNTIFS('Page-Keyword Map'!$A$2:$A$668,B311,'Page-Keyword Map'!$E$2:$E$668,"City")</f>
        <v>0</v>
      </c>
      <c r="X311" s="15" t="str">
        <f aca="false">IF(O311="","",IF(ISNUMBER(SEARCH(O311,J311)),"Yes","No"))</f>
        <v/>
      </c>
      <c r="Y311" s="15" t="n">
        <v>0.7</v>
      </c>
      <c r="Z311" s="15" t="s">
        <v>663</v>
      </c>
      <c r="AA311" s="15" t="s">
        <v>131</v>
      </c>
      <c r="AB311" s="17"/>
      <c r="AC311" s="17"/>
    </row>
    <row r="312" customFormat="false" ht="23.85" hidden="false" customHeight="false" outlineLevel="0" collapsed="false">
      <c r="A312" s="15" t="s">
        <v>2014</v>
      </c>
      <c r="B312" s="15" t="s">
        <v>2015</v>
      </c>
      <c r="C312" s="15" t="s">
        <v>656</v>
      </c>
      <c r="D312" s="15" t="s">
        <v>74</v>
      </c>
      <c r="E312" s="15" t="s">
        <v>377</v>
      </c>
      <c r="F312" s="15"/>
      <c r="G312" s="15" t="s">
        <v>680</v>
      </c>
      <c r="H312" s="15"/>
      <c r="I312" s="15" t="s">
        <v>126</v>
      </c>
      <c r="J312" s="3" t="s">
        <v>2016</v>
      </c>
      <c r="K312" s="15" t="n">
        <f aca="false">LEN(J312)</f>
        <v>67</v>
      </c>
      <c r="L312" s="3" t="s">
        <v>2017</v>
      </c>
      <c r="M312" s="15" t="n">
        <f aca="false">LEN(L312)</f>
        <v>140</v>
      </c>
      <c r="N312" s="3" t="s">
        <v>2018</v>
      </c>
      <c r="O312" s="15"/>
      <c r="P312" s="16"/>
      <c r="Q312" s="15"/>
      <c r="R312" s="15" t="s">
        <v>2019</v>
      </c>
      <c r="S312" s="15" t="n">
        <f aca="false">COUNTIF('Page-Keyword Map'!$A$2:$A$668,B312)</f>
        <v>0</v>
      </c>
      <c r="T312" s="16" t="n">
        <f aca="false">SUMIF('Page-Keyword Map'!$A$2:$A$668,B312,'Page-Keyword Map'!$H$2:$H$668)</f>
        <v>0</v>
      </c>
      <c r="U312" s="15" t="n">
        <f aca="false">COUNTIFS('Page-Keyword Map'!$A$2:$A$668,B312,'Page-Keyword Map'!$E$2:$E$668,"Nationwide")</f>
        <v>0</v>
      </c>
      <c r="V312" s="15" t="n">
        <f aca="false">COUNTIFS('Page-Keyword Map'!$A$2:$A$668,B312,'Page-Keyword Map'!$E$2:$E$668,"Provincial")</f>
        <v>0</v>
      </c>
      <c r="W312" s="15" t="n">
        <f aca="false">COUNTIFS('Page-Keyword Map'!$A$2:$A$668,B312,'Page-Keyword Map'!$E$2:$E$668,"City")</f>
        <v>0</v>
      </c>
      <c r="X312" s="15" t="str">
        <f aca="false">IF(O312="","",IF(ISNUMBER(SEARCH(O312,J312)),"Yes","No"))</f>
        <v/>
      </c>
      <c r="Y312" s="15" t="n">
        <v>0.7</v>
      </c>
      <c r="Z312" s="15" t="s">
        <v>663</v>
      </c>
      <c r="AA312" s="15" t="s">
        <v>131</v>
      </c>
      <c r="AB312" s="17"/>
      <c r="AC312" s="17"/>
    </row>
    <row r="313" customFormat="false" ht="23.85" hidden="false" customHeight="false" outlineLevel="0" collapsed="false">
      <c r="A313" s="15" t="s">
        <v>2020</v>
      </c>
      <c r="B313" s="15" t="s">
        <v>2021</v>
      </c>
      <c r="C313" s="15" t="s">
        <v>656</v>
      </c>
      <c r="D313" s="15" t="s">
        <v>74</v>
      </c>
      <c r="E313" s="15" t="s">
        <v>377</v>
      </c>
      <c r="F313" s="15"/>
      <c r="G313" s="15" t="s">
        <v>687</v>
      </c>
      <c r="H313" s="15"/>
      <c r="I313" s="15" t="s">
        <v>126</v>
      </c>
      <c r="J313" s="3" t="s">
        <v>2022</v>
      </c>
      <c r="K313" s="15" t="n">
        <f aca="false">LEN(J313)</f>
        <v>79</v>
      </c>
      <c r="L313" s="3" t="s">
        <v>2023</v>
      </c>
      <c r="M313" s="15" t="n">
        <f aca="false">LEN(L313)</f>
        <v>161</v>
      </c>
      <c r="N313" s="3" t="s">
        <v>2024</v>
      </c>
      <c r="O313" s="15"/>
      <c r="P313" s="16"/>
      <c r="Q313" s="15"/>
      <c r="R313" s="15" t="s">
        <v>2025</v>
      </c>
      <c r="S313" s="15" t="n">
        <f aca="false">COUNTIF('Page-Keyword Map'!$A$2:$A$668,B313)</f>
        <v>0</v>
      </c>
      <c r="T313" s="16" t="n">
        <f aca="false">SUMIF('Page-Keyword Map'!$A$2:$A$668,B313,'Page-Keyword Map'!$H$2:$H$668)</f>
        <v>0</v>
      </c>
      <c r="U313" s="15" t="n">
        <f aca="false">COUNTIFS('Page-Keyword Map'!$A$2:$A$668,B313,'Page-Keyword Map'!$E$2:$E$668,"Nationwide")</f>
        <v>0</v>
      </c>
      <c r="V313" s="15" t="n">
        <f aca="false">COUNTIFS('Page-Keyword Map'!$A$2:$A$668,B313,'Page-Keyword Map'!$E$2:$E$668,"Provincial")</f>
        <v>0</v>
      </c>
      <c r="W313" s="15" t="n">
        <f aca="false">COUNTIFS('Page-Keyword Map'!$A$2:$A$668,B313,'Page-Keyword Map'!$E$2:$E$668,"City")</f>
        <v>0</v>
      </c>
      <c r="X313" s="15" t="str">
        <f aca="false">IF(O313="","",IF(ISNUMBER(SEARCH(O313,J313)),"Yes","No"))</f>
        <v/>
      </c>
      <c r="Y313" s="15" t="n">
        <v>0.7</v>
      </c>
      <c r="Z313" s="15" t="s">
        <v>663</v>
      </c>
      <c r="AA313" s="15" t="s">
        <v>131</v>
      </c>
      <c r="AB313" s="17"/>
      <c r="AC313" s="17"/>
    </row>
    <row r="314" customFormat="false" ht="23.85" hidden="false" customHeight="false" outlineLevel="0" collapsed="false">
      <c r="A314" s="15" t="s">
        <v>2026</v>
      </c>
      <c r="B314" s="15" t="s">
        <v>2027</v>
      </c>
      <c r="C314" s="15" t="s">
        <v>656</v>
      </c>
      <c r="D314" s="15" t="s">
        <v>74</v>
      </c>
      <c r="E314" s="15" t="s">
        <v>377</v>
      </c>
      <c r="F314" s="15"/>
      <c r="G314" s="15" t="s">
        <v>694</v>
      </c>
      <c r="H314" s="15"/>
      <c r="I314" s="15" t="s">
        <v>126</v>
      </c>
      <c r="J314" s="3" t="s">
        <v>2028</v>
      </c>
      <c r="K314" s="15" t="n">
        <f aca="false">LEN(J314)</f>
        <v>75</v>
      </c>
      <c r="L314" s="3" t="s">
        <v>2029</v>
      </c>
      <c r="M314" s="15" t="n">
        <f aca="false">LEN(L314)</f>
        <v>162</v>
      </c>
      <c r="N314" s="3" t="s">
        <v>2030</v>
      </c>
      <c r="O314" s="15"/>
      <c r="P314" s="16"/>
      <c r="Q314" s="15"/>
      <c r="R314" s="15" t="s">
        <v>2031</v>
      </c>
      <c r="S314" s="15" t="n">
        <f aca="false">COUNTIF('Page-Keyword Map'!$A$2:$A$668,B314)</f>
        <v>0</v>
      </c>
      <c r="T314" s="16" t="n">
        <f aca="false">SUMIF('Page-Keyword Map'!$A$2:$A$668,B314,'Page-Keyword Map'!$H$2:$H$668)</f>
        <v>0</v>
      </c>
      <c r="U314" s="15" t="n">
        <f aca="false">COUNTIFS('Page-Keyword Map'!$A$2:$A$668,B314,'Page-Keyword Map'!$E$2:$E$668,"Nationwide")</f>
        <v>0</v>
      </c>
      <c r="V314" s="15" t="n">
        <f aca="false">COUNTIFS('Page-Keyword Map'!$A$2:$A$668,B314,'Page-Keyword Map'!$E$2:$E$668,"Provincial")</f>
        <v>0</v>
      </c>
      <c r="W314" s="15" t="n">
        <f aca="false">COUNTIFS('Page-Keyword Map'!$A$2:$A$668,B314,'Page-Keyword Map'!$E$2:$E$668,"City")</f>
        <v>0</v>
      </c>
      <c r="X314" s="15" t="str">
        <f aca="false">IF(O314="","",IF(ISNUMBER(SEARCH(O314,J314)),"Yes","No"))</f>
        <v/>
      </c>
      <c r="Y314" s="15" t="n">
        <v>0.7</v>
      </c>
      <c r="Z314" s="15" t="s">
        <v>663</v>
      </c>
      <c r="AA314" s="15" t="s">
        <v>131</v>
      </c>
      <c r="AB314" s="17"/>
      <c r="AC314" s="17"/>
    </row>
    <row r="315" customFormat="false" ht="23.85" hidden="false" customHeight="false" outlineLevel="0" collapsed="false">
      <c r="A315" s="15" t="s">
        <v>2032</v>
      </c>
      <c r="B315" s="15" t="s">
        <v>2033</v>
      </c>
      <c r="C315" s="15" t="s">
        <v>656</v>
      </c>
      <c r="D315" s="15" t="s">
        <v>74</v>
      </c>
      <c r="E315" s="15" t="s">
        <v>377</v>
      </c>
      <c r="F315" s="15"/>
      <c r="G315" s="15" t="s">
        <v>701</v>
      </c>
      <c r="H315" s="15"/>
      <c r="I315" s="15" t="s">
        <v>126</v>
      </c>
      <c r="J315" s="3" t="s">
        <v>2034</v>
      </c>
      <c r="K315" s="15" t="n">
        <f aca="false">LEN(J315)</f>
        <v>65</v>
      </c>
      <c r="L315" s="3" t="s">
        <v>2035</v>
      </c>
      <c r="M315" s="15" t="n">
        <f aca="false">LEN(L315)</f>
        <v>159</v>
      </c>
      <c r="N315" s="3" t="s">
        <v>2036</v>
      </c>
      <c r="O315" s="15"/>
      <c r="P315" s="16"/>
      <c r="Q315" s="15"/>
      <c r="R315" s="15" t="s">
        <v>2037</v>
      </c>
      <c r="S315" s="15" t="n">
        <f aca="false">COUNTIF('Page-Keyword Map'!$A$2:$A$668,B315)</f>
        <v>0</v>
      </c>
      <c r="T315" s="16" t="n">
        <f aca="false">SUMIF('Page-Keyword Map'!$A$2:$A$668,B315,'Page-Keyword Map'!$H$2:$H$668)</f>
        <v>0</v>
      </c>
      <c r="U315" s="15" t="n">
        <f aca="false">COUNTIFS('Page-Keyword Map'!$A$2:$A$668,B315,'Page-Keyword Map'!$E$2:$E$668,"Nationwide")</f>
        <v>0</v>
      </c>
      <c r="V315" s="15" t="n">
        <f aca="false">COUNTIFS('Page-Keyword Map'!$A$2:$A$668,B315,'Page-Keyword Map'!$E$2:$E$668,"Provincial")</f>
        <v>0</v>
      </c>
      <c r="W315" s="15" t="n">
        <f aca="false">COUNTIFS('Page-Keyword Map'!$A$2:$A$668,B315,'Page-Keyword Map'!$E$2:$E$668,"City")</f>
        <v>0</v>
      </c>
      <c r="X315" s="15" t="str">
        <f aca="false">IF(O315="","",IF(ISNUMBER(SEARCH(O315,J315)),"Yes","No"))</f>
        <v/>
      </c>
      <c r="Y315" s="15" t="n">
        <v>0.7</v>
      </c>
      <c r="Z315" s="15" t="s">
        <v>663</v>
      </c>
      <c r="AA315" s="15" t="s">
        <v>131</v>
      </c>
      <c r="AB315" s="17"/>
      <c r="AC315" s="17"/>
    </row>
    <row r="316" customFormat="false" ht="23.85" hidden="false" customHeight="false" outlineLevel="0" collapsed="false">
      <c r="A316" s="15" t="s">
        <v>2038</v>
      </c>
      <c r="B316" s="15" t="s">
        <v>2039</v>
      </c>
      <c r="C316" s="15" t="s">
        <v>656</v>
      </c>
      <c r="D316" s="15" t="s">
        <v>74</v>
      </c>
      <c r="E316" s="15" t="s">
        <v>377</v>
      </c>
      <c r="F316" s="15"/>
      <c r="G316" s="15" t="s">
        <v>708</v>
      </c>
      <c r="H316" s="15"/>
      <c r="I316" s="15" t="s">
        <v>126</v>
      </c>
      <c r="J316" s="3" t="s">
        <v>2040</v>
      </c>
      <c r="K316" s="15" t="n">
        <f aca="false">LEN(J316)</f>
        <v>61</v>
      </c>
      <c r="L316" s="3" t="s">
        <v>2041</v>
      </c>
      <c r="M316" s="15" t="n">
        <f aca="false">LEN(L316)</f>
        <v>163</v>
      </c>
      <c r="N316" s="3" t="s">
        <v>2042</v>
      </c>
      <c r="O316" s="15"/>
      <c r="P316" s="16"/>
      <c r="Q316" s="15"/>
      <c r="R316" s="15" t="s">
        <v>2043</v>
      </c>
      <c r="S316" s="15" t="n">
        <f aca="false">COUNTIF('Page-Keyword Map'!$A$2:$A$668,B316)</f>
        <v>0</v>
      </c>
      <c r="T316" s="16" t="n">
        <f aca="false">SUMIF('Page-Keyword Map'!$A$2:$A$668,B316,'Page-Keyword Map'!$H$2:$H$668)</f>
        <v>0</v>
      </c>
      <c r="U316" s="15" t="n">
        <f aca="false">COUNTIFS('Page-Keyword Map'!$A$2:$A$668,B316,'Page-Keyword Map'!$E$2:$E$668,"Nationwide")</f>
        <v>0</v>
      </c>
      <c r="V316" s="15" t="n">
        <f aca="false">COUNTIFS('Page-Keyword Map'!$A$2:$A$668,B316,'Page-Keyword Map'!$E$2:$E$668,"Provincial")</f>
        <v>0</v>
      </c>
      <c r="W316" s="15" t="n">
        <f aca="false">COUNTIFS('Page-Keyword Map'!$A$2:$A$668,B316,'Page-Keyword Map'!$E$2:$E$668,"City")</f>
        <v>0</v>
      </c>
      <c r="X316" s="15" t="str">
        <f aca="false">IF(O316="","",IF(ISNUMBER(SEARCH(O316,J316)),"Yes","No"))</f>
        <v/>
      </c>
      <c r="Y316" s="15" t="n">
        <v>0.7</v>
      </c>
      <c r="Z316" s="15" t="s">
        <v>663</v>
      </c>
      <c r="AA316" s="15" t="s">
        <v>131</v>
      </c>
      <c r="AB316" s="17"/>
      <c r="AC316" s="17"/>
    </row>
    <row r="317" customFormat="false" ht="23.85" hidden="false" customHeight="false" outlineLevel="0" collapsed="false">
      <c r="A317" s="15" t="s">
        <v>2044</v>
      </c>
      <c r="B317" s="15" t="s">
        <v>2045</v>
      </c>
      <c r="C317" s="15" t="s">
        <v>656</v>
      </c>
      <c r="D317" s="15" t="s">
        <v>74</v>
      </c>
      <c r="E317" s="15" t="s">
        <v>377</v>
      </c>
      <c r="F317" s="15"/>
      <c r="G317" s="15" t="s">
        <v>715</v>
      </c>
      <c r="H317" s="15"/>
      <c r="I317" s="15" t="s">
        <v>126</v>
      </c>
      <c r="J317" s="3" t="s">
        <v>2046</v>
      </c>
      <c r="K317" s="15" t="n">
        <f aca="false">LEN(J317)</f>
        <v>61</v>
      </c>
      <c r="L317" s="3" t="s">
        <v>2047</v>
      </c>
      <c r="M317" s="15" t="n">
        <f aca="false">LEN(L317)</f>
        <v>128</v>
      </c>
      <c r="N317" s="3" t="s">
        <v>2048</v>
      </c>
      <c r="O317" s="15"/>
      <c r="P317" s="16"/>
      <c r="Q317" s="15"/>
      <c r="R317" s="15" t="s">
        <v>2049</v>
      </c>
      <c r="S317" s="15" t="n">
        <f aca="false">COUNTIF('Page-Keyword Map'!$A$2:$A$668,B317)</f>
        <v>0</v>
      </c>
      <c r="T317" s="16" t="n">
        <f aca="false">SUMIF('Page-Keyword Map'!$A$2:$A$668,B317,'Page-Keyword Map'!$H$2:$H$668)</f>
        <v>0</v>
      </c>
      <c r="U317" s="15" t="n">
        <f aca="false">COUNTIFS('Page-Keyword Map'!$A$2:$A$668,B317,'Page-Keyword Map'!$E$2:$E$668,"Nationwide")</f>
        <v>0</v>
      </c>
      <c r="V317" s="15" t="n">
        <f aca="false">COUNTIFS('Page-Keyword Map'!$A$2:$A$668,B317,'Page-Keyword Map'!$E$2:$E$668,"Provincial")</f>
        <v>0</v>
      </c>
      <c r="W317" s="15" t="n">
        <f aca="false">COUNTIFS('Page-Keyword Map'!$A$2:$A$668,B317,'Page-Keyword Map'!$E$2:$E$668,"City")</f>
        <v>0</v>
      </c>
      <c r="X317" s="15" t="str">
        <f aca="false">IF(O317="","",IF(ISNUMBER(SEARCH(O317,J317)),"Yes","No"))</f>
        <v/>
      </c>
      <c r="Y317" s="15" t="n">
        <v>0.7</v>
      </c>
      <c r="Z317" s="15" t="s">
        <v>663</v>
      </c>
      <c r="AA317" s="15" t="s">
        <v>131</v>
      </c>
      <c r="AB317" s="17"/>
      <c r="AC317" s="17"/>
    </row>
    <row r="318" customFormat="false" ht="23.85" hidden="false" customHeight="false" outlineLevel="0" collapsed="false">
      <c r="A318" s="15" t="s">
        <v>2050</v>
      </c>
      <c r="B318" s="15" t="s">
        <v>2051</v>
      </c>
      <c r="C318" s="15" t="s">
        <v>656</v>
      </c>
      <c r="D318" s="15" t="s">
        <v>74</v>
      </c>
      <c r="E318" s="15" t="s">
        <v>377</v>
      </c>
      <c r="F318" s="15"/>
      <c r="G318" s="15" t="s">
        <v>722</v>
      </c>
      <c r="H318" s="15"/>
      <c r="I318" s="15" t="s">
        <v>126</v>
      </c>
      <c r="J318" s="3" t="s">
        <v>2052</v>
      </c>
      <c r="K318" s="15" t="n">
        <f aca="false">LEN(J318)</f>
        <v>74</v>
      </c>
      <c r="L318" s="3" t="s">
        <v>2053</v>
      </c>
      <c r="M318" s="15" t="n">
        <f aca="false">LEN(L318)</f>
        <v>158</v>
      </c>
      <c r="N318" s="3" t="s">
        <v>2054</v>
      </c>
      <c r="O318" s="15"/>
      <c r="P318" s="16"/>
      <c r="Q318" s="15"/>
      <c r="R318" s="15" t="s">
        <v>2055</v>
      </c>
      <c r="S318" s="15" t="n">
        <f aca="false">COUNTIF('Page-Keyword Map'!$A$2:$A$668,B318)</f>
        <v>0</v>
      </c>
      <c r="T318" s="16" t="n">
        <f aca="false">SUMIF('Page-Keyword Map'!$A$2:$A$668,B318,'Page-Keyword Map'!$H$2:$H$668)</f>
        <v>0</v>
      </c>
      <c r="U318" s="15" t="n">
        <f aca="false">COUNTIFS('Page-Keyword Map'!$A$2:$A$668,B318,'Page-Keyword Map'!$E$2:$E$668,"Nationwide")</f>
        <v>0</v>
      </c>
      <c r="V318" s="15" t="n">
        <f aca="false">COUNTIFS('Page-Keyword Map'!$A$2:$A$668,B318,'Page-Keyword Map'!$E$2:$E$668,"Provincial")</f>
        <v>0</v>
      </c>
      <c r="W318" s="15" t="n">
        <f aca="false">COUNTIFS('Page-Keyword Map'!$A$2:$A$668,B318,'Page-Keyword Map'!$E$2:$E$668,"City")</f>
        <v>0</v>
      </c>
      <c r="X318" s="15" t="str">
        <f aca="false">IF(O318="","",IF(ISNUMBER(SEARCH(O318,J318)),"Yes","No"))</f>
        <v/>
      </c>
      <c r="Y318" s="15" t="n">
        <v>0.7</v>
      </c>
      <c r="Z318" s="15" t="s">
        <v>663</v>
      </c>
      <c r="AA318" s="15" t="s">
        <v>131</v>
      </c>
      <c r="AB318" s="17"/>
      <c r="AC318" s="17"/>
    </row>
    <row r="319" customFormat="false" ht="23.85" hidden="false" customHeight="false" outlineLevel="0" collapsed="false">
      <c r="A319" s="15" t="s">
        <v>2056</v>
      </c>
      <c r="B319" s="15" t="s">
        <v>2057</v>
      </c>
      <c r="C319" s="15" t="s">
        <v>656</v>
      </c>
      <c r="D319" s="15" t="s">
        <v>74</v>
      </c>
      <c r="E319" s="15" t="s">
        <v>377</v>
      </c>
      <c r="F319" s="15"/>
      <c r="G319" s="15" t="s">
        <v>729</v>
      </c>
      <c r="H319" s="15"/>
      <c r="I319" s="15" t="s">
        <v>126</v>
      </c>
      <c r="J319" s="3" t="s">
        <v>2058</v>
      </c>
      <c r="K319" s="15" t="n">
        <f aca="false">LEN(J319)</f>
        <v>60</v>
      </c>
      <c r="L319" s="3" t="s">
        <v>2059</v>
      </c>
      <c r="M319" s="15" t="n">
        <f aca="false">LEN(L319)</f>
        <v>138</v>
      </c>
      <c r="N319" s="3" t="s">
        <v>2060</v>
      </c>
      <c r="O319" s="15"/>
      <c r="P319" s="16"/>
      <c r="Q319" s="15"/>
      <c r="R319" s="15" t="s">
        <v>2061</v>
      </c>
      <c r="S319" s="15" t="n">
        <f aca="false">COUNTIF('Page-Keyword Map'!$A$2:$A$668,B319)</f>
        <v>0</v>
      </c>
      <c r="T319" s="16" t="n">
        <f aca="false">SUMIF('Page-Keyword Map'!$A$2:$A$668,B319,'Page-Keyword Map'!$H$2:$H$668)</f>
        <v>0</v>
      </c>
      <c r="U319" s="15" t="n">
        <f aca="false">COUNTIFS('Page-Keyword Map'!$A$2:$A$668,B319,'Page-Keyword Map'!$E$2:$E$668,"Nationwide")</f>
        <v>0</v>
      </c>
      <c r="V319" s="15" t="n">
        <f aca="false">COUNTIFS('Page-Keyword Map'!$A$2:$A$668,B319,'Page-Keyword Map'!$E$2:$E$668,"Provincial")</f>
        <v>0</v>
      </c>
      <c r="W319" s="15" t="n">
        <f aca="false">COUNTIFS('Page-Keyword Map'!$A$2:$A$668,B319,'Page-Keyword Map'!$E$2:$E$668,"City")</f>
        <v>0</v>
      </c>
      <c r="X319" s="15" t="str">
        <f aca="false">IF(O319="","",IF(ISNUMBER(SEARCH(O319,J319)),"Yes","No"))</f>
        <v/>
      </c>
      <c r="Y319" s="15" t="n">
        <v>0.7</v>
      </c>
      <c r="Z319" s="15" t="s">
        <v>663</v>
      </c>
      <c r="AA319" s="15" t="s">
        <v>131</v>
      </c>
      <c r="AB319" s="17"/>
      <c r="AC319" s="17"/>
    </row>
    <row r="320" customFormat="false" ht="23.85" hidden="false" customHeight="false" outlineLevel="0" collapsed="false">
      <c r="A320" s="15" t="s">
        <v>2062</v>
      </c>
      <c r="B320" s="15" t="s">
        <v>2063</v>
      </c>
      <c r="C320" s="15" t="s">
        <v>656</v>
      </c>
      <c r="D320" s="15" t="s">
        <v>74</v>
      </c>
      <c r="E320" s="15" t="s">
        <v>377</v>
      </c>
      <c r="F320" s="15"/>
      <c r="G320" s="15" t="s">
        <v>736</v>
      </c>
      <c r="H320" s="15"/>
      <c r="I320" s="15" t="s">
        <v>126</v>
      </c>
      <c r="J320" s="3" t="s">
        <v>2064</v>
      </c>
      <c r="K320" s="15" t="n">
        <f aca="false">LEN(J320)</f>
        <v>66</v>
      </c>
      <c r="L320" s="3" t="s">
        <v>2065</v>
      </c>
      <c r="M320" s="15" t="n">
        <f aca="false">LEN(L320)</f>
        <v>138</v>
      </c>
      <c r="N320" s="3" t="s">
        <v>2066</v>
      </c>
      <c r="O320" s="15"/>
      <c r="P320" s="16"/>
      <c r="Q320" s="15"/>
      <c r="R320" s="15" t="s">
        <v>2067</v>
      </c>
      <c r="S320" s="15" t="n">
        <f aca="false">COUNTIF('Page-Keyword Map'!$A$2:$A$668,B320)</f>
        <v>0</v>
      </c>
      <c r="T320" s="16" t="n">
        <f aca="false">SUMIF('Page-Keyword Map'!$A$2:$A$668,B320,'Page-Keyword Map'!$H$2:$H$668)</f>
        <v>0</v>
      </c>
      <c r="U320" s="15" t="n">
        <f aca="false">COUNTIFS('Page-Keyword Map'!$A$2:$A$668,B320,'Page-Keyword Map'!$E$2:$E$668,"Nationwide")</f>
        <v>0</v>
      </c>
      <c r="V320" s="15" t="n">
        <f aca="false">COUNTIFS('Page-Keyword Map'!$A$2:$A$668,B320,'Page-Keyword Map'!$E$2:$E$668,"Provincial")</f>
        <v>0</v>
      </c>
      <c r="W320" s="15" t="n">
        <f aca="false">COUNTIFS('Page-Keyword Map'!$A$2:$A$668,B320,'Page-Keyword Map'!$E$2:$E$668,"City")</f>
        <v>0</v>
      </c>
      <c r="X320" s="15" t="str">
        <f aca="false">IF(O320="","",IF(ISNUMBER(SEARCH(O320,J320)),"Yes","No"))</f>
        <v/>
      </c>
      <c r="Y320" s="15" t="n">
        <v>0.7</v>
      </c>
      <c r="Z320" s="15" t="s">
        <v>663</v>
      </c>
      <c r="AA320" s="15" t="s">
        <v>131</v>
      </c>
      <c r="AB320" s="17"/>
      <c r="AC320" s="17"/>
    </row>
    <row r="321" customFormat="false" ht="23.85" hidden="false" customHeight="false" outlineLevel="0" collapsed="false">
      <c r="A321" s="15" t="s">
        <v>2068</v>
      </c>
      <c r="B321" s="15" t="s">
        <v>2069</v>
      </c>
      <c r="C321" s="15" t="s">
        <v>656</v>
      </c>
      <c r="D321" s="15" t="s">
        <v>74</v>
      </c>
      <c r="E321" s="15" t="s">
        <v>377</v>
      </c>
      <c r="F321" s="15"/>
      <c r="G321" s="15" t="s">
        <v>743</v>
      </c>
      <c r="H321" s="15"/>
      <c r="I321" s="15" t="s">
        <v>126</v>
      </c>
      <c r="J321" s="3" t="s">
        <v>2070</v>
      </c>
      <c r="K321" s="15" t="n">
        <f aca="false">LEN(J321)</f>
        <v>59</v>
      </c>
      <c r="L321" s="3" t="s">
        <v>2071</v>
      </c>
      <c r="M321" s="15" t="n">
        <f aca="false">LEN(L321)</f>
        <v>157</v>
      </c>
      <c r="N321" s="3" t="s">
        <v>2072</v>
      </c>
      <c r="O321" s="15"/>
      <c r="P321" s="16"/>
      <c r="Q321" s="15"/>
      <c r="R321" s="15" t="s">
        <v>2073</v>
      </c>
      <c r="S321" s="15" t="n">
        <f aca="false">COUNTIF('Page-Keyword Map'!$A$2:$A$668,B321)</f>
        <v>0</v>
      </c>
      <c r="T321" s="16" t="n">
        <f aca="false">SUMIF('Page-Keyword Map'!$A$2:$A$668,B321,'Page-Keyword Map'!$H$2:$H$668)</f>
        <v>0</v>
      </c>
      <c r="U321" s="15" t="n">
        <f aca="false">COUNTIFS('Page-Keyword Map'!$A$2:$A$668,B321,'Page-Keyword Map'!$E$2:$E$668,"Nationwide")</f>
        <v>0</v>
      </c>
      <c r="V321" s="15" t="n">
        <f aca="false">COUNTIFS('Page-Keyword Map'!$A$2:$A$668,B321,'Page-Keyword Map'!$E$2:$E$668,"Provincial")</f>
        <v>0</v>
      </c>
      <c r="W321" s="15" t="n">
        <f aca="false">COUNTIFS('Page-Keyword Map'!$A$2:$A$668,B321,'Page-Keyword Map'!$E$2:$E$668,"City")</f>
        <v>0</v>
      </c>
      <c r="X321" s="15" t="str">
        <f aca="false">IF(O321="","",IF(ISNUMBER(SEARCH(O321,J321)),"Yes","No"))</f>
        <v/>
      </c>
      <c r="Y321" s="15" t="n">
        <v>0.7</v>
      </c>
      <c r="Z321" s="15" t="s">
        <v>663</v>
      </c>
      <c r="AA321" s="15" t="s">
        <v>131</v>
      </c>
      <c r="AB321" s="17"/>
      <c r="AC321" s="17"/>
    </row>
    <row r="322" customFormat="false" ht="23.85" hidden="false" customHeight="false" outlineLevel="0" collapsed="false">
      <c r="A322" s="15" t="s">
        <v>2074</v>
      </c>
      <c r="B322" s="15" t="s">
        <v>2075</v>
      </c>
      <c r="C322" s="15" t="s">
        <v>2076</v>
      </c>
      <c r="D322" s="15" t="s">
        <v>89</v>
      </c>
      <c r="E322" s="15" t="s">
        <v>258</v>
      </c>
      <c r="F322" s="15"/>
      <c r="G322" s="15" t="s">
        <v>657</v>
      </c>
      <c r="H322" s="15" t="s">
        <v>2077</v>
      </c>
      <c r="I322" s="15" t="s">
        <v>211</v>
      </c>
      <c r="J322" s="3" t="s">
        <v>2078</v>
      </c>
      <c r="K322" s="15" t="n">
        <f aca="false">LEN(J322)</f>
        <v>61</v>
      </c>
      <c r="L322" s="3" t="s">
        <v>2079</v>
      </c>
      <c r="M322" s="15" t="n">
        <f aca="false">LEN(L322)</f>
        <v>140</v>
      </c>
      <c r="N322" s="3" t="s">
        <v>2080</v>
      </c>
      <c r="O322" s="15" t="s">
        <v>2081</v>
      </c>
      <c r="P322" s="16" t="n">
        <v>32</v>
      </c>
      <c r="Q322" s="15" t="s">
        <v>104</v>
      </c>
      <c r="R322" s="15"/>
      <c r="S322" s="15" t="n">
        <f aca="false">COUNTIF('Page-Keyword Map'!$A$2:$A$668,B322)</f>
        <v>1</v>
      </c>
      <c r="T322" s="16" t="n">
        <f aca="false">SUMIF('Page-Keyword Map'!$A$2:$A$668,B322,'Page-Keyword Map'!$H$2:$H$668)</f>
        <v>32</v>
      </c>
      <c r="U322" s="15" t="n">
        <f aca="false">COUNTIFS('Page-Keyword Map'!$A$2:$A$668,B322,'Page-Keyword Map'!$E$2:$E$668,"Nationwide")</f>
        <v>0</v>
      </c>
      <c r="V322" s="15" t="n">
        <f aca="false">COUNTIFS('Page-Keyword Map'!$A$2:$A$668,B322,'Page-Keyword Map'!$E$2:$E$668,"Provincial")</f>
        <v>0</v>
      </c>
      <c r="W322" s="15" t="n">
        <f aca="false">COUNTIFS('Page-Keyword Map'!$A$2:$A$668,B322,'Page-Keyword Map'!$E$2:$E$668,"City")</f>
        <v>1</v>
      </c>
      <c r="X322" s="15" t="str">
        <f aca="false">IF(O322="","",IF(ISNUMBER(SEARCH(O322,J322)),"Yes","No"))</f>
        <v>Yes</v>
      </c>
      <c r="Y322" s="15" t="n">
        <v>0.5</v>
      </c>
      <c r="Z322" s="15" t="s">
        <v>216</v>
      </c>
      <c r="AA322" s="15" t="s">
        <v>217</v>
      </c>
      <c r="AB322" s="17"/>
      <c r="AC322" s="17"/>
    </row>
    <row r="323" customFormat="false" ht="23.85" hidden="false" customHeight="false" outlineLevel="0" collapsed="false">
      <c r="A323" s="15" t="s">
        <v>2082</v>
      </c>
      <c r="B323" s="15" t="s">
        <v>2083</v>
      </c>
      <c r="C323" s="15" t="s">
        <v>2076</v>
      </c>
      <c r="D323" s="15" t="s">
        <v>89</v>
      </c>
      <c r="E323" s="15" t="s">
        <v>258</v>
      </c>
      <c r="F323" s="15"/>
      <c r="G323" s="15" t="s">
        <v>657</v>
      </c>
      <c r="H323" s="15" t="s">
        <v>2084</v>
      </c>
      <c r="I323" s="15" t="s">
        <v>126</v>
      </c>
      <c r="J323" s="3" t="s">
        <v>2085</v>
      </c>
      <c r="K323" s="15" t="n">
        <f aca="false">LEN(J323)</f>
        <v>61</v>
      </c>
      <c r="L323" s="3" t="s">
        <v>2086</v>
      </c>
      <c r="M323" s="15" t="n">
        <f aca="false">LEN(L323)</f>
        <v>140</v>
      </c>
      <c r="N323" s="3" t="s">
        <v>2087</v>
      </c>
      <c r="O323" s="15" t="s">
        <v>2088</v>
      </c>
      <c r="P323" s="16" t="n">
        <v>320</v>
      </c>
      <c r="Q323" s="15" t="s">
        <v>104</v>
      </c>
      <c r="R323" s="15"/>
      <c r="S323" s="15" t="n">
        <f aca="false">COUNTIF('Page-Keyword Map'!$A$2:$A$668,B323)</f>
        <v>1</v>
      </c>
      <c r="T323" s="16" t="n">
        <f aca="false">SUMIF('Page-Keyword Map'!$A$2:$A$668,B323,'Page-Keyword Map'!$H$2:$H$668)</f>
        <v>320</v>
      </c>
      <c r="U323" s="15" t="n">
        <f aca="false">COUNTIFS('Page-Keyword Map'!$A$2:$A$668,B323,'Page-Keyword Map'!$E$2:$E$668,"Nationwide")</f>
        <v>0</v>
      </c>
      <c r="V323" s="15" t="n">
        <f aca="false">COUNTIFS('Page-Keyword Map'!$A$2:$A$668,B323,'Page-Keyword Map'!$E$2:$E$668,"Provincial")</f>
        <v>0</v>
      </c>
      <c r="W323" s="15" t="n">
        <f aca="false">COUNTIFS('Page-Keyword Map'!$A$2:$A$668,B323,'Page-Keyword Map'!$E$2:$E$668,"City")</f>
        <v>1</v>
      </c>
      <c r="X323" s="15" t="str">
        <f aca="false">IF(O323="","",IF(ISNUMBER(SEARCH(O323,J323)),"Yes","No"))</f>
        <v>Yes</v>
      </c>
      <c r="Y323" s="15" t="n">
        <v>0.7</v>
      </c>
      <c r="Z323" s="15" t="s">
        <v>2089</v>
      </c>
      <c r="AA323" s="15" t="s">
        <v>131</v>
      </c>
      <c r="AB323" s="17"/>
      <c r="AC323" s="17"/>
    </row>
    <row r="324" customFormat="false" ht="23.85" hidden="false" customHeight="false" outlineLevel="0" collapsed="false">
      <c r="A324" s="15" t="s">
        <v>2090</v>
      </c>
      <c r="B324" s="15" t="s">
        <v>2091</v>
      </c>
      <c r="C324" s="15" t="s">
        <v>2076</v>
      </c>
      <c r="D324" s="15" t="s">
        <v>89</v>
      </c>
      <c r="E324" s="15" t="s">
        <v>258</v>
      </c>
      <c r="F324" s="15"/>
      <c r="G324" s="15" t="s">
        <v>657</v>
      </c>
      <c r="H324" s="15" t="s">
        <v>2092</v>
      </c>
      <c r="I324" s="15" t="s">
        <v>126</v>
      </c>
      <c r="J324" s="3" t="s">
        <v>2093</v>
      </c>
      <c r="K324" s="15" t="n">
        <f aca="false">LEN(J324)</f>
        <v>62</v>
      </c>
      <c r="L324" s="3" t="s">
        <v>2094</v>
      </c>
      <c r="M324" s="15" t="n">
        <f aca="false">LEN(L324)</f>
        <v>141</v>
      </c>
      <c r="N324" s="3" t="s">
        <v>2095</v>
      </c>
      <c r="O324" s="15" t="s">
        <v>2096</v>
      </c>
      <c r="P324" s="16" t="n">
        <v>260</v>
      </c>
      <c r="Q324" s="15" t="s">
        <v>104</v>
      </c>
      <c r="R324" s="15"/>
      <c r="S324" s="15" t="n">
        <f aca="false">COUNTIF('Page-Keyword Map'!$A$2:$A$668,B324)</f>
        <v>1</v>
      </c>
      <c r="T324" s="16" t="n">
        <f aca="false">SUMIF('Page-Keyword Map'!$A$2:$A$668,B324,'Page-Keyword Map'!$H$2:$H$668)</f>
        <v>260</v>
      </c>
      <c r="U324" s="15" t="n">
        <f aca="false">COUNTIFS('Page-Keyword Map'!$A$2:$A$668,B324,'Page-Keyword Map'!$E$2:$E$668,"Nationwide")</f>
        <v>0</v>
      </c>
      <c r="V324" s="15" t="n">
        <f aca="false">COUNTIFS('Page-Keyword Map'!$A$2:$A$668,B324,'Page-Keyword Map'!$E$2:$E$668,"Provincial")</f>
        <v>0</v>
      </c>
      <c r="W324" s="15" t="n">
        <f aca="false">COUNTIFS('Page-Keyword Map'!$A$2:$A$668,B324,'Page-Keyword Map'!$E$2:$E$668,"City")</f>
        <v>1</v>
      </c>
      <c r="X324" s="15" t="str">
        <f aca="false">IF(O324="","",IF(ISNUMBER(SEARCH(O324,J324)),"Yes","No"))</f>
        <v>Yes</v>
      </c>
      <c r="Y324" s="15" t="n">
        <v>0.7</v>
      </c>
      <c r="Z324" s="15" t="s">
        <v>2089</v>
      </c>
      <c r="AA324" s="15" t="s">
        <v>131</v>
      </c>
      <c r="AB324" s="17"/>
      <c r="AC324" s="17"/>
    </row>
    <row r="325" customFormat="false" ht="23.85" hidden="false" customHeight="false" outlineLevel="0" collapsed="false">
      <c r="A325" s="15" t="s">
        <v>2097</v>
      </c>
      <c r="B325" s="15" t="s">
        <v>2098</v>
      </c>
      <c r="C325" s="15" t="s">
        <v>2076</v>
      </c>
      <c r="D325" s="15" t="s">
        <v>89</v>
      </c>
      <c r="E325" s="15" t="s">
        <v>258</v>
      </c>
      <c r="F325" s="15"/>
      <c r="G325" s="15" t="s">
        <v>657</v>
      </c>
      <c r="H325" s="15" t="s">
        <v>2099</v>
      </c>
      <c r="I325" s="15" t="s">
        <v>211</v>
      </c>
      <c r="J325" s="3" t="s">
        <v>2100</v>
      </c>
      <c r="K325" s="15" t="n">
        <f aca="false">LEN(J325)</f>
        <v>64</v>
      </c>
      <c r="L325" s="3" t="s">
        <v>2101</v>
      </c>
      <c r="M325" s="15" t="n">
        <f aca="false">LEN(L325)</f>
        <v>143</v>
      </c>
      <c r="N325" s="3" t="s">
        <v>2102</v>
      </c>
      <c r="O325" s="15" t="s">
        <v>2103</v>
      </c>
      <c r="P325" s="16" t="n">
        <v>41</v>
      </c>
      <c r="Q325" s="15" t="s">
        <v>104</v>
      </c>
      <c r="R325" s="15"/>
      <c r="S325" s="15" t="n">
        <f aca="false">COUNTIF('Page-Keyword Map'!$A$2:$A$668,B325)</f>
        <v>1</v>
      </c>
      <c r="T325" s="16" t="n">
        <f aca="false">SUMIF('Page-Keyword Map'!$A$2:$A$668,B325,'Page-Keyword Map'!$H$2:$H$668)</f>
        <v>41</v>
      </c>
      <c r="U325" s="15" t="n">
        <f aca="false">COUNTIFS('Page-Keyword Map'!$A$2:$A$668,B325,'Page-Keyword Map'!$E$2:$E$668,"Nationwide")</f>
        <v>0</v>
      </c>
      <c r="V325" s="15" t="n">
        <f aca="false">COUNTIFS('Page-Keyword Map'!$A$2:$A$668,B325,'Page-Keyword Map'!$E$2:$E$668,"Provincial")</f>
        <v>0</v>
      </c>
      <c r="W325" s="15" t="n">
        <f aca="false">COUNTIFS('Page-Keyword Map'!$A$2:$A$668,B325,'Page-Keyword Map'!$E$2:$E$668,"City")</f>
        <v>1</v>
      </c>
      <c r="X325" s="15" t="str">
        <f aca="false">IF(O325="","",IF(ISNUMBER(SEARCH(O325,J325)),"Yes","No"))</f>
        <v>Yes</v>
      </c>
      <c r="Y325" s="15" t="n">
        <v>0.5</v>
      </c>
      <c r="Z325" s="15" t="s">
        <v>216</v>
      </c>
      <c r="AA325" s="15" t="s">
        <v>217</v>
      </c>
      <c r="AB325" s="17"/>
      <c r="AC325" s="17"/>
    </row>
    <row r="326" customFormat="false" ht="23.85" hidden="false" customHeight="false" outlineLevel="0" collapsed="false">
      <c r="A326" s="15" t="s">
        <v>2104</v>
      </c>
      <c r="B326" s="15" t="s">
        <v>2105</v>
      </c>
      <c r="C326" s="15" t="s">
        <v>2076</v>
      </c>
      <c r="D326" s="15" t="s">
        <v>89</v>
      </c>
      <c r="E326" s="15" t="s">
        <v>258</v>
      </c>
      <c r="F326" s="15"/>
      <c r="G326" s="15" t="s">
        <v>657</v>
      </c>
      <c r="H326" s="15" t="s">
        <v>2106</v>
      </c>
      <c r="I326" s="15" t="s">
        <v>211</v>
      </c>
      <c r="J326" s="3" t="s">
        <v>2107</v>
      </c>
      <c r="K326" s="15" t="n">
        <f aca="false">LEN(J326)</f>
        <v>62</v>
      </c>
      <c r="L326" s="3" t="s">
        <v>2108</v>
      </c>
      <c r="M326" s="15" t="n">
        <f aca="false">LEN(L326)</f>
        <v>141</v>
      </c>
      <c r="N326" s="3" t="s">
        <v>2109</v>
      </c>
      <c r="O326" s="15" t="s">
        <v>2110</v>
      </c>
      <c r="P326" s="16" t="n">
        <v>41</v>
      </c>
      <c r="Q326" s="15" t="s">
        <v>104</v>
      </c>
      <c r="R326" s="15"/>
      <c r="S326" s="15" t="n">
        <f aca="false">COUNTIF('Page-Keyword Map'!$A$2:$A$668,B326)</f>
        <v>1</v>
      </c>
      <c r="T326" s="16" t="n">
        <f aca="false">SUMIF('Page-Keyword Map'!$A$2:$A$668,B326,'Page-Keyword Map'!$H$2:$H$668)</f>
        <v>41</v>
      </c>
      <c r="U326" s="15" t="n">
        <f aca="false">COUNTIFS('Page-Keyword Map'!$A$2:$A$668,B326,'Page-Keyword Map'!$E$2:$E$668,"Nationwide")</f>
        <v>0</v>
      </c>
      <c r="V326" s="15" t="n">
        <f aca="false">COUNTIFS('Page-Keyword Map'!$A$2:$A$668,B326,'Page-Keyword Map'!$E$2:$E$668,"Provincial")</f>
        <v>0</v>
      </c>
      <c r="W326" s="15" t="n">
        <f aca="false">COUNTIFS('Page-Keyword Map'!$A$2:$A$668,B326,'Page-Keyword Map'!$E$2:$E$668,"City")</f>
        <v>1</v>
      </c>
      <c r="X326" s="15" t="str">
        <f aca="false">IF(O326="","",IF(ISNUMBER(SEARCH(O326,J326)),"Yes","No"))</f>
        <v>Yes</v>
      </c>
      <c r="Y326" s="15" t="n">
        <v>0.5</v>
      </c>
      <c r="Z326" s="15" t="s">
        <v>216</v>
      </c>
      <c r="AA326" s="15" t="s">
        <v>217</v>
      </c>
      <c r="AB326" s="17"/>
      <c r="AC326" s="17"/>
    </row>
    <row r="327" customFormat="false" ht="23.85" hidden="false" customHeight="false" outlineLevel="0" collapsed="false">
      <c r="A327" s="15" t="s">
        <v>2111</v>
      </c>
      <c r="B327" s="15" t="s">
        <v>2112</v>
      </c>
      <c r="C327" s="15" t="s">
        <v>2076</v>
      </c>
      <c r="D327" s="15" t="s">
        <v>89</v>
      </c>
      <c r="E327" s="15" t="s">
        <v>258</v>
      </c>
      <c r="F327" s="15"/>
      <c r="G327" s="15" t="s">
        <v>666</v>
      </c>
      <c r="H327" s="15" t="s">
        <v>2113</v>
      </c>
      <c r="I327" s="15" t="s">
        <v>211</v>
      </c>
      <c r="J327" s="3" t="s">
        <v>2114</v>
      </c>
      <c r="K327" s="15" t="n">
        <f aca="false">LEN(J327)</f>
        <v>64</v>
      </c>
      <c r="L327" s="3" t="s">
        <v>2115</v>
      </c>
      <c r="M327" s="15" t="n">
        <f aca="false">LEN(L327)</f>
        <v>152</v>
      </c>
      <c r="N327" s="3" t="s">
        <v>2116</v>
      </c>
      <c r="O327" s="15" t="s">
        <v>2117</v>
      </c>
      <c r="P327" s="16" t="n">
        <v>58</v>
      </c>
      <c r="Q327" s="15" t="s">
        <v>104</v>
      </c>
      <c r="R327" s="15"/>
      <c r="S327" s="15" t="n">
        <f aca="false">COUNTIF('Page-Keyword Map'!$A$2:$A$668,B327)</f>
        <v>1</v>
      </c>
      <c r="T327" s="16" t="n">
        <f aca="false">SUMIF('Page-Keyword Map'!$A$2:$A$668,B327,'Page-Keyword Map'!$H$2:$H$668)</f>
        <v>58</v>
      </c>
      <c r="U327" s="15" t="n">
        <f aca="false">COUNTIFS('Page-Keyword Map'!$A$2:$A$668,B327,'Page-Keyword Map'!$E$2:$E$668,"Nationwide")</f>
        <v>0</v>
      </c>
      <c r="V327" s="15" t="n">
        <f aca="false">COUNTIFS('Page-Keyword Map'!$A$2:$A$668,B327,'Page-Keyword Map'!$E$2:$E$668,"Provincial")</f>
        <v>0</v>
      </c>
      <c r="W327" s="15" t="n">
        <f aca="false">COUNTIFS('Page-Keyword Map'!$A$2:$A$668,B327,'Page-Keyword Map'!$E$2:$E$668,"City")</f>
        <v>1</v>
      </c>
      <c r="X327" s="15" t="str">
        <f aca="false">IF(O327="","",IF(ISNUMBER(SEARCH(O327,J327)),"Yes","No"))</f>
        <v>Yes</v>
      </c>
      <c r="Y327" s="15" t="n">
        <v>0.5</v>
      </c>
      <c r="Z327" s="15" t="s">
        <v>216</v>
      </c>
      <c r="AA327" s="15" t="s">
        <v>217</v>
      </c>
      <c r="AB327" s="17"/>
      <c r="AC327" s="17"/>
    </row>
    <row r="328" customFormat="false" ht="23.85" hidden="false" customHeight="false" outlineLevel="0" collapsed="false">
      <c r="A328" s="15" t="s">
        <v>2118</v>
      </c>
      <c r="B328" s="15" t="s">
        <v>2119</v>
      </c>
      <c r="C328" s="15" t="s">
        <v>2076</v>
      </c>
      <c r="D328" s="15" t="s">
        <v>89</v>
      </c>
      <c r="E328" s="15" t="s">
        <v>258</v>
      </c>
      <c r="F328" s="15"/>
      <c r="G328" s="15" t="s">
        <v>666</v>
      </c>
      <c r="H328" s="15" t="s">
        <v>2120</v>
      </c>
      <c r="I328" s="15" t="s">
        <v>126</v>
      </c>
      <c r="J328" s="3" t="s">
        <v>2121</v>
      </c>
      <c r="K328" s="15" t="n">
        <f aca="false">LEN(J328)</f>
        <v>61</v>
      </c>
      <c r="L328" s="3" t="s">
        <v>2122</v>
      </c>
      <c r="M328" s="15" t="n">
        <f aca="false">LEN(L328)</f>
        <v>149</v>
      </c>
      <c r="N328" s="3" t="s">
        <v>2123</v>
      </c>
      <c r="O328" s="15" t="s">
        <v>2124</v>
      </c>
      <c r="P328" s="16" t="n">
        <v>86</v>
      </c>
      <c r="Q328" s="15" t="s">
        <v>104</v>
      </c>
      <c r="R328" s="15"/>
      <c r="S328" s="15" t="n">
        <f aca="false">COUNTIF('Page-Keyword Map'!$A$2:$A$668,B328)</f>
        <v>1</v>
      </c>
      <c r="T328" s="16" t="n">
        <f aca="false">SUMIF('Page-Keyword Map'!$A$2:$A$668,B328,'Page-Keyword Map'!$H$2:$H$668)</f>
        <v>86</v>
      </c>
      <c r="U328" s="15" t="n">
        <f aca="false">COUNTIFS('Page-Keyword Map'!$A$2:$A$668,B328,'Page-Keyword Map'!$E$2:$E$668,"Nationwide")</f>
        <v>0</v>
      </c>
      <c r="V328" s="15" t="n">
        <f aca="false">COUNTIFS('Page-Keyword Map'!$A$2:$A$668,B328,'Page-Keyword Map'!$E$2:$E$668,"Provincial")</f>
        <v>0</v>
      </c>
      <c r="W328" s="15" t="n">
        <f aca="false">COUNTIFS('Page-Keyword Map'!$A$2:$A$668,B328,'Page-Keyword Map'!$E$2:$E$668,"City")</f>
        <v>1</v>
      </c>
      <c r="X328" s="15" t="str">
        <f aca="false">IF(O328="","",IF(ISNUMBER(SEARCH(O328,J328)),"Yes","No"))</f>
        <v>Yes</v>
      </c>
      <c r="Y328" s="15" t="n">
        <v>0.7</v>
      </c>
      <c r="Z328" s="15" t="s">
        <v>2089</v>
      </c>
      <c r="AA328" s="15" t="s">
        <v>131</v>
      </c>
      <c r="AB328" s="17"/>
      <c r="AC328" s="17"/>
    </row>
    <row r="329" customFormat="false" ht="23.85" hidden="false" customHeight="false" outlineLevel="0" collapsed="false">
      <c r="A329" s="15" t="s">
        <v>2125</v>
      </c>
      <c r="B329" s="15" t="s">
        <v>2126</v>
      </c>
      <c r="C329" s="15" t="s">
        <v>2076</v>
      </c>
      <c r="D329" s="15" t="s">
        <v>89</v>
      </c>
      <c r="E329" s="15" t="s">
        <v>258</v>
      </c>
      <c r="F329" s="15"/>
      <c r="G329" s="15" t="s">
        <v>666</v>
      </c>
      <c r="H329" s="15" t="s">
        <v>2127</v>
      </c>
      <c r="I329" s="15" t="s">
        <v>211</v>
      </c>
      <c r="J329" s="3" t="s">
        <v>2128</v>
      </c>
      <c r="K329" s="15" t="n">
        <f aca="false">LEN(J329)</f>
        <v>63</v>
      </c>
      <c r="L329" s="3" t="s">
        <v>2129</v>
      </c>
      <c r="M329" s="15" t="n">
        <f aca="false">LEN(L329)</f>
        <v>151</v>
      </c>
      <c r="N329" s="3" t="s">
        <v>2130</v>
      </c>
      <c r="O329" s="15" t="s">
        <v>2131</v>
      </c>
      <c r="P329" s="16" t="n">
        <v>57</v>
      </c>
      <c r="Q329" s="15" t="s">
        <v>104</v>
      </c>
      <c r="R329" s="15"/>
      <c r="S329" s="15" t="n">
        <f aca="false">COUNTIF('Page-Keyword Map'!$A$2:$A$668,B329)</f>
        <v>1</v>
      </c>
      <c r="T329" s="16" t="n">
        <f aca="false">SUMIF('Page-Keyword Map'!$A$2:$A$668,B329,'Page-Keyword Map'!$H$2:$H$668)</f>
        <v>57</v>
      </c>
      <c r="U329" s="15" t="n">
        <f aca="false">COUNTIFS('Page-Keyword Map'!$A$2:$A$668,B329,'Page-Keyword Map'!$E$2:$E$668,"Nationwide")</f>
        <v>0</v>
      </c>
      <c r="V329" s="15" t="n">
        <f aca="false">COUNTIFS('Page-Keyword Map'!$A$2:$A$668,B329,'Page-Keyword Map'!$E$2:$E$668,"Provincial")</f>
        <v>0</v>
      </c>
      <c r="W329" s="15" t="n">
        <f aca="false">COUNTIFS('Page-Keyword Map'!$A$2:$A$668,B329,'Page-Keyword Map'!$E$2:$E$668,"City")</f>
        <v>1</v>
      </c>
      <c r="X329" s="15" t="str">
        <f aca="false">IF(O329="","",IF(ISNUMBER(SEARCH(O329,J329)),"Yes","No"))</f>
        <v>Yes</v>
      </c>
      <c r="Y329" s="15" t="n">
        <v>0.5</v>
      </c>
      <c r="Z329" s="15" t="s">
        <v>216</v>
      </c>
      <c r="AA329" s="15" t="s">
        <v>217</v>
      </c>
      <c r="AB329" s="17"/>
      <c r="AC329" s="17"/>
    </row>
    <row r="330" customFormat="false" ht="23.85" hidden="false" customHeight="false" outlineLevel="0" collapsed="false">
      <c r="A330" s="15" t="s">
        <v>2132</v>
      </c>
      <c r="B330" s="15" t="s">
        <v>2133</v>
      </c>
      <c r="C330" s="15" t="s">
        <v>2076</v>
      </c>
      <c r="D330" s="15" t="s">
        <v>89</v>
      </c>
      <c r="E330" s="15" t="s">
        <v>258</v>
      </c>
      <c r="F330" s="15"/>
      <c r="G330" s="15" t="s">
        <v>666</v>
      </c>
      <c r="H330" s="15" t="s">
        <v>2134</v>
      </c>
      <c r="I330" s="15" t="s">
        <v>126</v>
      </c>
      <c r="J330" s="3" t="s">
        <v>2135</v>
      </c>
      <c r="K330" s="15" t="n">
        <f aca="false">LEN(J330)</f>
        <v>61</v>
      </c>
      <c r="L330" s="3" t="s">
        <v>2136</v>
      </c>
      <c r="M330" s="15" t="n">
        <f aca="false">LEN(L330)</f>
        <v>149</v>
      </c>
      <c r="N330" s="3" t="s">
        <v>2137</v>
      </c>
      <c r="O330" s="15" t="s">
        <v>2138</v>
      </c>
      <c r="P330" s="16" t="n">
        <v>55</v>
      </c>
      <c r="Q330" s="15" t="s">
        <v>104</v>
      </c>
      <c r="R330" s="15"/>
      <c r="S330" s="15" t="n">
        <f aca="false">COUNTIF('Page-Keyword Map'!$A$2:$A$668,B330)</f>
        <v>1</v>
      </c>
      <c r="T330" s="16" t="n">
        <f aca="false">SUMIF('Page-Keyword Map'!$A$2:$A$668,B330,'Page-Keyword Map'!$H$2:$H$668)</f>
        <v>55</v>
      </c>
      <c r="U330" s="15" t="n">
        <f aca="false">COUNTIFS('Page-Keyword Map'!$A$2:$A$668,B330,'Page-Keyword Map'!$E$2:$E$668,"Nationwide")</f>
        <v>0</v>
      </c>
      <c r="V330" s="15" t="n">
        <f aca="false">COUNTIFS('Page-Keyword Map'!$A$2:$A$668,B330,'Page-Keyword Map'!$E$2:$E$668,"Provincial")</f>
        <v>0</v>
      </c>
      <c r="W330" s="15" t="n">
        <f aca="false">COUNTIFS('Page-Keyword Map'!$A$2:$A$668,B330,'Page-Keyword Map'!$E$2:$E$668,"City")</f>
        <v>1</v>
      </c>
      <c r="X330" s="15" t="str">
        <f aca="false">IF(O330="","",IF(ISNUMBER(SEARCH(O330,J330)),"Yes","No"))</f>
        <v>Yes</v>
      </c>
      <c r="Y330" s="15" t="n">
        <v>0.7</v>
      </c>
      <c r="Z330" s="15" t="s">
        <v>2089</v>
      </c>
      <c r="AA330" s="15" t="s">
        <v>131</v>
      </c>
      <c r="AB330" s="17"/>
      <c r="AC330" s="17"/>
    </row>
    <row r="331" customFormat="false" ht="23.85" hidden="false" customHeight="false" outlineLevel="0" collapsed="false">
      <c r="A331" s="15" t="s">
        <v>2139</v>
      </c>
      <c r="B331" s="15" t="s">
        <v>2140</v>
      </c>
      <c r="C331" s="15" t="s">
        <v>2076</v>
      </c>
      <c r="D331" s="15" t="s">
        <v>89</v>
      </c>
      <c r="E331" s="15" t="s">
        <v>258</v>
      </c>
      <c r="F331" s="15"/>
      <c r="G331" s="15" t="s">
        <v>666</v>
      </c>
      <c r="H331" s="15" t="s">
        <v>2141</v>
      </c>
      <c r="I331" s="15" t="s">
        <v>211</v>
      </c>
      <c r="J331" s="3" t="s">
        <v>2142</v>
      </c>
      <c r="K331" s="15" t="n">
        <f aca="false">LEN(J331)</f>
        <v>61</v>
      </c>
      <c r="L331" s="3" t="s">
        <v>2143</v>
      </c>
      <c r="M331" s="15" t="n">
        <f aca="false">LEN(L331)</f>
        <v>149</v>
      </c>
      <c r="N331" s="3" t="s">
        <v>2144</v>
      </c>
      <c r="O331" s="15" t="s">
        <v>2145</v>
      </c>
      <c r="P331" s="16" t="n">
        <v>52</v>
      </c>
      <c r="Q331" s="15" t="s">
        <v>104</v>
      </c>
      <c r="R331" s="15"/>
      <c r="S331" s="15" t="n">
        <f aca="false">COUNTIF('Page-Keyword Map'!$A$2:$A$668,B331)</f>
        <v>1</v>
      </c>
      <c r="T331" s="16" t="n">
        <f aca="false">SUMIF('Page-Keyword Map'!$A$2:$A$668,B331,'Page-Keyword Map'!$H$2:$H$668)</f>
        <v>52</v>
      </c>
      <c r="U331" s="15" t="n">
        <f aca="false">COUNTIFS('Page-Keyword Map'!$A$2:$A$668,B331,'Page-Keyword Map'!$E$2:$E$668,"Nationwide")</f>
        <v>0</v>
      </c>
      <c r="V331" s="15" t="n">
        <f aca="false">COUNTIFS('Page-Keyword Map'!$A$2:$A$668,B331,'Page-Keyword Map'!$E$2:$E$668,"Provincial")</f>
        <v>0</v>
      </c>
      <c r="W331" s="15" t="n">
        <f aca="false">COUNTIFS('Page-Keyword Map'!$A$2:$A$668,B331,'Page-Keyword Map'!$E$2:$E$668,"City")</f>
        <v>1</v>
      </c>
      <c r="X331" s="15" t="str">
        <f aca="false">IF(O331="","",IF(ISNUMBER(SEARCH(O331,J331)),"Yes","No"))</f>
        <v>Yes</v>
      </c>
      <c r="Y331" s="15" t="n">
        <v>0.5</v>
      </c>
      <c r="Z331" s="15" t="s">
        <v>216</v>
      </c>
      <c r="AA331" s="15" t="s">
        <v>217</v>
      </c>
      <c r="AB331" s="17"/>
      <c r="AC331" s="17"/>
    </row>
    <row r="332" customFormat="false" ht="23.85" hidden="false" customHeight="false" outlineLevel="0" collapsed="false">
      <c r="A332" s="15" t="s">
        <v>2146</v>
      </c>
      <c r="B332" s="15" t="s">
        <v>2147</v>
      </c>
      <c r="C332" s="15" t="s">
        <v>2076</v>
      </c>
      <c r="D332" s="15" t="s">
        <v>89</v>
      </c>
      <c r="E332" s="15" t="s">
        <v>258</v>
      </c>
      <c r="F332" s="15"/>
      <c r="G332" s="15" t="s">
        <v>666</v>
      </c>
      <c r="H332" s="15" t="s">
        <v>2148</v>
      </c>
      <c r="I332" s="15" t="s">
        <v>211</v>
      </c>
      <c r="J332" s="3" t="s">
        <v>2149</v>
      </c>
      <c r="K332" s="15" t="n">
        <f aca="false">LEN(J332)</f>
        <v>62</v>
      </c>
      <c r="L332" s="3" t="s">
        <v>2150</v>
      </c>
      <c r="M332" s="15" t="n">
        <f aca="false">LEN(L332)</f>
        <v>150</v>
      </c>
      <c r="N332" s="3" t="s">
        <v>2151</v>
      </c>
      <c r="O332" s="15" t="s">
        <v>2152</v>
      </c>
      <c r="P332" s="16" t="n">
        <v>75</v>
      </c>
      <c r="Q332" s="15" t="s">
        <v>104</v>
      </c>
      <c r="R332" s="15"/>
      <c r="S332" s="15" t="n">
        <f aca="false">COUNTIF('Page-Keyword Map'!$A$2:$A$668,B332)</f>
        <v>1</v>
      </c>
      <c r="T332" s="16" t="n">
        <f aca="false">SUMIF('Page-Keyword Map'!$A$2:$A$668,B332,'Page-Keyword Map'!$H$2:$H$668)</f>
        <v>75</v>
      </c>
      <c r="U332" s="15" t="n">
        <f aca="false">COUNTIFS('Page-Keyword Map'!$A$2:$A$668,B332,'Page-Keyword Map'!$E$2:$E$668,"Nationwide")</f>
        <v>0</v>
      </c>
      <c r="V332" s="15" t="n">
        <f aca="false">COUNTIFS('Page-Keyword Map'!$A$2:$A$668,B332,'Page-Keyword Map'!$E$2:$E$668,"Provincial")</f>
        <v>0</v>
      </c>
      <c r="W332" s="15" t="n">
        <f aca="false">COUNTIFS('Page-Keyword Map'!$A$2:$A$668,B332,'Page-Keyword Map'!$E$2:$E$668,"City")</f>
        <v>1</v>
      </c>
      <c r="X332" s="15" t="str">
        <f aca="false">IF(O332="","",IF(ISNUMBER(SEARCH(O332,J332)),"Yes","No"))</f>
        <v>No</v>
      </c>
      <c r="Y332" s="15" t="n">
        <v>0.5</v>
      </c>
      <c r="Z332" s="15" t="s">
        <v>216</v>
      </c>
      <c r="AA332" s="15" t="s">
        <v>217</v>
      </c>
      <c r="AB332" s="17"/>
      <c r="AC332" s="17"/>
    </row>
    <row r="333" customFormat="false" ht="23.85" hidden="false" customHeight="false" outlineLevel="0" collapsed="false">
      <c r="A333" s="15" t="s">
        <v>2153</v>
      </c>
      <c r="B333" s="15" t="s">
        <v>2154</v>
      </c>
      <c r="C333" s="15" t="s">
        <v>2076</v>
      </c>
      <c r="D333" s="15" t="s">
        <v>89</v>
      </c>
      <c r="E333" s="15" t="s">
        <v>258</v>
      </c>
      <c r="F333" s="15"/>
      <c r="G333" s="15" t="s">
        <v>666</v>
      </c>
      <c r="H333" s="15" t="s">
        <v>2155</v>
      </c>
      <c r="I333" s="15" t="s">
        <v>126</v>
      </c>
      <c r="J333" s="3" t="s">
        <v>2156</v>
      </c>
      <c r="K333" s="15" t="n">
        <f aca="false">LEN(J333)</f>
        <v>60</v>
      </c>
      <c r="L333" s="3" t="s">
        <v>2157</v>
      </c>
      <c r="M333" s="15" t="n">
        <f aca="false">LEN(L333)</f>
        <v>148</v>
      </c>
      <c r="N333" s="3" t="s">
        <v>2158</v>
      </c>
      <c r="O333" s="15" t="s">
        <v>2159</v>
      </c>
      <c r="P333" s="16" t="n">
        <v>170</v>
      </c>
      <c r="Q333" s="15" t="s">
        <v>104</v>
      </c>
      <c r="R333" s="15"/>
      <c r="S333" s="15" t="n">
        <f aca="false">COUNTIF('Page-Keyword Map'!$A$2:$A$668,B333)</f>
        <v>1</v>
      </c>
      <c r="T333" s="16" t="n">
        <f aca="false">SUMIF('Page-Keyword Map'!$A$2:$A$668,B333,'Page-Keyword Map'!$H$2:$H$668)</f>
        <v>170</v>
      </c>
      <c r="U333" s="15" t="n">
        <f aca="false">COUNTIFS('Page-Keyword Map'!$A$2:$A$668,B333,'Page-Keyword Map'!$E$2:$E$668,"Nationwide")</f>
        <v>0</v>
      </c>
      <c r="V333" s="15" t="n">
        <f aca="false">COUNTIFS('Page-Keyword Map'!$A$2:$A$668,B333,'Page-Keyword Map'!$E$2:$E$668,"Provincial")</f>
        <v>0</v>
      </c>
      <c r="W333" s="15" t="n">
        <f aca="false">COUNTIFS('Page-Keyword Map'!$A$2:$A$668,B333,'Page-Keyword Map'!$E$2:$E$668,"City")</f>
        <v>1</v>
      </c>
      <c r="X333" s="15" t="str">
        <f aca="false">IF(O333="","",IF(ISNUMBER(SEARCH(O333,J333)),"Yes","No"))</f>
        <v>Yes</v>
      </c>
      <c r="Y333" s="15" t="n">
        <v>0.7</v>
      </c>
      <c r="Z333" s="15" t="s">
        <v>2089</v>
      </c>
      <c r="AA333" s="15" t="s">
        <v>131</v>
      </c>
      <c r="AB333" s="17"/>
      <c r="AC333" s="17"/>
    </row>
    <row r="334" customFormat="false" ht="23.85" hidden="false" customHeight="false" outlineLevel="0" collapsed="false">
      <c r="A334" s="15" t="s">
        <v>2160</v>
      </c>
      <c r="B334" s="15" t="s">
        <v>2161</v>
      </c>
      <c r="C334" s="15" t="s">
        <v>2076</v>
      </c>
      <c r="D334" s="15" t="s">
        <v>89</v>
      </c>
      <c r="E334" s="15" t="s">
        <v>258</v>
      </c>
      <c r="F334" s="15"/>
      <c r="G334" s="15" t="s">
        <v>666</v>
      </c>
      <c r="H334" s="15" t="s">
        <v>2162</v>
      </c>
      <c r="I334" s="15" t="s">
        <v>126</v>
      </c>
      <c r="J334" s="3" t="s">
        <v>2163</v>
      </c>
      <c r="K334" s="15" t="n">
        <f aca="false">LEN(J334)</f>
        <v>63</v>
      </c>
      <c r="L334" s="3" t="s">
        <v>2164</v>
      </c>
      <c r="M334" s="15" t="n">
        <f aca="false">LEN(L334)</f>
        <v>151</v>
      </c>
      <c r="N334" s="3" t="s">
        <v>2165</v>
      </c>
      <c r="O334" s="15" t="s">
        <v>2166</v>
      </c>
      <c r="P334" s="16" t="n">
        <v>190</v>
      </c>
      <c r="Q334" s="15" t="s">
        <v>104</v>
      </c>
      <c r="R334" s="15"/>
      <c r="S334" s="15" t="n">
        <f aca="false">COUNTIF('Page-Keyword Map'!$A$2:$A$668,B334)</f>
        <v>1</v>
      </c>
      <c r="T334" s="16" t="n">
        <f aca="false">SUMIF('Page-Keyword Map'!$A$2:$A$668,B334,'Page-Keyword Map'!$H$2:$H$668)</f>
        <v>190</v>
      </c>
      <c r="U334" s="15" t="n">
        <f aca="false">COUNTIFS('Page-Keyword Map'!$A$2:$A$668,B334,'Page-Keyword Map'!$E$2:$E$668,"Nationwide")</f>
        <v>0</v>
      </c>
      <c r="V334" s="15" t="n">
        <f aca="false">COUNTIFS('Page-Keyword Map'!$A$2:$A$668,B334,'Page-Keyword Map'!$E$2:$E$668,"Provincial")</f>
        <v>0</v>
      </c>
      <c r="W334" s="15" t="n">
        <f aca="false">COUNTIFS('Page-Keyword Map'!$A$2:$A$668,B334,'Page-Keyword Map'!$E$2:$E$668,"City")</f>
        <v>1</v>
      </c>
      <c r="X334" s="15" t="str">
        <f aca="false">IF(O334="","",IF(ISNUMBER(SEARCH(O334,J334)),"Yes","No"))</f>
        <v>Yes</v>
      </c>
      <c r="Y334" s="15" t="n">
        <v>0.7</v>
      </c>
      <c r="Z334" s="15" t="s">
        <v>2089</v>
      </c>
      <c r="AA334" s="15" t="s">
        <v>131</v>
      </c>
      <c r="AB334" s="17"/>
      <c r="AC334" s="17"/>
    </row>
    <row r="335" customFormat="false" ht="23.85" hidden="false" customHeight="false" outlineLevel="0" collapsed="false">
      <c r="A335" s="15" t="s">
        <v>2167</v>
      </c>
      <c r="B335" s="15" t="s">
        <v>2168</v>
      </c>
      <c r="C335" s="15" t="s">
        <v>2076</v>
      </c>
      <c r="D335" s="15" t="s">
        <v>89</v>
      </c>
      <c r="E335" s="15" t="s">
        <v>258</v>
      </c>
      <c r="F335" s="15"/>
      <c r="G335" s="15" t="s">
        <v>666</v>
      </c>
      <c r="H335" s="15" t="s">
        <v>2169</v>
      </c>
      <c r="I335" s="15" t="s">
        <v>126</v>
      </c>
      <c r="J335" s="3" t="s">
        <v>2170</v>
      </c>
      <c r="K335" s="15" t="n">
        <f aca="false">LEN(J335)</f>
        <v>62</v>
      </c>
      <c r="L335" s="3" t="s">
        <v>2171</v>
      </c>
      <c r="M335" s="15" t="n">
        <f aca="false">LEN(L335)</f>
        <v>150</v>
      </c>
      <c r="N335" s="3" t="s">
        <v>2172</v>
      </c>
      <c r="O335" s="15" t="s">
        <v>2173</v>
      </c>
      <c r="P335" s="16" t="n">
        <v>39</v>
      </c>
      <c r="Q335" s="15" t="s">
        <v>104</v>
      </c>
      <c r="R335" s="15"/>
      <c r="S335" s="15" t="n">
        <f aca="false">COUNTIF('Page-Keyword Map'!$A$2:$A$668,B335)</f>
        <v>1</v>
      </c>
      <c r="T335" s="16" t="n">
        <f aca="false">SUMIF('Page-Keyword Map'!$A$2:$A$668,B335,'Page-Keyword Map'!$H$2:$H$668)</f>
        <v>39</v>
      </c>
      <c r="U335" s="15" t="n">
        <f aca="false">COUNTIFS('Page-Keyword Map'!$A$2:$A$668,B335,'Page-Keyword Map'!$E$2:$E$668,"Nationwide")</f>
        <v>0</v>
      </c>
      <c r="V335" s="15" t="n">
        <f aca="false">COUNTIFS('Page-Keyword Map'!$A$2:$A$668,B335,'Page-Keyword Map'!$E$2:$E$668,"Provincial")</f>
        <v>0</v>
      </c>
      <c r="W335" s="15" t="n">
        <f aca="false">COUNTIFS('Page-Keyword Map'!$A$2:$A$668,B335,'Page-Keyword Map'!$E$2:$E$668,"City")</f>
        <v>1</v>
      </c>
      <c r="X335" s="15" t="str">
        <f aca="false">IF(O335="","",IF(ISNUMBER(SEARCH(O335,J335)),"Yes","No"))</f>
        <v>Yes</v>
      </c>
      <c r="Y335" s="15" t="n">
        <v>0.7</v>
      </c>
      <c r="Z335" s="15" t="s">
        <v>2089</v>
      </c>
      <c r="AA335" s="15" t="s">
        <v>131</v>
      </c>
      <c r="AB335" s="17"/>
      <c r="AC335" s="17"/>
    </row>
    <row r="336" customFormat="false" ht="23.85" hidden="false" customHeight="false" outlineLevel="0" collapsed="false">
      <c r="A336" s="15" t="s">
        <v>2174</v>
      </c>
      <c r="B336" s="15" t="s">
        <v>2175</v>
      </c>
      <c r="C336" s="15" t="s">
        <v>2076</v>
      </c>
      <c r="D336" s="15" t="s">
        <v>89</v>
      </c>
      <c r="E336" s="15" t="s">
        <v>258</v>
      </c>
      <c r="F336" s="15"/>
      <c r="G336" s="15" t="s">
        <v>673</v>
      </c>
      <c r="H336" s="15" t="s">
        <v>2176</v>
      </c>
      <c r="I336" s="15" t="s">
        <v>211</v>
      </c>
      <c r="J336" s="3" t="s">
        <v>2177</v>
      </c>
      <c r="K336" s="15" t="n">
        <f aca="false">LEN(J336)</f>
        <v>61</v>
      </c>
      <c r="L336" s="3" t="s">
        <v>2178</v>
      </c>
      <c r="M336" s="15" t="n">
        <f aca="false">LEN(L336)</f>
        <v>141</v>
      </c>
      <c r="N336" s="3" t="s">
        <v>2179</v>
      </c>
      <c r="O336" s="15" t="s">
        <v>2180</v>
      </c>
      <c r="P336" s="16" t="n">
        <v>24</v>
      </c>
      <c r="Q336" s="15" t="s">
        <v>104</v>
      </c>
      <c r="R336" s="15"/>
      <c r="S336" s="15" t="n">
        <f aca="false">COUNTIF('Page-Keyword Map'!$A$2:$A$668,B336)</f>
        <v>1</v>
      </c>
      <c r="T336" s="16" t="n">
        <f aca="false">SUMIF('Page-Keyword Map'!$A$2:$A$668,B336,'Page-Keyword Map'!$H$2:$H$668)</f>
        <v>24</v>
      </c>
      <c r="U336" s="15" t="n">
        <f aca="false">COUNTIFS('Page-Keyword Map'!$A$2:$A$668,B336,'Page-Keyword Map'!$E$2:$E$668,"Nationwide")</f>
        <v>0</v>
      </c>
      <c r="V336" s="15" t="n">
        <f aca="false">COUNTIFS('Page-Keyword Map'!$A$2:$A$668,B336,'Page-Keyword Map'!$E$2:$E$668,"Provincial")</f>
        <v>0</v>
      </c>
      <c r="W336" s="15" t="n">
        <f aca="false">COUNTIFS('Page-Keyword Map'!$A$2:$A$668,B336,'Page-Keyword Map'!$E$2:$E$668,"City")</f>
        <v>1</v>
      </c>
      <c r="X336" s="15" t="str">
        <f aca="false">IF(O336="","",IF(ISNUMBER(SEARCH(O336,J336)),"Yes","No"))</f>
        <v>Yes</v>
      </c>
      <c r="Y336" s="15" t="n">
        <v>0.5</v>
      </c>
      <c r="Z336" s="15" t="s">
        <v>216</v>
      </c>
      <c r="AA336" s="15" t="s">
        <v>217</v>
      </c>
      <c r="AB336" s="17"/>
      <c r="AC336" s="17"/>
    </row>
    <row r="337" customFormat="false" ht="23.85" hidden="false" customHeight="false" outlineLevel="0" collapsed="false">
      <c r="A337" s="15" t="s">
        <v>2181</v>
      </c>
      <c r="B337" s="15" t="s">
        <v>2182</v>
      </c>
      <c r="C337" s="15" t="s">
        <v>2076</v>
      </c>
      <c r="D337" s="15" t="s">
        <v>89</v>
      </c>
      <c r="E337" s="15" t="s">
        <v>258</v>
      </c>
      <c r="F337" s="15"/>
      <c r="G337" s="15" t="s">
        <v>673</v>
      </c>
      <c r="H337" s="15" t="s">
        <v>2183</v>
      </c>
      <c r="I337" s="15" t="s">
        <v>126</v>
      </c>
      <c r="J337" s="3" t="s">
        <v>2184</v>
      </c>
      <c r="K337" s="15" t="n">
        <f aca="false">LEN(J337)</f>
        <v>62</v>
      </c>
      <c r="L337" s="3" t="s">
        <v>2185</v>
      </c>
      <c r="M337" s="15" t="n">
        <f aca="false">LEN(L337)</f>
        <v>142</v>
      </c>
      <c r="N337" s="3" t="s">
        <v>2186</v>
      </c>
      <c r="O337" s="15" t="s">
        <v>2187</v>
      </c>
      <c r="P337" s="16" t="n">
        <v>210</v>
      </c>
      <c r="Q337" s="15" t="s">
        <v>104</v>
      </c>
      <c r="R337" s="15"/>
      <c r="S337" s="15" t="n">
        <f aca="false">COUNTIF('Page-Keyword Map'!$A$2:$A$668,B337)</f>
        <v>1</v>
      </c>
      <c r="T337" s="16" t="n">
        <f aca="false">SUMIF('Page-Keyword Map'!$A$2:$A$668,B337,'Page-Keyword Map'!$H$2:$H$668)</f>
        <v>210</v>
      </c>
      <c r="U337" s="15" t="n">
        <f aca="false">COUNTIFS('Page-Keyword Map'!$A$2:$A$668,B337,'Page-Keyword Map'!$E$2:$E$668,"Nationwide")</f>
        <v>0</v>
      </c>
      <c r="V337" s="15" t="n">
        <f aca="false">COUNTIFS('Page-Keyword Map'!$A$2:$A$668,B337,'Page-Keyword Map'!$E$2:$E$668,"Provincial")</f>
        <v>0</v>
      </c>
      <c r="W337" s="15" t="n">
        <f aca="false">COUNTIFS('Page-Keyword Map'!$A$2:$A$668,B337,'Page-Keyword Map'!$E$2:$E$668,"City")</f>
        <v>1</v>
      </c>
      <c r="X337" s="15" t="str">
        <f aca="false">IF(O337="","",IF(ISNUMBER(SEARCH(O337,J337)),"Yes","No"))</f>
        <v>Yes</v>
      </c>
      <c r="Y337" s="15" t="n">
        <v>0.7</v>
      </c>
      <c r="Z337" s="15" t="s">
        <v>2089</v>
      </c>
      <c r="AA337" s="15" t="s">
        <v>131</v>
      </c>
      <c r="AB337" s="17"/>
      <c r="AC337" s="17"/>
    </row>
    <row r="338" customFormat="false" ht="23.85" hidden="false" customHeight="false" outlineLevel="0" collapsed="false">
      <c r="A338" s="15" t="s">
        <v>2188</v>
      </c>
      <c r="B338" s="15" t="s">
        <v>2189</v>
      </c>
      <c r="C338" s="15" t="s">
        <v>2076</v>
      </c>
      <c r="D338" s="15" t="s">
        <v>89</v>
      </c>
      <c r="E338" s="15" t="s">
        <v>258</v>
      </c>
      <c r="F338" s="15"/>
      <c r="G338" s="15" t="s">
        <v>680</v>
      </c>
      <c r="H338" s="15" t="s">
        <v>2190</v>
      </c>
      <c r="I338" s="15" t="s">
        <v>211</v>
      </c>
      <c r="J338" s="3" t="s">
        <v>2191</v>
      </c>
      <c r="K338" s="15" t="n">
        <f aca="false">LEN(J338)</f>
        <v>65</v>
      </c>
      <c r="L338" s="3" t="s">
        <v>2192</v>
      </c>
      <c r="M338" s="15" t="n">
        <f aca="false">LEN(L338)</f>
        <v>150</v>
      </c>
      <c r="N338" s="3" t="s">
        <v>2193</v>
      </c>
      <c r="O338" s="15" t="s">
        <v>2194</v>
      </c>
      <c r="P338" s="16" t="n">
        <v>29</v>
      </c>
      <c r="Q338" s="15" t="s">
        <v>104</v>
      </c>
      <c r="R338" s="15"/>
      <c r="S338" s="15" t="n">
        <f aca="false">COUNTIF('Page-Keyword Map'!$A$2:$A$668,B338)</f>
        <v>1</v>
      </c>
      <c r="T338" s="16" t="n">
        <f aca="false">SUMIF('Page-Keyword Map'!$A$2:$A$668,B338,'Page-Keyword Map'!$H$2:$H$668)</f>
        <v>29</v>
      </c>
      <c r="U338" s="15" t="n">
        <f aca="false">COUNTIFS('Page-Keyword Map'!$A$2:$A$668,B338,'Page-Keyword Map'!$E$2:$E$668,"Nationwide")</f>
        <v>0</v>
      </c>
      <c r="V338" s="15" t="n">
        <f aca="false">COUNTIFS('Page-Keyword Map'!$A$2:$A$668,B338,'Page-Keyword Map'!$E$2:$E$668,"Provincial")</f>
        <v>0</v>
      </c>
      <c r="W338" s="15" t="n">
        <f aca="false">COUNTIFS('Page-Keyword Map'!$A$2:$A$668,B338,'Page-Keyword Map'!$E$2:$E$668,"City")</f>
        <v>1</v>
      </c>
      <c r="X338" s="15" t="str">
        <f aca="false">IF(O338="","",IF(ISNUMBER(SEARCH(O338,J338)),"Yes","No"))</f>
        <v>Yes</v>
      </c>
      <c r="Y338" s="15" t="n">
        <v>0.5</v>
      </c>
      <c r="Z338" s="15" t="s">
        <v>216</v>
      </c>
      <c r="AA338" s="15" t="s">
        <v>217</v>
      </c>
      <c r="AB338" s="17"/>
      <c r="AC338" s="17"/>
    </row>
    <row r="339" customFormat="false" ht="23.85" hidden="false" customHeight="false" outlineLevel="0" collapsed="false">
      <c r="A339" s="15" t="s">
        <v>2195</v>
      </c>
      <c r="B339" s="15" t="s">
        <v>2196</v>
      </c>
      <c r="C339" s="15" t="s">
        <v>2076</v>
      </c>
      <c r="D339" s="15" t="s">
        <v>89</v>
      </c>
      <c r="E339" s="15" t="s">
        <v>258</v>
      </c>
      <c r="F339" s="15"/>
      <c r="G339" s="15" t="s">
        <v>680</v>
      </c>
      <c r="H339" s="15" t="s">
        <v>2197</v>
      </c>
      <c r="I339" s="15" t="s">
        <v>211</v>
      </c>
      <c r="J339" s="3" t="s">
        <v>2198</v>
      </c>
      <c r="K339" s="15" t="n">
        <f aca="false">LEN(J339)</f>
        <v>61</v>
      </c>
      <c r="L339" s="3" t="s">
        <v>2199</v>
      </c>
      <c r="M339" s="15" t="n">
        <f aca="false">LEN(L339)</f>
        <v>146</v>
      </c>
      <c r="N339" s="3" t="s">
        <v>2200</v>
      </c>
      <c r="O339" s="15" t="s">
        <v>2201</v>
      </c>
      <c r="P339" s="16" t="n">
        <v>34</v>
      </c>
      <c r="Q339" s="15" t="s">
        <v>104</v>
      </c>
      <c r="R339" s="15"/>
      <c r="S339" s="15" t="n">
        <f aca="false">COUNTIF('Page-Keyword Map'!$A$2:$A$668,B339)</f>
        <v>1</v>
      </c>
      <c r="T339" s="16" t="n">
        <f aca="false">SUMIF('Page-Keyword Map'!$A$2:$A$668,B339,'Page-Keyword Map'!$H$2:$H$668)</f>
        <v>34</v>
      </c>
      <c r="U339" s="15" t="n">
        <f aca="false">COUNTIFS('Page-Keyword Map'!$A$2:$A$668,B339,'Page-Keyword Map'!$E$2:$E$668,"Nationwide")</f>
        <v>0</v>
      </c>
      <c r="V339" s="15" t="n">
        <f aca="false">COUNTIFS('Page-Keyword Map'!$A$2:$A$668,B339,'Page-Keyword Map'!$E$2:$E$668,"Provincial")</f>
        <v>0</v>
      </c>
      <c r="W339" s="15" t="n">
        <f aca="false">COUNTIFS('Page-Keyword Map'!$A$2:$A$668,B339,'Page-Keyword Map'!$E$2:$E$668,"City")</f>
        <v>1</v>
      </c>
      <c r="X339" s="15" t="str">
        <f aca="false">IF(O339="","",IF(ISNUMBER(SEARCH(O339,J339)),"Yes","No"))</f>
        <v>Yes</v>
      </c>
      <c r="Y339" s="15" t="n">
        <v>0.5</v>
      </c>
      <c r="Z339" s="15" t="s">
        <v>216</v>
      </c>
      <c r="AA339" s="15" t="s">
        <v>217</v>
      </c>
      <c r="AB339" s="17"/>
      <c r="AC339" s="17"/>
    </row>
    <row r="340" customFormat="false" ht="23.85" hidden="false" customHeight="false" outlineLevel="0" collapsed="false">
      <c r="A340" s="15" t="s">
        <v>2202</v>
      </c>
      <c r="B340" s="15" t="s">
        <v>2203</v>
      </c>
      <c r="C340" s="15" t="s">
        <v>2076</v>
      </c>
      <c r="D340" s="15" t="s">
        <v>89</v>
      </c>
      <c r="E340" s="15" t="s">
        <v>258</v>
      </c>
      <c r="F340" s="15"/>
      <c r="G340" s="15" t="s">
        <v>680</v>
      </c>
      <c r="H340" s="15" t="s">
        <v>2204</v>
      </c>
      <c r="I340" s="15" t="s">
        <v>211</v>
      </c>
      <c r="J340" s="3" t="s">
        <v>2205</v>
      </c>
      <c r="K340" s="15" t="n">
        <f aca="false">LEN(J340)</f>
        <v>64</v>
      </c>
      <c r="L340" s="3" t="s">
        <v>2206</v>
      </c>
      <c r="M340" s="15" t="n">
        <f aca="false">LEN(L340)</f>
        <v>149</v>
      </c>
      <c r="N340" s="3" t="s">
        <v>2207</v>
      </c>
      <c r="O340" s="15" t="s">
        <v>2208</v>
      </c>
      <c r="P340" s="16" t="n">
        <v>31</v>
      </c>
      <c r="Q340" s="15" t="s">
        <v>104</v>
      </c>
      <c r="R340" s="15"/>
      <c r="S340" s="15" t="n">
        <f aca="false">COUNTIF('Page-Keyword Map'!$A$2:$A$668,B340)</f>
        <v>1</v>
      </c>
      <c r="T340" s="16" t="n">
        <f aca="false">SUMIF('Page-Keyword Map'!$A$2:$A$668,B340,'Page-Keyword Map'!$H$2:$H$668)</f>
        <v>31</v>
      </c>
      <c r="U340" s="15" t="n">
        <f aca="false">COUNTIFS('Page-Keyword Map'!$A$2:$A$668,B340,'Page-Keyword Map'!$E$2:$E$668,"Nationwide")</f>
        <v>0</v>
      </c>
      <c r="V340" s="15" t="n">
        <f aca="false">COUNTIFS('Page-Keyword Map'!$A$2:$A$668,B340,'Page-Keyword Map'!$E$2:$E$668,"Provincial")</f>
        <v>0</v>
      </c>
      <c r="W340" s="15" t="n">
        <f aca="false">COUNTIFS('Page-Keyword Map'!$A$2:$A$668,B340,'Page-Keyword Map'!$E$2:$E$668,"City")</f>
        <v>1</v>
      </c>
      <c r="X340" s="15" t="str">
        <f aca="false">IF(O340="","",IF(ISNUMBER(SEARCH(O340,J340)),"Yes","No"))</f>
        <v>Yes</v>
      </c>
      <c r="Y340" s="15" t="n">
        <v>0.5</v>
      </c>
      <c r="Z340" s="15" t="s">
        <v>216</v>
      </c>
      <c r="AA340" s="15" t="s">
        <v>217</v>
      </c>
      <c r="AB340" s="17"/>
      <c r="AC340" s="17"/>
    </row>
    <row r="341" customFormat="false" ht="23.85" hidden="false" customHeight="false" outlineLevel="0" collapsed="false">
      <c r="A341" s="15" t="s">
        <v>2209</v>
      </c>
      <c r="B341" s="15" t="s">
        <v>2210</v>
      </c>
      <c r="C341" s="15" t="s">
        <v>2076</v>
      </c>
      <c r="D341" s="15" t="s">
        <v>89</v>
      </c>
      <c r="E341" s="15" t="s">
        <v>258</v>
      </c>
      <c r="F341" s="15"/>
      <c r="G341" s="15" t="s">
        <v>687</v>
      </c>
      <c r="H341" s="15" t="s">
        <v>2211</v>
      </c>
      <c r="I341" s="15" t="s">
        <v>126</v>
      </c>
      <c r="J341" s="3" t="s">
        <v>2212</v>
      </c>
      <c r="K341" s="15" t="n">
        <f aca="false">LEN(J341)</f>
        <v>64</v>
      </c>
      <c r="L341" s="3" t="s">
        <v>2213</v>
      </c>
      <c r="M341" s="15" t="n">
        <f aca="false">LEN(L341)</f>
        <v>161</v>
      </c>
      <c r="N341" s="3" t="s">
        <v>2214</v>
      </c>
      <c r="O341" s="15" t="s">
        <v>2215</v>
      </c>
      <c r="P341" s="16" t="n">
        <v>45</v>
      </c>
      <c r="Q341" s="15" t="s">
        <v>104</v>
      </c>
      <c r="R341" s="15"/>
      <c r="S341" s="15" t="n">
        <f aca="false">COUNTIF('Page-Keyword Map'!$A$2:$A$668,B341)</f>
        <v>1</v>
      </c>
      <c r="T341" s="16" t="n">
        <f aca="false">SUMIF('Page-Keyword Map'!$A$2:$A$668,B341,'Page-Keyword Map'!$H$2:$H$668)</f>
        <v>45</v>
      </c>
      <c r="U341" s="15" t="n">
        <f aca="false">COUNTIFS('Page-Keyword Map'!$A$2:$A$668,B341,'Page-Keyword Map'!$E$2:$E$668,"Nationwide")</f>
        <v>0</v>
      </c>
      <c r="V341" s="15" t="n">
        <f aca="false">COUNTIFS('Page-Keyword Map'!$A$2:$A$668,B341,'Page-Keyword Map'!$E$2:$E$668,"Provincial")</f>
        <v>0</v>
      </c>
      <c r="W341" s="15" t="n">
        <f aca="false">COUNTIFS('Page-Keyword Map'!$A$2:$A$668,B341,'Page-Keyword Map'!$E$2:$E$668,"City")</f>
        <v>1</v>
      </c>
      <c r="X341" s="15" t="str">
        <f aca="false">IF(O341="","",IF(ISNUMBER(SEARCH(O341,J341)),"Yes","No"))</f>
        <v>No</v>
      </c>
      <c r="Y341" s="15" t="n">
        <v>0.7</v>
      </c>
      <c r="Z341" s="15" t="s">
        <v>2089</v>
      </c>
      <c r="AA341" s="15" t="s">
        <v>131</v>
      </c>
      <c r="AB341" s="17"/>
      <c r="AC341" s="17"/>
    </row>
    <row r="342" customFormat="false" ht="23.85" hidden="false" customHeight="false" outlineLevel="0" collapsed="false">
      <c r="A342" s="15" t="s">
        <v>2216</v>
      </c>
      <c r="B342" s="15" t="s">
        <v>2217</v>
      </c>
      <c r="C342" s="15" t="s">
        <v>2076</v>
      </c>
      <c r="D342" s="15" t="s">
        <v>89</v>
      </c>
      <c r="E342" s="15" t="s">
        <v>258</v>
      </c>
      <c r="F342" s="15"/>
      <c r="G342" s="15" t="s">
        <v>694</v>
      </c>
      <c r="H342" s="15" t="s">
        <v>2218</v>
      </c>
      <c r="I342" s="15" t="s">
        <v>211</v>
      </c>
      <c r="J342" s="3" t="s">
        <v>2219</v>
      </c>
      <c r="K342" s="15" t="n">
        <f aca="false">LEN(J342)</f>
        <v>65</v>
      </c>
      <c r="L342" s="3" t="s">
        <v>2220</v>
      </c>
      <c r="M342" s="15" t="n">
        <f aca="false">LEN(L342)</f>
        <v>159</v>
      </c>
      <c r="N342" s="3" t="s">
        <v>2221</v>
      </c>
      <c r="O342" s="15"/>
      <c r="P342" s="16"/>
      <c r="Q342" s="15"/>
      <c r="R342" s="15" t="s">
        <v>2222</v>
      </c>
      <c r="S342" s="15" t="n">
        <f aca="false">COUNTIF('Page-Keyword Map'!$A$2:$A$668,B342)</f>
        <v>0</v>
      </c>
      <c r="T342" s="16" t="n">
        <f aca="false">SUMIF('Page-Keyword Map'!$A$2:$A$668,B342,'Page-Keyword Map'!$H$2:$H$668)</f>
        <v>0</v>
      </c>
      <c r="U342" s="15" t="n">
        <f aca="false">COUNTIFS('Page-Keyword Map'!$A$2:$A$668,B342,'Page-Keyword Map'!$E$2:$E$668,"Nationwide")</f>
        <v>0</v>
      </c>
      <c r="V342" s="15" t="n">
        <f aca="false">COUNTIFS('Page-Keyword Map'!$A$2:$A$668,B342,'Page-Keyword Map'!$E$2:$E$668,"Provincial")</f>
        <v>0</v>
      </c>
      <c r="W342" s="15" t="n">
        <f aca="false">COUNTIFS('Page-Keyword Map'!$A$2:$A$668,B342,'Page-Keyword Map'!$E$2:$E$668,"City")</f>
        <v>0</v>
      </c>
      <c r="X342" s="15" t="str">
        <f aca="false">IF(O342="","",IF(ISNUMBER(SEARCH(O342,J342)),"Yes","No"))</f>
        <v/>
      </c>
      <c r="Y342" s="15" t="n">
        <v>0.5</v>
      </c>
      <c r="Z342" s="15" t="s">
        <v>216</v>
      </c>
      <c r="AA342" s="15" t="s">
        <v>217</v>
      </c>
      <c r="AB342" s="17"/>
      <c r="AC342" s="17"/>
    </row>
    <row r="343" customFormat="false" ht="23.85" hidden="false" customHeight="false" outlineLevel="0" collapsed="false">
      <c r="A343" s="15" t="s">
        <v>2223</v>
      </c>
      <c r="B343" s="15" t="s">
        <v>2224</v>
      </c>
      <c r="C343" s="15" t="s">
        <v>2076</v>
      </c>
      <c r="D343" s="15" t="s">
        <v>89</v>
      </c>
      <c r="E343" s="15" t="s">
        <v>258</v>
      </c>
      <c r="F343" s="15"/>
      <c r="G343" s="15" t="s">
        <v>701</v>
      </c>
      <c r="H343" s="15" t="s">
        <v>2225</v>
      </c>
      <c r="I343" s="15" t="s">
        <v>126</v>
      </c>
      <c r="J343" s="3" t="s">
        <v>2226</v>
      </c>
      <c r="K343" s="15" t="n">
        <f aca="false">LEN(J343)</f>
        <v>61</v>
      </c>
      <c r="L343" s="3" t="s">
        <v>2227</v>
      </c>
      <c r="M343" s="15" t="n">
        <f aca="false">LEN(L343)</f>
        <v>144</v>
      </c>
      <c r="N343" s="3" t="s">
        <v>2228</v>
      </c>
      <c r="O343" s="15" t="s">
        <v>2229</v>
      </c>
      <c r="P343" s="16" t="n">
        <v>130</v>
      </c>
      <c r="Q343" s="15" t="s">
        <v>104</v>
      </c>
      <c r="R343" s="15"/>
      <c r="S343" s="15" t="n">
        <f aca="false">COUNTIF('Page-Keyword Map'!$A$2:$A$668,B343)</f>
        <v>1</v>
      </c>
      <c r="T343" s="16" t="n">
        <f aca="false">SUMIF('Page-Keyword Map'!$A$2:$A$668,B343,'Page-Keyword Map'!$H$2:$H$668)</f>
        <v>130</v>
      </c>
      <c r="U343" s="15" t="n">
        <f aca="false">COUNTIFS('Page-Keyword Map'!$A$2:$A$668,B343,'Page-Keyword Map'!$E$2:$E$668,"Nationwide")</f>
        <v>0</v>
      </c>
      <c r="V343" s="15" t="n">
        <f aca="false">COUNTIFS('Page-Keyword Map'!$A$2:$A$668,B343,'Page-Keyword Map'!$E$2:$E$668,"Provincial")</f>
        <v>0</v>
      </c>
      <c r="W343" s="15" t="n">
        <f aca="false">COUNTIFS('Page-Keyword Map'!$A$2:$A$668,B343,'Page-Keyword Map'!$E$2:$E$668,"City")</f>
        <v>1</v>
      </c>
      <c r="X343" s="15" t="str">
        <f aca="false">IF(O343="","",IF(ISNUMBER(SEARCH(O343,J343)),"Yes","No"))</f>
        <v>Yes</v>
      </c>
      <c r="Y343" s="15" t="n">
        <v>0.7</v>
      </c>
      <c r="Z343" s="15" t="s">
        <v>2089</v>
      </c>
      <c r="AA343" s="15" t="s">
        <v>131</v>
      </c>
      <c r="AB343" s="17"/>
      <c r="AC343" s="17"/>
    </row>
    <row r="344" customFormat="false" ht="23.85" hidden="false" customHeight="false" outlineLevel="0" collapsed="false">
      <c r="A344" s="15" t="s">
        <v>2230</v>
      </c>
      <c r="B344" s="15" t="s">
        <v>2231</v>
      </c>
      <c r="C344" s="15" t="s">
        <v>2076</v>
      </c>
      <c r="D344" s="15" t="s">
        <v>89</v>
      </c>
      <c r="E344" s="15" t="s">
        <v>258</v>
      </c>
      <c r="F344" s="15"/>
      <c r="G344" s="15" t="s">
        <v>715</v>
      </c>
      <c r="H344" s="15" t="s">
        <v>2232</v>
      </c>
      <c r="I344" s="15" t="s">
        <v>211</v>
      </c>
      <c r="J344" s="3" t="s">
        <v>2233</v>
      </c>
      <c r="K344" s="15" t="n">
        <f aca="false">LEN(J344)</f>
        <v>58</v>
      </c>
      <c r="L344" s="3" t="s">
        <v>2234</v>
      </c>
      <c r="M344" s="15" t="n">
        <f aca="false">LEN(L344)</f>
        <v>137</v>
      </c>
      <c r="N344" s="3" t="s">
        <v>2235</v>
      </c>
      <c r="O344" s="15" t="s">
        <v>2236</v>
      </c>
      <c r="P344" s="16" t="n">
        <v>50</v>
      </c>
      <c r="Q344" s="15" t="s">
        <v>104</v>
      </c>
      <c r="R344" s="15"/>
      <c r="S344" s="15" t="n">
        <f aca="false">COUNTIF('Page-Keyword Map'!$A$2:$A$668,B344)</f>
        <v>1</v>
      </c>
      <c r="T344" s="16" t="n">
        <f aca="false">SUMIF('Page-Keyword Map'!$A$2:$A$668,B344,'Page-Keyword Map'!$H$2:$H$668)</f>
        <v>50</v>
      </c>
      <c r="U344" s="15" t="n">
        <f aca="false">COUNTIFS('Page-Keyword Map'!$A$2:$A$668,B344,'Page-Keyword Map'!$E$2:$E$668,"Nationwide")</f>
        <v>0</v>
      </c>
      <c r="V344" s="15" t="n">
        <f aca="false">COUNTIFS('Page-Keyword Map'!$A$2:$A$668,B344,'Page-Keyword Map'!$E$2:$E$668,"Provincial")</f>
        <v>0</v>
      </c>
      <c r="W344" s="15" t="n">
        <f aca="false">COUNTIFS('Page-Keyword Map'!$A$2:$A$668,B344,'Page-Keyword Map'!$E$2:$E$668,"City")</f>
        <v>1</v>
      </c>
      <c r="X344" s="15" t="str">
        <f aca="false">IF(O344="","",IF(ISNUMBER(SEARCH(O344,J344)),"Yes","No"))</f>
        <v>Yes</v>
      </c>
      <c r="Y344" s="15" t="n">
        <v>0.5</v>
      </c>
      <c r="Z344" s="15" t="s">
        <v>216</v>
      </c>
      <c r="AA344" s="15" t="s">
        <v>217</v>
      </c>
      <c r="AB344" s="17"/>
      <c r="AC344" s="17"/>
    </row>
    <row r="345" customFormat="false" ht="23.85" hidden="false" customHeight="false" outlineLevel="0" collapsed="false">
      <c r="A345" s="15" t="s">
        <v>2237</v>
      </c>
      <c r="B345" s="15" t="s">
        <v>2238</v>
      </c>
      <c r="C345" s="15" t="s">
        <v>2076</v>
      </c>
      <c r="D345" s="15" t="s">
        <v>89</v>
      </c>
      <c r="E345" s="15" t="s">
        <v>258</v>
      </c>
      <c r="F345" s="15"/>
      <c r="G345" s="15" t="s">
        <v>715</v>
      </c>
      <c r="H345" s="15" t="s">
        <v>2239</v>
      </c>
      <c r="I345" s="15" t="s">
        <v>211</v>
      </c>
      <c r="J345" s="3" t="s">
        <v>2240</v>
      </c>
      <c r="K345" s="15" t="n">
        <f aca="false">LEN(J345)</f>
        <v>60</v>
      </c>
      <c r="L345" s="3" t="s">
        <v>2241</v>
      </c>
      <c r="M345" s="15" t="n">
        <f aca="false">LEN(L345)</f>
        <v>139</v>
      </c>
      <c r="N345" s="3" t="s">
        <v>2242</v>
      </c>
      <c r="O345" s="15" t="s">
        <v>2243</v>
      </c>
      <c r="P345" s="16" t="n">
        <v>56</v>
      </c>
      <c r="Q345" s="15" t="s">
        <v>104</v>
      </c>
      <c r="R345" s="15"/>
      <c r="S345" s="15" t="n">
        <f aca="false">COUNTIF('Page-Keyword Map'!$A$2:$A$668,B345)</f>
        <v>1</v>
      </c>
      <c r="T345" s="16" t="n">
        <f aca="false">SUMIF('Page-Keyword Map'!$A$2:$A$668,B345,'Page-Keyword Map'!$H$2:$H$668)</f>
        <v>56</v>
      </c>
      <c r="U345" s="15" t="n">
        <f aca="false">COUNTIFS('Page-Keyword Map'!$A$2:$A$668,B345,'Page-Keyword Map'!$E$2:$E$668,"Nationwide")</f>
        <v>0</v>
      </c>
      <c r="V345" s="15" t="n">
        <f aca="false">COUNTIFS('Page-Keyword Map'!$A$2:$A$668,B345,'Page-Keyword Map'!$E$2:$E$668,"Provincial")</f>
        <v>0</v>
      </c>
      <c r="W345" s="15" t="n">
        <f aca="false">COUNTIFS('Page-Keyword Map'!$A$2:$A$668,B345,'Page-Keyword Map'!$E$2:$E$668,"City")</f>
        <v>1</v>
      </c>
      <c r="X345" s="15" t="str">
        <f aca="false">IF(O345="","",IF(ISNUMBER(SEARCH(O345,J345)),"Yes","No"))</f>
        <v>Yes</v>
      </c>
      <c r="Y345" s="15" t="n">
        <v>0.5</v>
      </c>
      <c r="Z345" s="15" t="s">
        <v>216</v>
      </c>
      <c r="AA345" s="15" t="s">
        <v>217</v>
      </c>
      <c r="AB345" s="17"/>
      <c r="AC345" s="17"/>
    </row>
    <row r="346" customFormat="false" ht="23.85" hidden="false" customHeight="false" outlineLevel="0" collapsed="false">
      <c r="A346" s="15" t="s">
        <v>2244</v>
      </c>
      <c r="B346" s="15" t="s">
        <v>2245</v>
      </c>
      <c r="C346" s="15" t="s">
        <v>2076</v>
      </c>
      <c r="D346" s="15" t="s">
        <v>89</v>
      </c>
      <c r="E346" s="15" t="s">
        <v>258</v>
      </c>
      <c r="F346" s="15"/>
      <c r="G346" s="15" t="s">
        <v>715</v>
      </c>
      <c r="H346" s="15" t="s">
        <v>2246</v>
      </c>
      <c r="I346" s="15" t="s">
        <v>126</v>
      </c>
      <c r="J346" s="3" t="s">
        <v>2247</v>
      </c>
      <c r="K346" s="15" t="n">
        <f aca="false">LEN(J346)</f>
        <v>62</v>
      </c>
      <c r="L346" s="3" t="s">
        <v>2248</v>
      </c>
      <c r="M346" s="15" t="n">
        <f aca="false">LEN(L346)</f>
        <v>141</v>
      </c>
      <c r="N346" s="3" t="s">
        <v>2249</v>
      </c>
      <c r="O346" s="15" t="s">
        <v>2250</v>
      </c>
      <c r="P346" s="16" t="n">
        <v>190</v>
      </c>
      <c r="Q346" s="15" t="s">
        <v>104</v>
      </c>
      <c r="R346" s="15"/>
      <c r="S346" s="15" t="n">
        <f aca="false">COUNTIF('Page-Keyword Map'!$A$2:$A$668,B346)</f>
        <v>1</v>
      </c>
      <c r="T346" s="16" t="n">
        <f aca="false">SUMIF('Page-Keyword Map'!$A$2:$A$668,B346,'Page-Keyword Map'!$H$2:$H$668)</f>
        <v>190</v>
      </c>
      <c r="U346" s="15" t="n">
        <f aca="false">COUNTIFS('Page-Keyword Map'!$A$2:$A$668,B346,'Page-Keyword Map'!$E$2:$E$668,"Nationwide")</f>
        <v>0</v>
      </c>
      <c r="V346" s="15" t="n">
        <f aca="false">COUNTIFS('Page-Keyword Map'!$A$2:$A$668,B346,'Page-Keyword Map'!$E$2:$E$668,"Provincial")</f>
        <v>0</v>
      </c>
      <c r="W346" s="15" t="n">
        <f aca="false">COUNTIFS('Page-Keyword Map'!$A$2:$A$668,B346,'Page-Keyword Map'!$E$2:$E$668,"City")</f>
        <v>1</v>
      </c>
      <c r="X346" s="15" t="str">
        <f aca="false">IF(O346="","",IF(ISNUMBER(SEARCH(O346,J346)),"Yes","No"))</f>
        <v>Yes</v>
      </c>
      <c r="Y346" s="15" t="n">
        <v>0.7</v>
      </c>
      <c r="Z346" s="15" t="s">
        <v>2089</v>
      </c>
      <c r="AA346" s="15" t="s">
        <v>131</v>
      </c>
      <c r="AB346" s="17"/>
      <c r="AC346" s="17"/>
    </row>
    <row r="347" customFormat="false" ht="23.85" hidden="false" customHeight="false" outlineLevel="0" collapsed="false">
      <c r="A347" s="15" t="s">
        <v>2251</v>
      </c>
      <c r="B347" s="15" t="s">
        <v>2252</v>
      </c>
      <c r="C347" s="15" t="s">
        <v>2076</v>
      </c>
      <c r="D347" s="15" t="s">
        <v>89</v>
      </c>
      <c r="E347" s="15" t="s">
        <v>258</v>
      </c>
      <c r="F347" s="15"/>
      <c r="G347" s="15" t="s">
        <v>715</v>
      </c>
      <c r="H347" s="15" t="s">
        <v>2253</v>
      </c>
      <c r="I347" s="15" t="s">
        <v>211</v>
      </c>
      <c r="J347" s="3" t="s">
        <v>2254</v>
      </c>
      <c r="K347" s="15" t="n">
        <f aca="false">LEN(J347)</f>
        <v>64</v>
      </c>
      <c r="L347" s="3" t="s">
        <v>2255</v>
      </c>
      <c r="M347" s="15" t="n">
        <f aca="false">LEN(L347)</f>
        <v>143</v>
      </c>
      <c r="N347" s="3" t="s">
        <v>2256</v>
      </c>
      <c r="O347" s="15" t="s">
        <v>2257</v>
      </c>
      <c r="P347" s="16" t="n">
        <v>68</v>
      </c>
      <c r="Q347" s="15" t="s">
        <v>104</v>
      </c>
      <c r="R347" s="15"/>
      <c r="S347" s="15" t="n">
        <f aca="false">COUNTIF('Page-Keyword Map'!$A$2:$A$668,B347)</f>
        <v>1</v>
      </c>
      <c r="T347" s="16" t="n">
        <f aca="false">SUMIF('Page-Keyword Map'!$A$2:$A$668,B347,'Page-Keyword Map'!$H$2:$H$668)</f>
        <v>68</v>
      </c>
      <c r="U347" s="15" t="n">
        <f aca="false">COUNTIFS('Page-Keyword Map'!$A$2:$A$668,B347,'Page-Keyword Map'!$E$2:$E$668,"Nationwide")</f>
        <v>0</v>
      </c>
      <c r="V347" s="15" t="n">
        <f aca="false">COUNTIFS('Page-Keyword Map'!$A$2:$A$668,B347,'Page-Keyword Map'!$E$2:$E$668,"Provincial")</f>
        <v>0</v>
      </c>
      <c r="W347" s="15" t="n">
        <f aca="false">COUNTIFS('Page-Keyword Map'!$A$2:$A$668,B347,'Page-Keyword Map'!$E$2:$E$668,"City")</f>
        <v>1</v>
      </c>
      <c r="X347" s="15" t="str">
        <f aca="false">IF(O347="","",IF(ISNUMBER(SEARCH(O347,J347)),"Yes","No"))</f>
        <v>Yes</v>
      </c>
      <c r="Y347" s="15" t="n">
        <v>0.5</v>
      </c>
      <c r="Z347" s="15" t="s">
        <v>216</v>
      </c>
      <c r="AA347" s="15" t="s">
        <v>217</v>
      </c>
      <c r="AB347" s="17"/>
      <c r="AC347" s="17"/>
    </row>
    <row r="348" customFormat="false" ht="23.85" hidden="false" customHeight="false" outlineLevel="0" collapsed="false">
      <c r="A348" s="15" t="s">
        <v>2258</v>
      </c>
      <c r="B348" s="15" t="s">
        <v>2259</v>
      </c>
      <c r="C348" s="15" t="s">
        <v>2076</v>
      </c>
      <c r="D348" s="15" t="s">
        <v>89</v>
      </c>
      <c r="E348" s="15" t="s">
        <v>258</v>
      </c>
      <c r="F348" s="15"/>
      <c r="G348" s="15" t="s">
        <v>715</v>
      </c>
      <c r="H348" s="15" t="s">
        <v>2260</v>
      </c>
      <c r="I348" s="15" t="s">
        <v>211</v>
      </c>
      <c r="J348" s="3" t="s">
        <v>2261</v>
      </c>
      <c r="K348" s="15" t="n">
        <f aca="false">LEN(J348)</f>
        <v>63</v>
      </c>
      <c r="L348" s="3" t="s">
        <v>2262</v>
      </c>
      <c r="M348" s="15" t="n">
        <f aca="false">LEN(L348)</f>
        <v>142</v>
      </c>
      <c r="N348" s="3" t="s">
        <v>2263</v>
      </c>
      <c r="O348" s="15" t="s">
        <v>2264</v>
      </c>
      <c r="P348" s="16" t="n">
        <v>53</v>
      </c>
      <c r="Q348" s="15" t="s">
        <v>104</v>
      </c>
      <c r="R348" s="15"/>
      <c r="S348" s="15" t="n">
        <f aca="false">COUNTIF('Page-Keyword Map'!$A$2:$A$668,B348)</f>
        <v>1</v>
      </c>
      <c r="T348" s="16" t="n">
        <f aca="false">SUMIF('Page-Keyword Map'!$A$2:$A$668,B348,'Page-Keyword Map'!$H$2:$H$668)</f>
        <v>53</v>
      </c>
      <c r="U348" s="15" t="n">
        <f aca="false">COUNTIFS('Page-Keyword Map'!$A$2:$A$668,B348,'Page-Keyword Map'!$E$2:$E$668,"Nationwide")</f>
        <v>0</v>
      </c>
      <c r="V348" s="15" t="n">
        <f aca="false">COUNTIFS('Page-Keyword Map'!$A$2:$A$668,B348,'Page-Keyword Map'!$E$2:$E$668,"Provincial")</f>
        <v>0</v>
      </c>
      <c r="W348" s="15" t="n">
        <f aca="false">COUNTIFS('Page-Keyword Map'!$A$2:$A$668,B348,'Page-Keyword Map'!$E$2:$E$668,"City")</f>
        <v>1</v>
      </c>
      <c r="X348" s="15" t="str">
        <f aca="false">IF(O348="","",IF(ISNUMBER(SEARCH(O348,J348)),"Yes","No"))</f>
        <v>Yes</v>
      </c>
      <c r="Y348" s="15" t="n">
        <v>0.5</v>
      </c>
      <c r="Z348" s="15" t="s">
        <v>216</v>
      </c>
      <c r="AA348" s="15" t="s">
        <v>217</v>
      </c>
      <c r="AB348" s="17"/>
      <c r="AC348" s="17"/>
    </row>
    <row r="349" customFormat="false" ht="23.85" hidden="false" customHeight="false" outlineLevel="0" collapsed="false">
      <c r="A349" s="15" t="s">
        <v>2265</v>
      </c>
      <c r="B349" s="15" t="s">
        <v>2266</v>
      </c>
      <c r="C349" s="15" t="s">
        <v>2076</v>
      </c>
      <c r="D349" s="15" t="s">
        <v>89</v>
      </c>
      <c r="E349" s="15" t="s">
        <v>258</v>
      </c>
      <c r="F349" s="15"/>
      <c r="G349" s="15" t="s">
        <v>715</v>
      </c>
      <c r="H349" s="15" t="s">
        <v>2267</v>
      </c>
      <c r="I349" s="15" t="s">
        <v>211</v>
      </c>
      <c r="J349" s="3" t="s">
        <v>2268</v>
      </c>
      <c r="K349" s="15" t="n">
        <f aca="false">LEN(J349)</f>
        <v>60</v>
      </c>
      <c r="L349" s="3" t="s">
        <v>2269</v>
      </c>
      <c r="M349" s="15" t="n">
        <f aca="false">LEN(L349)</f>
        <v>139</v>
      </c>
      <c r="N349" s="3" t="s">
        <v>2270</v>
      </c>
      <c r="O349" s="15" t="s">
        <v>2271</v>
      </c>
      <c r="P349" s="16" t="n">
        <v>55</v>
      </c>
      <c r="Q349" s="15" t="s">
        <v>104</v>
      </c>
      <c r="R349" s="15"/>
      <c r="S349" s="15" t="n">
        <f aca="false">COUNTIF('Page-Keyword Map'!$A$2:$A$668,B349)</f>
        <v>1</v>
      </c>
      <c r="T349" s="16" t="n">
        <f aca="false">SUMIF('Page-Keyword Map'!$A$2:$A$668,B349,'Page-Keyword Map'!$H$2:$H$668)</f>
        <v>55</v>
      </c>
      <c r="U349" s="15" t="n">
        <f aca="false">COUNTIFS('Page-Keyword Map'!$A$2:$A$668,B349,'Page-Keyword Map'!$E$2:$E$668,"Nationwide")</f>
        <v>0</v>
      </c>
      <c r="V349" s="15" t="n">
        <f aca="false">COUNTIFS('Page-Keyword Map'!$A$2:$A$668,B349,'Page-Keyword Map'!$E$2:$E$668,"Provincial")</f>
        <v>0</v>
      </c>
      <c r="W349" s="15" t="n">
        <f aca="false">COUNTIFS('Page-Keyword Map'!$A$2:$A$668,B349,'Page-Keyword Map'!$E$2:$E$668,"City")</f>
        <v>1</v>
      </c>
      <c r="X349" s="15" t="str">
        <f aca="false">IF(O349="","",IF(ISNUMBER(SEARCH(O349,J349)),"Yes","No"))</f>
        <v>Yes</v>
      </c>
      <c r="Y349" s="15" t="n">
        <v>0.5</v>
      </c>
      <c r="Z349" s="15" t="s">
        <v>216</v>
      </c>
      <c r="AA349" s="15" t="s">
        <v>217</v>
      </c>
      <c r="AB349" s="17"/>
      <c r="AC349" s="17"/>
    </row>
    <row r="350" customFormat="false" ht="23.85" hidden="false" customHeight="false" outlineLevel="0" collapsed="false">
      <c r="A350" s="15" t="s">
        <v>2272</v>
      </c>
      <c r="B350" s="15" t="s">
        <v>2273</v>
      </c>
      <c r="C350" s="15" t="s">
        <v>2076</v>
      </c>
      <c r="D350" s="15" t="s">
        <v>89</v>
      </c>
      <c r="E350" s="15" t="s">
        <v>258</v>
      </c>
      <c r="F350" s="15"/>
      <c r="G350" s="15" t="s">
        <v>715</v>
      </c>
      <c r="H350" s="15" t="s">
        <v>2274</v>
      </c>
      <c r="I350" s="15" t="s">
        <v>126</v>
      </c>
      <c r="J350" s="3" t="s">
        <v>2275</v>
      </c>
      <c r="K350" s="15" t="n">
        <f aca="false">LEN(J350)</f>
        <v>62</v>
      </c>
      <c r="L350" s="3" t="s">
        <v>2276</v>
      </c>
      <c r="M350" s="15" t="n">
        <f aca="false">LEN(L350)</f>
        <v>141</v>
      </c>
      <c r="N350" s="3" t="s">
        <v>2277</v>
      </c>
      <c r="O350" s="15" t="s">
        <v>2278</v>
      </c>
      <c r="P350" s="16" t="n">
        <v>170</v>
      </c>
      <c r="Q350" s="15" t="s">
        <v>104</v>
      </c>
      <c r="R350" s="15"/>
      <c r="S350" s="15" t="n">
        <f aca="false">COUNTIF('Page-Keyword Map'!$A$2:$A$668,B350)</f>
        <v>1</v>
      </c>
      <c r="T350" s="16" t="n">
        <f aca="false">SUMIF('Page-Keyword Map'!$A$2:$A$668,B350,'Page-Keyword Map'!$H$2:$H$668)</f>
        <v>170</v>
      </c>
      <c r="U350" s="15" t="n">
        <f aca="false">COUNTIFS('Page-Keyword Map'!$A$2:$A$668,B350,'Page-Keyword Map'!$E$2:$E$668,"Nationwide")</f>
        <v>0</v>
      </c>
      <c r="V350" s="15" t="n">
        <f aca="false">COUNTIFS('Page-Keyword Map'!$A$2:$A$668,B350,'Page-Keyword Map'!$E$2:$E$668,"Provincial")</f>
        <v>0</v>
      </c>
      <c r="W350" s="15" t="n">
        <f aca="false">COUNTIFS('Page-Keyword Map'!$A$2:$A$668,B350,'Page-Keyword Map'!$E$2:$E$668,"City")</f>
        <v>1</v>
      </c>
      <c r="X350" s="15" t="str">
        <f aca="false">IF(O350="","",IF(ISNUMBER(SEARCH(O350,J350)),"Yes","No"))</f>
        <v>Yes</v>
      </c>
      <c r="Y350" s="15" t="n">
        <v>0.7</v>
      </c>
      <c r="Z350" s="15" t="s">
        <v>2089</v>
      </c>
      <c r="AA350" s="15" t="s">
        <v>131</v>
      </c>
      <c r="AB350" s="17"/>
      <c r="AC350" s="17"/>
    </row>
    <row r="351" customFormat="false" ht="23.85" hidden="false" customHeight="false" outlineLevel="0" collapsed="false">
      <c r="A351" s="15" t="s">
        <v>2279</v>
      </c>
      <c r="B351" s="15" t="s">
        <v>2280</v>
      </c>
      <c r="C351" s="15" t="s">
        <v>2076</v>
      </c>
      <c r="D351" s="15" t="s">
        <v>89</v>
      </c>
      <c r="E351" s="15" t="s">
        <v>258</v>
      </c>
      <c r="F351" s="15"/>
      <c r="G351" s="15" t="s">
        <v>715</v>
      </c>
      <c r="H351" s="15" t="s">
        <v>2281</v>
      </c>
      <c r="I351" s="15" t="s">
        <v>211</v>
      </c>
      <c r="J351" s="3" t="s">
        <v>2282</v>
      </c>
      <c r="K351" s="15" t="n">
        <f aca="false">LEN(J351)</f>
        <v>62</v>
      </c>
      <c r="L351" s="3" t="s">
        <v>2283</v>
      </c>
      <c r="M351" s="15" t="n">
        <f aca="false">LEN(L351)</f>
        <v>141</v>
      </c>
      <c r="N351" s="3" t="s">
        <v>2284</v>
      </c>
      <c r="O351" s="15" t="s">
        <v>2285</v>
      </c>
      <c r="P351" s="16" t="n">
        <v>52</v>
      </c>
      <c r="Q351" s="15" t="s">
        <v>104</v>
      </c>
      <c r="R351" s="15"/>
      <c r="S351" s="15" t="n">
        <f aca="false">COUNTIF('Page-Keyword Map'!$A$2:$A$668,B351)</f>
        <v>1</v>
      </c>
      <c r="T351" s="16" t="n">
        <f aca="false">SUMIF('Page-Keyword Map'!$A$2:$A$668,B351,'Page-Keyword Map'!$H$2:$H$668)</f>
        <v>52</v>
      </c>
      <c r="U351" s="15" t="n">
        <f aca="false">COUNTIFS('Page-Keyword Map'!$A$2:$A$668,B351,'Page-Keyword Map'!$E$2:$E$668,"Nationwide")</f>
        <v>0</v>
      </c>
      <c r="V351" s="15" t="n">
        <f aca="false">COUNTIFS('Page-Keyword Map'!$A$2:$A$668,B351,'Page-Keyword Map'!$E$2:$E$668,"Provincial")</f>
        <v>0</v>
      </c>
      <c r="W351" s="15" t="n">
        <f aca="false">COUNTIFS('Page-Keyword Map'!$A$2:$A$668,B351,'Page-Keyword Map'!$E$2:$E$668,"City")</f>
        <v>1</v>
      </c>
      <c r="X351" s="15" t="str">
        <f aca="false">IF(O351="","",IF(ISNUMBER(SEARCH(O351,J351)),"Yes","No"))</f>
        <v>Yes</v>
      </c>
      <c r="Y351" s="15" t="n">
        <v>0.5</v>
      </c>
      <c r="Z351" s="15" t="s">
        <v>216</v>
      </c>
      <c r="AA351" s="15" t="s">
        <v>217</v>
      </c>
      <c r="AB351" s="17"/>
      <c r="AC351" s="17"/>
    </row>
    <row r="352" customFormat="false" ht="23.85" hidden="false" customHeight="false" outlineLevel="0" collapsed="false">
      <c r="A352" s="15" t="s">
        <v>2286</v>
      </c>
      <c r="B352" s="15" t="s">
        <v>2287</v>
      </c>
      <c r="C352" s="15" t="s">
        <v>2076</v>
      </c>
      <c r="D352" s="15" t="s">
        <v>89</v>
      </c>
      <c r="E352" s="15" t="s">
        <v>258</v>
      </c>
      <c r="F352" s="15"/>
      <c r="G352" s="15" t="s">
        <v>715</v>
      </c>
      <c r="H352" s="15" t="s">
        <v>2288</v>
      </c>
      <c r="I352" s="15" t="s">
        <v>126</v>
      </c>
      <c r="J352" s="3" t="s">
        <v>2289</v>
      </c>
      <c r="K352" s="15" t="n">
        <f aca="false">LEN(J352)</f>
        <v>63</v>
      </c>
      <c r="L352" s="3" t="s">
        <v>2290</v>
      </c>
      <c r="M352" s="15" t="n">
        <f aca="false">LEN(L352)</f>
        <v>142</v>
      </c>
      <c r="N352" s="3" t="s">
        <v>2291</v>
      </c>
      <c r="O352" s="15" t="s">
        <v>2292</v>
      </c>
      <c r="P352" s="16" t="n">
        <v>88</v>
      </c>
      <c r="Q352" s="15" t="s">
        <v>104</v>
      </c>
      <c r="R352" s="15"/>
      <c r="S352" s="15" t="n">
        <f aca="false">COUNTIF('Page-Keyword Map'!$A$2:$A$668,B352)</f>
        <v>1</v>
      </c>
      <c r="T352" s="16" t="n">
        <f aca="false">SUMIF('Page-Keyword Map'!$A$2:$A$668,B352,'Page-Keyword Map'!$H$2:$H$668)</f>
        <v>88</v>
      </c>
      <c r="U352" s="15" t="n">
        <f aca="false">COUNTIFS('Page-Keyword Map'!$A$2:$A$668,B352,'Page-Keyword Map'!$E$2:$E$668,"Nationwide")</f>
        <v>0</v>
      </c>
      <c r="V352" s="15" t="n">
        <f aca="false">COUNTIFS('Page-Keyword Map'!$A$2:$A$668,B352,'Page-Keyword Map'!$E$2:$E$668,"Provincial")</f>
        <v>0</v>
      </c>
      <c r="W352" s="15" t="n">
        <f aca="false">COUNTIFS('Page-Keyword Map'!$A$2:$A$668,B352,'Page-Keyword Map'!$E$2:$E$668,"City")</f>
        <v>1</v>
      </c>
      <c r="X352" s="15" t="str">
        <f aca="false">IF(O352="","",IF(ISNUMBER(SEARCH(O352,J352)),"Yes","No"))</f>
        <v>Yes</v>
      </c>
      <c r="Y352" s="15" t="n">
        <v>0.7</v>
      </c>
      <c r="Z352" s="15" t="s">
        <v>2089</v>
      </c>
      <c r="AA352" s="15" t="s">
        <v>131</v>
      </c>
      <c r="AB352" s="17"/>
      <c r="AC352" s="17"/>
    </row>
    <row r="353" customFormat="false" ht="23.85" hidden="false" customHeight="false" outlineLevel="0" collapsed="false">
      <c r="A353" s="15" t="s">
        <v>2293</v>
      </c>
      <c r="B353" s="15" t="s">
        <v>2294</v>
      </c>
      <c r="C353" s="15" t="s">
        <v>2076</v>
      </c>
      <c r="D353" s="15" t="s">
        <v>89</v>
      </c>
      <c r="E353" s="15" t="s">
        <v>258</v>
      </c>
      <c r="F353" s="15"/>
      <c r="G353" s="15" t="s">
        <v>715</v>
      </c>
      <c r="H353" s="15" t="s">
        <v>2295</v>
      </c>
      <c r="I353" s="15" t="s">
        <v>126</v>
      </c>
      <c r="J353" s="3" t="s">
        <v>2296</v>
      </c>
      <c r="K353" s="15" t="n">
        <f aca="false">LEN(J353)</f>
        <v>60</v>
      </c>
      <c r="L353" s="3" t="s">
        <v>2297</v>
      </c>
      <c r="M353" s="15" t="n">
        <f aca="false">LEN(L353)</f>
        <v>139</v>
      </c>
      <c r="N353" s="3" t="s">
        <v>2298</v>
      </c>
      <c r="O353" s="15" t="s">
        <v>2299</v>
      </c>
      <c r="P353" s="16" t="n">
        <v>130</v>
      </c>
      <c r="Q353" s="15" t="s">
        <v>104</v>
      </c>
      <c r="R353" s="15"/>
      <c r="S353" s="15" t="n">
        <f aca="false">COUNTIF('Page-Keyword Map'!$A$2:$A$668,B353)</f>
        <v>1</v>
      </c>
      <c r="T353" s="16" t="n">
        <f aca="false">SUMIF('Page-Keyword Map'!$A$2:$A$668,B353,'Page-Keyword Map'!$H$2:$H$668)</f>
        <v>130</v>
      </c>
      <c r="U353" s="15" t="n">
        <f aca="false">COUNTIFS('Page-Keyword Map'!$A$2:$A$668,B353,'Page-Keyword Map'!$E$2:$E$668,"Nationwide")</f>
        <v>0</v>
      </c>
      <c r="V353" s="15" t="n">
        <f aca="false">COUNTIFS('Page-Keyword Map'!$A$2:$A$668,B353,'Page-Keyword Map'!$E$2:$E$668,"Provincial")</f>
        <v>0</v>
      </c>
      <c r="W353" s="15" t="n">
        <f aca="false">COUNTIFS('Page-Keyword Map'!$A$2:$A$668,B353,'Page-Keyword Map'!$E$2:$E$668,"City")</f>
        <v>1</v>
      </c>
      <c r="X353" s="15" t="str">
        <f aca="false">IF(O353="","",IF(ISNUMBER(SEARCH(O353,J353)),"Yes","No"))</f>
        <v>No</v>
      </c>
      <c r="Y353" s="15" t="n">
        <v>0.7</v>
      </c>
      <c r="Z353" s="15" t="s">
        <v>2089</v>
      </c>
      <c r="AA353" s="15" t="s">
        <v>131</v>
      </c>
      <c r="AB353" s="17"/>
      <c r="AC353" s="17"/>
    </row>
    <row r="354" customFormat="false" ht="23.85" hidden="false" customHeight="false" outlineLevel="0" collapsed="false">
      <c r="A354" s="15" t="s">
        <v>2300</v>
      </c>
      <c r="B354" s="15" t="s">
        <v>2301</v>
      </c>
      <c r="C354" s="15" t="s">
        <v>2076</v>
      </c>
      <c r="D354" s="15" t="s">
        <v>89</v>
      </c>
      <c r="E354" s="15" t="s">
        <v>258</v>
      </c>
      <c r="F354" s="15"/>
      <c r="G354" s="15" t="s">
        <v>715</v>
      </c>
      <c r="H354" s="15" t="s">
        <v>2302</v>
      </c>
      <c r="I354" s="15" t="s">
        <v>126</v>
      </c>
      <c r="J354" s="3" t="s">
        <v>2303</v>
      </c>
      <c r="K354" s="15" t="n">
        <f aca="false">LEN(J354)</f>
        <v>61</v>
      </c>
      <c r="L354" s="3" t="s">
        <v>2304</v>
      </c>
      <c r="M354" s="15" t="n">
        <f aca="false">LEN(L354)</f>
        <v>140</v>
      </c>
      <c r="N354" s="3" t="s">
        <v>2305</v>
      </c>
      <c r="O354" s="15" t="s">
        <v>2306</v>
      </c>
      <c r="P354" s="16" t="n">
        <v>110</v>
      </c>
      <c r="Q354" s="15" t="s">
        <v>104</v>
      </c>
      <c r="R354" s="15"/>
      <c r="S354" s="15" t="n">
        <f aca="false">COUNTIF('Page-Keyword Map'!$A$2:$A$668,B354)</f>
        <v>1</v>
      </c>
      <c r="T354" s="16" t="n">
        <f aca="false">SUMIF('Page-Keyword Map'!$A$2:$A$668,B354,'Page-Keyword Map'!$H$2:$H$668)</f>
        <v>110</v>
      </c>
      <c r="U354" s="15" t="n">
        <f aca="false">COUNTIFS('Page-Keyword Map'!$A$2:$A$668,B354,'Page-Keyword Map'!$E$2:$E$668,"Nationwide")</f>
        <v>0</v>
      </c>
      <c r="V354" s="15" t="n">
        <f aca="false">COUNTIFS('Page-Keyword Map'!$A$2:$A$668,B354,'Page-Keyword Map'!$E$2:$E$668,"Provincial")</f>
        <v>0</v>
      </c>
      <c r="W354" s="15" t="n">
        <f aca="false">COUNTIFS('Page-Keyword Map'!$A$2:$A$668,B354,'Page-Keyword Map'!$E$2:$E$668,"City")</f>
        <v>1</v>
      </c>
      <c r="X354" s="15" t="str">
        <f aca="false">IF(O354="","",IF(ISNUMBER(SEARCH(O354,J354)),"Yes","No"))</f>
        <v>Yes</v>
      </c>
      <c r="Y354" s="15" t="n">
        <v>0.7</v>
      </c>
      <c r="Z354" s="15" t="s">
        <v>2089</v>
      </c>
      <c r="AA354" s="15" t="s">
        <v>131</v>
      </c>
      <c r="AB354" s="17"/>
      <c r="AC354" s="17"/>
    </row>
    <row r="355" customFormat="false" ht="23.85" hidden="false" customHeight="false" outlineLevel="0" collapsed="false">
      <c r="A355" s="15" t="s">
        <v>2307</v>
      </c>
      <c r="B355" s="15" t="s">
        <v>2308</v>
      </c>
      <c r="C355" s="15" t="s">
        <v>2076</v>
      </c>
      <c r="D355" s="15" t="s">
        <v>89</v>
      </c>
      <c r="E355" s="15" t="s">
        <v>258</v>
      </c>
      <c r="F355" s="15"/>
      <c r="G355" s="15" t="s">
        <v>715</v>
      </c>
      <c r="H355" s="15" t="s">
        <v>2309</v>
      </c>
      <c r="I355" s="15" t="s">
        <v>211</v>
      </c>
      <c r="J355" s="3" t="s">
        <v>2310</v>
      </c>
      <c r="K355" s="15" t="n">
        <f aca="false">LEN(J355)</f>
        <v>60</v>
      </c>
      <c r="L355" s="3" t="s">
        <v>2311</v>
      </c>
      <c r="M355" s="15" t="n">
        <f aca="false">LEN(L355)</f>
        <v>139</v>
      </c>
      <c r="N355" s="3" t="s">
        <v>2312</v>
      </c>
      <c r="O355" s="15" t="s">
        <v>2313</v>
      </c>
      <c r="P355" s="16" t="n">
        <v>52</v>
      </c>
      <c r="Q355" s="15" t="s">
        <v>104</v>
      </c>
      <c r="R355" s="15"/>
      <c r="S355" s="15" t="n">
        <f aca="false">COUNTIF('Page-Keyword Map'!$A$2:$A$668,B355)</f>
        <v>1</v>
      </c>
      <c r="T355" s="16" t="n">
        <f aca="false">SUMIF('Page-Keyword Map'!$A$2:$A$668,B355,'Page-Keyword Map'!$H$2:$H$668)</f>
        <v>52</v>
      </c>
      <c r="U355" s="15" t="n">
        <f aca="false">COUNTIFS('Page-Keyword Map'!$A$2:$A$668,B355,'Page-Keyword Map'!$E$2:$E$668,"Nationwide")</f>
        <v>0</v>
      </c>
      <c r="V355" s="15" t="n">
        <f aca="false">COUNTIFS('Page-Keyword Map'!$A$2:$A$668,B355,'Page-Keyword Map'!$E$2:$E$668,"Provincial")</f>
        <v>0</v>
      </c>
      <c r="W355" s="15" t="n">
        <f aca="false">COUNTIFS('Page-Keyword Map'!$A$2:$A$668,B355,'Page-Keyword Map'!$E$2:$E$668,"City")</f>
        <v>1</v>
      </c>
      <c r="X355" s="15" t="str">
        <f aca="false">IF(O355="","",IF(ISNUMBER(SEARCH(O355,J355)),"Yes","No"))</f>
        <v>Yes</v>
      </c>
      <c r="Y355" s="15" t="n">
        <v>0.5</v>
      </c>
      <c r="Z355" s="15" t="s">
        <v>216</v>
      </c>
      <c r="AA355" s="15" t="s">
        <v>217</v>
      </c>
      <c r="AB355" s="17"/>
      <c r="AC355" s="17"/>
    </row>
    <row r="356" customFormat="false" ht="23.85" hidden="false" customHeight="false" outlineLevel="0" collapsed="false">
      <c r="A356" s="15" t="s">
        <v>2314</v>
      </c>
      <c r="B356" s="15" t="s">
        <v>2315</v>
      </c>
      <c r="C356" s="15" t="s">
        <v>2076</v>
      </c>
      <c r="D356" s="15" t="s">
        <v>89</v>
      </c>
      <c r="E356" s="15" t="s">
        <v>258</v>
      </c>
      <c r="F356" s="15"/>
      <c r="G356" s="15" t="s">
        <v>715</v>
      </c>
      <c r="H356" s="15" t="s">
        <v>2316</v>
      </c>
      <c r="I356" s="15" t="s">
        <v>126</v>
      </c>
      <c r="J356" s="3" t="s">
        <v>2317</v>
      </c>
      <c r="K356" s="15" t="n">
        <f aca="false">LEN(J356)</f>
        <v>65</v>
      </c>
      <c r="L356" s="3" t="s">
        <v>2318</v>
      </c>
      <c r="M356" s="15" t="n">
        <f aca="false">LEN(L356)</f>
        <v>144</v>
      </c>
      <c r="N356" s="3" t="s">
        <v>2319</v>
      </c>
      <c r="O356" s="15" t="s">
        <v>2320</v>
      </c>
      <c r="P356" s="16" t="n">
        <v>200</v>
      </c>
      <c r="Q356" s="15" t="s">
        <v>104</v>
      </c>
      <c r="R356" s="15"/>
      <c r="S356" s="15" t="n">
        <f aca="false">COUNTIF('Page-Keyword Map'!$A$2:$A$668,B356)</f>
        <v>1</v>
      </c>
      <c r="T356" s="16" t="n">
        <f aca="false">SUMIF('Page-Keyword Map'!$A$2:$A$668,B356,'Page-Keyword Map'!$H$2:$H$668)</f>
        <v>200</v>
      </c>
      <c r="U356" s="15" t="n">
        <f aca="false">COUNTIFS('Page-Keyword Map'!$A$2:$A$668,B356,'Page-Keyword Map'!$E$2:$E$668,"Nationwide")</f>
        <v>0</v>
      </c>
      <c r="V356" s="15" t="n">
        <f aca="false">COUNTIFS('Page-Keyword Map'!$A$2:$A$668,B356,'Page-Keyword Map'!$E$2:$E$668,"Provincial")</f>
        <v>0</v>
      </c>
      <c r="W356" s="15" t="n">
        <f aca="false">COUNTIFS('Page-Keyword Map'!$A$2:$A$668,B356,'Page-Keyword Map'!$E$2:$E$668,"City")</f>
        <v>1</v>
      </c>
      <c r="X356" s="15" t="str">
        <f aca="false">IF(O356="","",IF(ISNUMBER(SEARCH(O356,J356)),"Yes","No"))</f>
        <v>Yes</v>
      </c>
      <c r="Y356" s="15" t="n">
        <v>0.7</v>
      </c>
      <c r="Z356" s="15" t="s">
        <v>2089</v>
      </c>
      <c r="AA356" s="15" t="s">
        <v>131</v>
      </c>
      <c r="AB356" s="17"/>
      <c r="AC356" s="17"/>
    </row>
    <row r="357" customFormat="false" ht="23.85" hidden="false" customHeight="false" outlineLevel="0" collapsed="false">
      <c r="A357" s="15" t="s">
        <v>2321</v>
      </c>
      <c r="B357" s="15" t="s">
        <v>2322</v>
      </c>
      <c r="C357" s="15" t="s">
        <v>2076</v>
      </c>
      <c r="D357" s="15" t="s">
        <v>89</v>
      </c>
      <c r="E357" s="15" t="s">
        <v>258</v>
      </c>
      <c r="F357" s="15"/>
      <c r="G357" s="15" t="s">
        <v>715</v>
      </c>
      <c r="H357" s="15" t="s">
        <v>2323</v>
      </c>
      <c r="I357" s="15" t="s">
        <v>211</v>
      </c>
      <c r="J357" s="3" t="s">
        <v>2324</v>
      </c>
      <c r="K357" s="15" t="n">
        <f aca="false">LEN(J357)</f>
        <v>62</v>
      </c>
      <c r="L357" s="3" t="s">
        <v>2325</v>
      </c>
      <c r="M357" s="15" t="n">
        <f aca="false">LEN(L357)</f>
        <v>141</v>
      </c>
      <c r="N357" s="3" t="s">
        <v>2326</v>
      </c>
      <c r="O357" s="15" t="s">
        <v>2327</v>
      </c>
      <c r="P357" s="16" t="n">
        <v>76</v>
      </c>
      <c r="Q357" s="15" t="s">
        <v>104</v>
      </c>
      <c r="R357" s="15"/>
      <c r="S357" s="15" t="n">
        <f aca="false">COUNTIF('Page-Keyword Map'!$A$2:$A$668,B357)</f>
        <v>1</v>
      </c>
      <c r="T357" s="16" t="n">
        <f aca="false">SUMIF('Page-Keyword Map'!$A$2:$A$668,B357,'Page-Keyword Map'!$H$2:$H$668)</f>
        <v>76</v>
      </c>
      <c r="U357" s="15" t="n">
        <f aca="false">COUNTIFS('Page-Keyword Map'!$A$2:$A$668,B357,'Page-Keyword Map'!$E$2:$E$668,"Nationwide")</f>
        <v>0</v>
      </c>
      <c r="V357" s="15" t="n">
        <f aca="false">COUNTIFS('Page-Keyword Map'!$A$2:$A$668,B357,'Page-Keyword Map'!$E$2:$E$668,"Provincial")</f>
        <v>0</v>
      </c>
      <c r="W357" s="15" t="n">
        <f aca="false">COUNTIFS('Page-Keyword Map'!$A$2:$A$668,B357,'Page-Keyword Map'!$E$2:$E$668,"City")</f>
        <v>1</v>
      </c>
      <c r="X357" s="15" t="str">
        <f aca="false">IF(O357="","",IF(ISNUMBER(SEARCH(O357,J357)),"Yes","No"))</f>
        <v>Yes</v>
      </c>
      <c r="Y357" s="15" t="n">
        <v>0.5</v>
      </c>
      <c r="Z357" s="15" t="s">
        <v>216</v>
      </c>
      <c r="AA357" s="15" t="s">
        <v>217</v>
      </c>
      <c r="AB357" s="17"/>
      <c r="AC357" s="17"/>
    </row>
    <row r="358" customFormat="false" ht="23.85" hidden="false" customHeight="false" outlineLevel="0" collapsed="false">
      <c r="A358" s="15" t="s">
        <v>2328</v>
      </c>
      <c r="B358" s="15" t="s">
        <v>2329</v>
      </c>
      <c r="C358" s="15" t="s">
        <v>2076</v>
      </c>
      <c r="D358" s="15" t="s">
        <v>89</v>
      </c>
      <c r="E358" s="15" t="s">
        <v>258</v>
      </c>
      <c r="F358" s="15"/>
      <c r="G358" s="15" t="s">
        <v>715</v>
      </c>
      <c r="H358" s="15" t="s">
        <v>2330</v>
      </c>
      <c r="I358" s="15" t="s">
        <v>211</v>
      </c>
      <c r="J358" s="3" t="s">
        <v>2331</v>
      </c>
      <c r="K358" s="15" t="n">
        <f aca="false">LEN(J358)</f>
        <v>60</v>
      </c>
      <c r="L358" s="3" t="s">
        <v>2332</v>
      </c>
      <c r="M358" s="15" t="n">
        <f aca="false">LEN(L358)</f>
        <v>139</v>
      </c>
      <c r="N358" s="3" t="s">
        <v>2333</v>
      </c>
      <c r="O358" s="15" t="s">
        <v>2334</v>
      </c>
      <c r="P358" s="16" t="n">
        <v>65</v>
      </c>
      <c r="Q358" s="15" t="s">
        <v>104</v>
      </c>
      <c r="R358" s="15"/>
      <c r="S358" s="15" t="n">
        <f aca="false">COUNTIF('Page-Keyword Map'!$A$2:$A$668,B358)</f>
        <v>1</v>
      </c>
      <c r="T358" s="16" t="n">
        <f aca="false">SUMIF('Page-Keyword Map'!$A$2:$A$668,B358,'Page-Keyword Map'!$H$2:$H$668)</f>
        <v>65</v>
      </c>
      <c r="U358" s="15" t="n">
        <f aca="false">COUNTIFS('Page-Keyword Map'!$A$2:$A$668,B358,'Page-Keyword Map'!$E$2:$E$668,"Nationwide")</f>
        <v>0</v>
      </c>
      <c r="V358" s="15" t="n">
        <f aca="false">COUNTIFS('Page-Keyword Map'!$A$2:$A$668,B358,'Page-Keyword Map'!$E$2:$E$668,"Provincial")</f>
        <v>0</v>
      </c>
      <c r="W358" s="15" t="n">
        <f aca="false">COUNTIFS('Page-Keyword Map'!$A$2:$A$668,B358,'Page-Keyword Map'!$E$2:$E$668,"City")</f>
        <v>1</v>
      </c>
      <c r="X358" s="15" t="str">
        <f aca="false">IF(O358="","",IF(ISNUMBER(SEARCH(O358,J358)),"Yes","No"))</f>
        <v>Yes</v>
      </c>
      <c r="Y358" s="15" t="n">
        <v>0.5</v>
      </c>
      <c r="Z358" s="15" t="s">
        <v>216</v>
      </c>
      <c r="AA358" s="15" t="s">
        <v>217</v>
      </c>
      <c r="AB358" s="17"/>
      <c r="AC358" s="17"/>
    </row>
    <row r="359" customFormat="false" ht="23.85" hidden="false" customHeight="false" outlineLevel="0" collapsed="false">
      <c r="A359" s="15" t="s">
        <v>2335</v>
      </c>
      <c r="B359" s="15" t="s">
        <v>2336</v>
      </c>
      <c r="C359" s="15" t="s">
        <v>2076</v>
      </c>
      <c r="D359" s="15" t="s">
        <v>89</v>
      </c>
      <c r="E359" s="15" t="s">
        <v>258</v>
      </c>
      <c r="F359" s="15"/>
      <c r="G359" s="15" t="s">
        <v>715</v>
      </c>
      <c r="H359" s="15" t="s">
        <v>2337</v>
      </c>
      <c r="I359" s="15" t="s">
        <v>126</v>
      </c>
      <c r="J359" s="3" t="s">
        <v>2338</v>
      </c>
      <c r="K359" s="15" t="n">
        <f aca="false">LEN(J359)</f>
        <v>60</v>
      </c>
      <c r="L359" s="3" t="s">
        <v>2339</v>
      </c>
      <c r="M359" s="15" t="n">
        <f aca="false">LEN(L359)</f>
        <v>139</v>
      </c>
      <c r="N359" s="3" t="s">
        <v>2340</v>
      </c>
      <c r="O359" s="15" t="s">
        <v>2341</v>
      </c>
      <c r="P359" s="16" t="n">
        <v>260</v>
      </c>
      <c r="Q359" s="15" t="s">
        <v>104</v>
      </c>
      <c r="R359" s="15"/>
      <c r="S359" s="15" t="n">
        <f aca="false">COUNTIF('Page-Keyword Map'!$A$2:$A$668,B359)</f>
        <v>1</v>
      </c>
      <c r="T359" s="16" t="n">
        <f aca="false">SUMIF('Page-Keyword Map'!$A$2:$A$668,B359,'Page-Keyword Map'!$H$2:$H$668)</f>
        <v>260</v>
      </c>
      <c r="U359" s="15" t="n">
        <f aca="false">COUNTIFS('Page-Keyword Map'!$A$2:$A$668,B359,'Page-Keyword Map'!$E$2:$E$668,"Nationwide")</f>
        <v>0</v>
      </c>
      <c r="V359" s="15" t="n">
        <f aca="false">COUNTIFS('Page-Keyword Map'!$A$2:$A$668,B359,'Page-Keyword Map'!$E$2:$E$668,"Provincial")</f>
        <v>0</v>
      </c>
      <c r="W359" s="15" t="n">
        <f aca="false">COUNTIFS('Page-Keyword Map'!$A$2:$A$668,B359,'Page-Keyword Map'!$E$2:$E$668,"City")</f>
        <v>1</v>
      </c>
      <c r="X359" s="15" t="str">
        <f aca="false">IF(O359="","",IF(ISNUMBER(SEARCH(O359,J359)),"Yes","No"))</f>
        <v>Yes</v>
      </c>
      <c r="Y359" s="15" t="n">
        <v>0.7</v>
      </c>
      <c r="Z359" s="15" t="s">
        <v>2089</v>
      </c>
      <c r="AA359" s="15" t="s">
        <v>131</v>
      </c>
      <c r="AB359" s="17"/>
      <c r="AC359" s="17"/>
    </row>
    <row r="360" customFormat="false" ht="23.85" hidden="false" customHeight="false" outlineLevel="0" collapsed="false">
      <c r="A360" s="15" t="s">
        <v>2342</v>
      </c>
      <c r="B360" s="15" t="s">
        <v>2343</v>
      </c>
      <c r="C360" s="15" t="s">
        <v>2076</v>
      </c>
      <c r="D360" s="15" t="s">
        <v>89</v>
      </c>
      <c r="E360" s="15" t="s">
        <v>258</v>
      </c>
      <c r="F360" s="15"/>
      <c r="G360" s="15" t="s">
        <v>715</v>
      </c>
      <c r="H360" s="15" t="s">
        <v>2344</v>
      </c>
      <c r="I360" s="15" t="s">
        <v>211</v>
      </c>
      <c r="J360" s="3" t="s">
        <v>2345</v>
      </c>
      <c r="K360" s="15" t="n">
        <f aca="false">LEN(J360)</f>
        <v>63</v>
      </c>
      <c r="L360" s="3" t="s">
        <v>2346</v>
      </c>
      <c r="M360" s="15" t="n">
        <f aca="false">LEN(L360)</f>
        <v>142</v>
      </c>
      <c r="N360" s="3" t="s">
        <v>2347</v>
      </c>
      <c r="O360" s="15" t="s">
        <v>2348</v>
      </c>
      <c r="P360" s="16" t="n">
        <v>41</v>
      </c>
      <c r="Q360" s="15" t="s">
        <v>104</v>
      </c>
      <c r="R360" s="15"/>
      <c r="S360" s="15" t="n">
        <f aca="false">COUNTIF('Page-Keyword Map'!$A$2:$A$668,B360)</f>
        <v>1</v>
      </c>
      <c r="T360" s="16" t="n">
        <f aca="false">SUMIF('Page-Keyword Map'!$A$2:$A$668,B360,'Page-Keyword Map'!$H$2:$H$668)</f>
        <v>41</v>
      </c>
      <c r="U360" s="15" t="n">
        <f aca="false">COUNTIFS('Page-Keyword Map'!$A$2:$A$668,B360,'Page-Keyword Map'!$E$2:$E$668,"Nationwide")</f>
        <v>0</v>
      </c>
      <c r="V360" s="15" t="n">
        <f aca="false">COUNTIFS('Page-Keyword Map'!$A$2:$A$668,B360,'Page-Keyword Map'!$E$2:$E$668,"Provincial")</f>
        <v>0</v>
      </c>
      <c r="W360" s="15" t="n">
        <f aca="false">COUNTIFS('Page-Keyword Map'!$A$2:$A$668,B360,'Page-Keyword Map'!$E$2:$E$668,"City")</f>
        <v>1</v>
      </c>
      <c r="X360" s="15" t="str">
        <f aca="false">IF(O360="","",IF(ISNUMBER(SEARCH(O360,J360)),"Yes","No"))</f>
        <v>Yes</v>
      </c>
      <c r="Y360" s="15" t="n">
        <v>0.5</v>
      </c>
      <c r="Z360" s="15" t="s">
        <v>216</v>
      </c>
      <c r="AA360" s="15" t="s">
        <v>217</v>
      </c>
      <c r="AB360" s="17"/>
      <c r="AC360" s="17"/>
    </row>
    <row r="361" customFormat="false" ht="23.85" hidden="false" customHeight="false" outlineLevel="0" collapsed="false">
      <c r="A361" s="15" t="s">
        <v>2349</v>
      </c>
      <c r="B361" s="15" t="s">
        <v>2350</v>
      </c>
      <c r="C361" s="15" t="s">
        <v>2076</v>
      </c>
      <c r="D361" s="15" t="s">
        <v>89</v>
      </c>
      <c r="E361" s="15" t="s">
        <v>258</v>
      </c>
      <c r="F361" s="15"/>
      <c r="G361" s="15" t="s">
        <v>715</v>
      </c>
      <c r="H361" s="15" t="s">
        <v>2351</v>
      </c>
      <c r="I361" s="15" t="s">
        <v>211</v>
      </c>
      <c r="J361" s="3" t="s">
        <v>2352</v>
      </c>
      <c r="K361" s="15" t="n">
        <f aca="false">LEN(J361)</f>
        <v>67</v>
      </c>
      <c r="L361" s="3" t="s">
        <v>2353</v>
      </c>
      <c r="M361" s="15" t="n">
        <f aca="false">LEN(L361)</f>
        <v>146</v>
      </c>
      <c r="N361" s="3" t="s">
        <v>2354</v>
      </c>
      <c r="O361" s="15" t="s">
        <v>2355</v>
      </c>
      <c r="P361" s="16" t="n">
        <v>72</v>
      </c>
      <c r="Q361" s="15" t="s">
        <v>104</v>
      </c>
      <c r="R361" s="15"/>
      <c r="S361" s="15" t="n">
        <f aca="false">COUNTIF('Page-Keyword Map'!$A$2:$A$668,B361)</f>
        <v>1</v>
      </c>
      <c r="T361" s="16" t="n">
        <f aca="false">SUMIF('Page-Keyword Map'!$A$2:$A$668,B361,'Page-Keyword Map'!$H$2:$H$668)</f>
        <v>72</v>
      </c>
      <c r="U361" s="15" t="n">
        <f aca="false">COUNTIFS('Page-Keyword Map'!$A$2:$A$668,B361,'Page-Keyword Map'!$E$2:$E$668,"Nationwide")</f>
        <v>0</v>
      </c>
      <c r="V361" s="15" t="n">
        <f aca="false">COUNTIFS('Page-Keyword Map'!$A$2:$A$668,B361,'Page-Keyword Map'!$E$2:$E$668,"Provincial")</f>
        <v>0</v>
      </c>
      <c r="W361" s="15" t="n">
        <f aca="false">COUNTIFS('Page-Keyword Map'!$A$2:$A$668,B361,'Page-Keyword Map'!$E$2:$E$668,"City")</f>
        <v>1</v>
      </c>
      <c r="X361" s="15" t="str">
        <f aca="false">IF(O361="","",IF(ISNUMBER(SEARCH(O361,J361)),"Yes","No"))</f>
        <v>Yes</v>
      </c>
      <c r="Y361" s="15" t="n">
        <v>0.5</v>
      </c>
      <c r="Z361" s="15" t="s">
        <v>216</v>
      </c>
      <c r="AA361" s="15" t="s">
        <v>217</v>
      </c>
      <c r="AB361" s="17"/>
      <c r="AC361" s="17"/>
    </row>
    <row r="362" customFormat="false" ht="23.85" hidden="false" customHeight="false" outlineLevel="0" collapsed="false">
      <c r="A362" s="15" t="s">
        <v>2356</v>
      </c>
      <c r="B362" s="15" t="s">
        <v>2357</v>
      </c>
      <c r="C362" s="15" t="s">
        <v>2076</v>
      </c>
      <c r="D362" s="15" t="s">
        <v>89</v>
      </c>
      <c r="E362" s="15" t="s">
        <v>258</v>
      </c>
      <c r="F362" s="15"/>
      <c r="G362" s="15" t="s">
        <v>715</v>
      </c>
      <c r="H362" s="15" t="s">
        <v>2358</v>
      </c>
      <c r="I362" s="15" t="s">
        <v>211</v>
      </c>
      <c r="J362" s="3" t="s">
        <v>2359</v>
      </c>
      <c r="K362" s="15" t="n">
        <f aca="false">LEN(J362)</f>
        <v>68</v>
      </c>
      <c r="L362" s="3" t="s">
        <v>2360</v>
      </c>
      <c r="M362" s="15" t="n">
        <f aca="false">LEN(L362)</f>
        <v>147</v>
      </c>
      <c r="N362" s="3" t="s">
        <v>2361</v>
      </c>
      <c r="O362" s="15" t="s">
        <v>2362</v>
      </c>
      <c r="P362" s="16" t="n">
        <v>53</v>
      </c>
      <c r="Q362" s="15" t="s">
        <v>104</v>
      </c>
      <c r="R362" s="15"/>
      <c r="S362" s="15" t="n">
        <f aca="false">COUNTIF('Page-Keyword Map'!$A$2:$A$668,B362)</f>
        <v>1</v>
      </c>
      <c r="T362" s="16" t="n">
        <f aca="false">SUMIF('Page-Keyword Map'!$A$2:$A$668,B362,'Page-Keyword Map'!$H$2:$H$668)</f>
        <v>53</v>
      </c>
      <c r="U362" s="15" t="n">
        <f aca="false">COUNTIFS('Page-Keyword Map'!$A$2:$A$668,B362,'Page-Keyword Map'!$E$2:$E$668,"Nationwide")</f>
        <v>0</v>
      </c>
      <c r="V362" s="15" t="n">
        <f aca="false">COUNTIFS('Page-Keyword Map'!$A$2:$A$668,B362,'Page-Keyword Map'!$E$2:$E$668,"Provincial")</f>
        <v>0</v>
      </c>
      <c r="W362" s="15" t="n">
        <f aca="false">COUNTIFS('Page-Keyword Map'!$A$2:$A$668,B362,'Page-Keyword Map'!$E$2:$E$668,"City")</f>
        <v>1</v>
      </c>
      <c r="X362" s="15" t="str">
        <f aca="false">IF(O362="","",IF(ISNUMBER(SEARCH(O362,J362)),"Yes","No"))</f>
        <v>No</v>
      </c>
      <c r="Y362" s="15" t="n">
        <v>0.5</v>
      </c>
      <c r="Z362" s="15" t="s">
        <v>216</v>
      </c>
      <c r="AA362" s="15" t="s">
        <v>217</v>
      </c>
      <c r="AB362" s="17"/>
      <c r="AC362" s="17"/>
    </row>
    <row r="363" customFormat="false" ht="23.85" hidden="false" customHeight="false" outlineLevel="0" collapsed="false">
      <c r="A363" s="15" t="s">
        <v>2363</v>
      </c>
      <c r="B363" s="15" t="s">
        <v>2364</v>
      </c>
      <c r="C363" s="15" t="s">
        <v>2076</v>
      </c>
      <c r="D363" s="15" t="s">
        <v>89</v>
      </c>
      <c r="E363" s="15" t="s">
        <v>258</v>
      </c>
      <c r="F363" s="15"/>
      <c r="G363" s="15" t="s">
        <v>715</v>
      </c>
      <c r="H363" s="15" t="s">
        <v>2365</v>
      </c>
      <c r="I363" s="15" t="s">
        <v>211</v>
      </c>
      <c r="J363" s="3" t="s">
        <v>2366</v>
      </c>
      <c r="K363" s="15" t="n">
        <f aca="false">LEN(J363)</f>
        <v>61</v>
      </c>
      <c r="L363" s="3" t="s">
        <v>2367</v>
      </c>
      <c r="M363" s="15" t="n">
        <f aca="false">LEN(L363)</f>
        <v>140</v>
      </c>
      <c r="N363" s="3" t="s">
        <v>2368</v>
      </c>
      <c r="O363" s="15" t="s">
        <v>2369</v>
      </c>
      <c r="P363" s="16" t="n">
        <v>62</v>
      </c>
      <c r="Q363" s="15" t="s">
        <v>104</v>
      </c>
      <c r="R363" s="15"/>
      <c r="S363" s="15" t="n">
        <f aca="false">COUNTIF('Page-Keyword Map'!$A$2:$A$668,B363)</f>
        <v>1</v>
      </c>
      <c r="T363" s="16" t="n">
        <f aca="false">SUMIF('Page-Keyword Map'!$A$2:$A$668,B363,'Page-Keyword Map'!$H$2:$H$668)</f>
        <v>62</v>
      </c>
      <c r="U363" s="15" t="n">
        <f aca="false">COUNTIFS('Page-Keyword Map'!$A$2:$A$668,B363,'Page-Keyword Map'!$E$2:$E$668,"Nationwide")</f>
        <v>0</v>
      </c>
      <c r="V363" s="15" t="n">
        <f aca="false">COUNTIFS('Page-Keyword Map'!$A$2:$A$668,B363,'Page-Keyword Map'!$E$2:$E$668,"Provincial")</f>
        <v>0</v>
      </c>
      <c r="W363" s="15" t="n">
        <f aca="false">COUNTIFS('Page-Keyword Map'!$A$2:$A$668,B363,'Page-Keyword Map'!$E$2:$E$668,"City")</f>
        <v>1</v>
      </c>
      <c r="X363" s="15" t="str">
        <f aca="false">IF(O363="","",IF(ISNUMBER(SEARCH(O363,J363)),"Yes","No"))</f>
        <v>Yes</v>
      </c>
      <c r="Y363" s="15" t="n">
        <v>0.5</v>
      </c>
      <c r="Z363" s="15" t="s">
        <v>216</v>
      </c>
      <c r="AA363" s="15" t="s">
        <v>217</v>
      </c>
      <c r="AB363" s="17"/>
      <c r="AC363" s="17"/>
    </row>
    <row r="364" customFormat="false" ht="23.85" hidden="false" customHeight="false" outlineLevel="0" collapsed="false">
      <c r="A364" s="15" t="s">
        <v>2370</v>
      </c>
      <c r="B364" s="15" t="s">
        <v>2371</v>
      </c>
      <c r="C364" s="15" t="s">
        <v>2076</v>
      </c>
      <c r="D364" s="15" t="s">
        <v>89</v>
      </c>
      <c r="E364" s="15" t="s">
        <v>258</v>
      </c>
      <c r="F364" s="15"/>
      <c r="G364" s="15" t="s">
        <v>715</v>
      </c>
      <c r="H364" s="15" t="s">
        <v>2372</v>
      </c>
      <c r="I364" s="15" t="s">
        <v>211</v>
      </c>
      <c r="J364" s="3" t="s">
        <v>2373</v>
      </c>
      <c r="K364" s="15" t="n">
        <f aca="false">LEN(J364)</f>
        <v>65</v>
      </c>
      <c r="L364" s="3" t="s">
        <v>2374</v>
      </c>
      <c r="M364" s="15" t="n">
        <f aca="false">LEN(L364)</f>
        <v>144</v>
      </c>
      <c r="N364" s="3" t="s">
        <v>2375</v>
      </c>
      <c r="O364" s="15" t="s">
        <v>2376</v>
      </c>
      <c r="P364" s="16" t="n">
        <v>44</v>
      </c>
      <c r="Q364" s="15" t="s">
        <v>104</v>
      </c>
      <c r="R364" s="15"/>
      <c r="S364" s="15" t="n">
        <f aca="false">COUNTIF('Page-Keyword Map'!$A$2:$A$668,B364)</f>
        <v>1</v>
      </c>
      <c r="T364" s="16" t="n">
        <f aca="false">SUMIF('Page-Keyword Map'!$A$2:$A$668,B364,'Page-Keyword Map'!$H$2:$H$668)</f>
        <v>44</v>
      </c>
      <c r="U364" s="15" t="n">
        <f aca="false">COUNTIFS('Page-Keyword Map'!$A$2:$A$668,B364,'Page-Keyword Map'!$E$2:$E$668,"Nationwide")</f>
        <v>0</v>
      </c>
      <c r="V364" s="15" t="n">
        <f aca="false">COUNTIFS('Page-Keyword Map'!$A$2:$A$668,B364,'Page-Keyword Map'!$E$2:$E$668,"Provincial")</f>
        <v>0</v>
      </c>
      <c r="W364" s="15" t="n">
        <f aca="false">COUNTIFS('Page-Keyword Map'!$A$2:$A$668,B364,'Page-Keyword Map'!$E$2:$E$668,"City")</f>
        <v>1</v>
      </c>
      <c r="X364" s="15" t="str">
        <f aca="false">IF(O364="","",IF(ISNUMBER(SEARCH(O364,J364)),"Yes","No"))</f>
        <v>Yes</v>
      </c>
      <c r="Y364" s="15" t="n">
        <v>0.5</v>
      </c>
      <c r="Z364" s="15" t="s">
        <v>216</v>
      </c>
      <c r="AA364" s="15" t="s">
        <v>217</v>
      </c>
      <c r="AB364" s="17"/>
      <c r="AC364" s="17"/>
    </row>
    <row r="365" customFormat="false" ht="23.85" hidden="false" customHeight="false" outlineLevel="0" collapsed="false">
      <c r="A365" s="15" t="s">
        <v>2377</v>
      </c>
      <c r="B365" s="15" t="s">
        <v>2378</v>
      </c>
      <c r="C365" s="15" t="s">
        <v>2076</v>
      </c>
      <c r="D365" s="15" t="s">
        <v>89</v>
      </c>
      <c r="E365" s="15" t="s">
        <v>258</v>
      </c>
      <c r="F365" s="15"/>
      <c r="G365" s="15" t="s">
        <v>715</v>
      </c>
      <c r="H365" s="15" t="s">
        <v>2379</v>
      </c>
      <c r="I365" s="15" t="s">
        <v>126</v>
      </c>
      <c r="J365" s="3" t="s">
        <v>2380</v>
      </c>
      <c r="K365" s="15" t="n">
        <f aca="false">LEN(J365)</f>
        <v>61</v>
      </c>
      <c r="L365" s="3" t="s">
        <v>2381</v>
      </c>
      <c r="M365" s="15" t="n">
        <f aca="false">LEN(L365)</f>
        <v>140</v>
      </c>
      <c r="N365" s="3" t="s">
        <v>2382</v>
      </c>
      <c r="O365" s="15" t="s">
        <v>2383</v>
      </c>
      <c r="P365" s="16" t="n">
        <v>590</v>
      </c>
      <c r="Q365" s="15" t="s">
        <v>104</v>
      </c>
      <c r="R365" s="15"/>
      <c r="S365" s="15" t="n">
        <f aca="false">COUNTIF('Page-Keyword Map'!$A$2:$A$668,B365)</f>
        <v>1</v>
      </c>
      <c r="T365" s="16" t="n">
        <f aca="false">SUMIF('Page-Keyword Map'!$A$2:$A$668,B365,'Page-Keyword Map'!$H$2:$H$668)</f>
        <v>590</v>
      </c>
      <c r="U365" s="15" t="n">
        <f aca="false">COUNTIFS('Page-Keyword Map'!$A$2:$A$668,B365,'Page-Keyword Map'!$E$2:$E$668,"Nationwide")</f>
        <v>0</v>
      </c>
      <c r="V365" s="15" t="n">
        <f aca="false">COUNTIFS('Page-Keyword Map'!$A$2:$A$668,B365,'Page-Keyword Map'!$E$2:$E$668,"Provincial")</f>
        <v>0</v>
      </c>
      <c r="W365" s="15" t="n">
        <f aca="false">COUNTIFS('Page-Keyword Map'!$A$2:$A$668,B365,'Page-Keyword Map'!$E$2:$E$668,"City")</f>
        <v>1</v>
      </c>
      <c r="X365" s="15" t="str">
        <f aca="false">IF(O365="","",IF(ISNUMBER(SEARCH(O365,J365)),"Yes","No"))</f>
        <v>Yes</v>
      </c>
      <c r="Y365" s="15" t="n">
        <v>0.7</v>
      </c>
      <c r="Z365" s="15" t="s">
        <v>2089</v>
      </c>
      <c r="AA365" s="15" t="s">
        <v>131</v>
      </c>
      <c r="AB365" s="17"/>
      <c r="AC365" s="17"/>
    </row>
    <row r="366" customFormat="false" ht="23.85" hidden="false" customHeight="false" outlineLevel="0" collapsed="false">
      <c r="A366" s="15" t="s">
        <v>2384</v>
      </c>
      <c r="B366" s="15" t="s">
        <v>2385</v>
      </c>
      <c r="C366" s="15" t="s">
        <v>2076</v>
      </c>
      <c r="D366" s="15" t="s">
        <v>89</v>
      </c>
      <c r="E366" s="15" t="s">
        <v>258</v>
      </c>
      <c r="F366" s="15"/>
      <c r="G366" s="15" t="s">
        <v>715</v>
      </c>
      <c r="H366" s="15" t="s">
        <v>2386</v>
      </c>
      <c r="I366" s="15" t="s">
        <v>126</v>
      </c>
      <c r="J366" s="3" t="s">
        <v>2387</v>
      </c>
      <c r="K366" s="15" t="n">
        <f aca="false">LEN(J366)</f>
        <v>61</v>
      </c>
      <c r="L366" s="3" t="s">
        <v>2388</v>
      </c>
      <c r="M366" s="15" t="n">
        <f aca="false">LEN(L366)</f>
        <v>140</v>
      </c>
      <c r="N366" s="3" t="s">
        <v>2389</v>
      </c>
      <c r="O366" s="15" t="s">
        <v>2390</v>
      </c>
      <c r="P366" s="16" t="n">
        <v>110</v>
      </c>
      <c r="Q366" s="15" t="s">
        <v>104</v>
      </c>
      <c r="R366" s="15"/>
      <c r="S366" s="15" t="n">
        <f aca="false">COUNTIF('Page-Keyword Map'!$A$2:$A$668,B366)</f>
        <v>1</v>
      </c>
      <c r="T366" s="16" t="n">
        <f aca="false">SUMIF('Page-Keyword Map'!$A$2:$A$668,B366,'Page-Keyword Map'!$H$2:$H$668)</f>
        <v>110</v>
      </c>
      <c r="U366" s="15" t="n">
        <f aca="false">COUNTIFS('Page-Keyword Map'!$A$2:$A$668,B366,'Page-Keyword Map'!$E$2:$E$668,"Nationwide")</f>
        <v>0</v>
      </c>
      <c r="V366" s="15" t="n">
        <f aca="false">COUNTIFS('Page-Keyword Map'!$A$2:$A$668,B366,'Page-Keyword Map'!$E$2:$E$668,"Provincial")</f>
        <v>0</v>
      </c>
      <c r="W366" s="15" t="n">
        <f aca="false">COUNTIFS('Page-Keyword Map'!$A$2:$A$668,B366,'Page-Keyword Map'!$E$2:$E$668,"City")</f>
        <v>1</v>
      </c>
      <c r="X366" s="15" t="str">
        <f aca="false">IF(O366="","",IF(ISNUMBER(SEARCH(O366,J366)),"Yes","No"))</f>
        <v>Yes</v>
      </c>
      <c r="Y366" s="15" t="n">
        <v>0.7</v>
      </c>
      <c r="Z366" s="15" t="s">
        <v>2089</v>
      </c>
      <c r="AA366" s="15" t="s">
        <v>131</v>
      </c>
      <c r="AB366" s="17"/>
      <c r="AC366" s="17"/>
    </row>
    <row r="367" customFormat="false" ht="23.85" hidden="false" customHeight="false" outlineLevel="0" collapsed="false">
      <c r="A367" s="15" t="s">
        <v>2391</v>
      </c>
      <c r="B367" s="15" t="s">
        <v>2392</v>
      </c>
      <c r="C367" s="15" t="s">
        <v>2076</v>
      </c>
      <c r="D367" s="15" t="s">
        <v>89</v>
      </c>
      <c r="E367" s="15" t="s">
        <v>258</v>
      </c>
      <c r="F367" s="15"/>
      <c r="G367" s="15" t="s">
        <v>715</v>
      </c>
      <c r="H367" s="15" t="s">
        <v>2393</v>
      </c>
      <c r="I367" s="15" t="s">
        <v>211</v>
      </c>
      <c r="J367" s="3" t="s">
        <v>2394</v>
      </c>
      <c r="K367" s="15" t="n">
        <f aca="false">LEN(J367)</f>
        <v>62</v>
      </c>
      <c r="L367" s="3" t="s">
        <v>2395</v>
      </c>
      <c r="M367" s="15" t="n">
        <f aca="false">LEN(L367)</f>
        <v>141</v>
      </c>
      <c r="N367" s="3" t="s">
        <v>2396</v>
      </c>
      <c r="O367" s="15" t="s">
        <v>2397</v>
      </c>
      <c r="P367" s="16" t="n">
        <v>48</v>
      </c>
      <c r="Q367" s="15" t="s">
        <v>104</v>
      </c>
      <c r="R367" s="15"/>
      <c r="S367" s="15" t="n">
        <f aca="false">COUNTIF('Page-Keyword Map'!$A$2:$A$668,B367)</f>
        <v>1</v>
      </c>
      <c r="T367" s="16" t="n">
        <f aca="false">SUMIF('Page-Keyword Map'!$A$2:$A$668,B367,'Page-Keyword Map'!$H$2:$H$668)</f>
        <v>48</v>
      </c>
      <c r="U367" s="15" t="n">
        <f aca="false">COUNTIFS('Page-Keyword Map'!$A$2:$A$668,B367,'Page-Keyword Map'!$E$2:$E$668,"Nationwide")</f>
        <v>0</v>
      </c>
      <c r="V367" s="15" t="n">
        <f aca="false">COUNTIFS('Page-Keyword Map'!$A$2:$A$668,B367,'Page-Keyword Map'!$E$2:$E$668,"Provincial")</f>
        <v>0</v>
      </c>
      <c r="W367" s="15" t="n">
        <f aca="false">COUNTIFS('Page-Keyword Map'!$A$2:$A$668,B367,'Page-Keyword Map'!$E$2:$E$668,"City")</f>
        <v>1</v>
      </c>
      <c r="X367" s="15" t="str">
        <f aca="false">IF(O367="","",IF(ISNUMBER(SEARCH(O367,J367)),"Yes","No"))</f>
        <v>Yes</v>
      </c>
      <c r="Y367" s="15" t="n">
        <v>0.5</v>
      </c>
      <c r="Z367" s="15" t="s">
        <v>216</v>
      </c>
      <c r="AA367" s="15" t="s">
        <v>217</v>
      </c>
      <c r="AB367" s="17"/>
      <c r="AC367" s="17"/>
    </row>
    <row r="368" customFormat="false" ht="23.85" hidden="false" customHeight="false" outlineLevel="0" collapsed="false">
      <c r="A368" s="15" t="s">
        <v>2398</v>
      </c>
      <c r="B368" s="15" t="s">
        <v>2399</v>
      </c>
      <c r="C368" s="15" t="s">
        <v>2076</v>
      </c>
      <c r="D368" s="15" t="s">
        <v>89</v>
      </c>
      <c r="E368" s="15" t="s">
        <v>258</v>
      </c>
      <c r="F368" s="15"/>
      <c r="G368" s="15" t="s">
        <v>715</v>
      </c>
      <c r="H368" s="15" t="s">
        <v>2400</v>
      </c>
      <c r="I368" s="15" t="s">
        <v>211</v>
      </c>
      <c r="J368" s="3" t="s">
        <v>2401</v>
      </c>
      <c r="K368" s="15" t="n">
        <f aca="false">LEN(J368)</f>
        <v>60</v>
      </c>
      <c r="L368" s="3" t="s">
        <v>2402</v>
      </c>
      <c r="M368" s="15" t="n">
        <f aca="false">LEN(L368)</f>
        <v>139</v>
      </c>
      <c r="N368" s="3" t="s">
        <v>2403</v>
      </c>
      <c r="O368" s="15" t="s">
        <v>2404</v>
      </c>
      <c r="P368" s="16" t="n">
        <v>53</v>
      </c>
      <c r="Q368" s="15" t="s">
        <v>104</v>
      </c>
      <c r="R368" s="15"/>
      <c r="S368" s="15" t="n">
        <f aca="false">COUNTIF('Page-Keyword Map'!$A$2:$A$668,B368)</f>
        <v>1</v>
      </c>
      <c r="T368" s="16" t="n">
        <f aca="false">SUMIF('Page-Keyword Map'!$A$2:$A$668,B368,'Page-Keyword Map'!$H$2:$H$668)</f>
        <v>53</v>
      </c>
      <c r="U368" s="15" t="n">
        <f aca="false">COUNTIFS('Page-Keyword Map'!$A$2:$A$668,B368,'Page-Keyword Map'!$E$2:$E$668,"Nationwide")</f>
        <v>0</v>
      </c>
      <c r="V368" s="15" t="n">
        <f aca="false">COUNTIFS('Page-Keyword Map'!$A$2:$A$668,B368,'Page-Keyword Map'!$E$2:$E$668,"Provincial")</f>
        <v>0</v>
      </c>
      <c r="W368" s="15" t="n">
        <f aca="false">COUNTIFS('Page-Keyword Map'!$A$2:$A$668,B368,'Page-Keyword Map'!$E$2:$E$668,"City")</f>
        <v>1</v>
      </c>
      <c r="X368" s="15" t="str">
        <f aca="false">IF(O368="","",IF(ISNUMBER(SEARCH(O368,J368)),"Yes","No"))</f>
        <v>Yes</v>
      </c>
      <c r="Y368" s="15" t="n">
        <v>0.5</v>
      </c>
      <c r="Z368" s="15" t="s">
        <v>216</v>
      </c>
      <c r="AA368" s="15" t="s">
        <v>217</v>
      </c>
      <c r="AB368" s="17"/>
      <c r="AC368" s="17"/>
    </row>
    <row r="369" customFormat="false" ht="23.85" hidden="false" customHeight="false" outlineLevel="0" collapsed="false">
      <c r="A369" s="15" t="s">
        <v>2405</v>
      </c>
      <c r="B369" s="15" t="s">
        <v>2406</v>
      </c>
      <c r="C369" s="15" t="s">
        <v>2076</v>
      </c>
      <c r="D369" s="15" t="s">
        <v>89</v>
      </c>
      <c r="E369" s="15" t="s">
        <v>258</v>
      </c>
      <c r="F369" s="15"/>
      <c r="G369" s="15" t="s">
        <v>715</v>
      </c>
      <c r="H369" s="15" t="s">
        <v>2407</v>
      </c>
      <c r="I369" s="15" t="s">
        <v>126</v>
      </c>
      <c r="J369" s="3" t="s">
        <v>2408</v>
      </c>
      <c r="K369" s="15" t="n">
        <f aca="false">LEN(J369)</f>
        <v>61</v>
      </c>
      <c r="L369" s="3" t="s">
        <v>2409</v>
      </c>
      <c r="M369" s="15" t="n">
        <f aca="false">LEN(L369)</f>
        <v>140</v>
      </c>
      <c r="N369" s="3" t="s">
        <v>2410</v>
      </c>
      <c r="O369" s="15" t="s">
        <v>2411</v>
      </c>
      <c r="P369" s="16" t="n">
        <v>80</v>
      </c>
      <c r="Q369" s="15" t="s">
        <v>104</v>
      </c>
      <c r="R369" s="15"/>
      <c r="S369" s="15" t="n">
        <f aca="false">COUNTIF('Page-Keyword Map'!$A$2:$A$668,B369)</f>
        <v>1</v>
      </c>
      <c r="T369" s="16" t="n">
        <f aca="false">SUMIF('Page-Keyword Map'!$A$2:$A$668,B369,'Page-Keyword Map'!$H$2:$H$668)</f>
        <v>80</v>
      </c>
      <c r="U369" s="15" t="n">
        <f aca="false">COUNTIFS('Page-Keyword Map'!$A$2:$A$668,B369,'Page-Keyword Map'!$E$2:$E$668,"Nationwide")</f>
        <v>0</v>
      </c>
      <c r="V369" s="15" t="n">
        <f aca="false">COUNTIFS('Page-Keyword Map'!$A$2:$A$668,B369,'Page-Keyword Map'!$E$2:$E$668,"Provincial")</f>
        <v>0</v>
      </c>
      <c r="W369" s="15" t="n">
        <f aca="false">COUNTIFS('Page-Keyword Map'!$A$2:$A$668,B369,'Page-Keyword Map'!$E$2:$E$668,"City")</f>
        <v>1</v>
      </c>
      <c r="X369" s="15" t="str">
        <f aca="false">IF(O369="","",IF(ISNUMBER(SEARCH(O369,J369)),"Yes","No"))</f>
        <v>Yes</v>
      </c>
      <c r="Y369" s="15" t="n">
        <v>0.7</v>
      </c>
      <c r="Z369" s="15" t="s">
        <v>2089</v>
      </c>
      <c r="AA369" s="15" t="s">
        <v>131</v>
      </c>
      <c r="AB369" s="17"/>
      <c r="AC369" s="17"/>
    </row>
    <row r="370" customFormat="false" ht="23.85" hidden="false" customHeight="false" outlineLevel="0" collapsed="false">
      <c r="A370" s="15" t="s">
        <v>2412</v>
      </c>
      <c r="B370" s="15" t="s">
        <v>2413</v>
      </c>
      <c r="C370" s="15" t="s">
        <v>2076</v>
      </c>
      <c r="D370" s="15" t="s">
        <v>89</v>
      </c>
      <c r="E370" s="15" t="s">
        <v>258</v>
      </c>
      <c r="F370" s="15"/>
      <c r="G370" s="15" t="s">
        <v>722</v>
      </c>
      <c r="H370" s="15" t="s">
        <v>2414</v>
      </c>
      <c r="I370" s="15" t="s">
        <v>211</v>
      </c>
      <c r="J370" s="3" t="s">
        <v>2415</v>
      </c>
      <c r="K370" s="15" t="n">
        <f aca="false">LEN(J370)</f>
        <v>67</v>
      </c>
      <c r="L370" s="3" t="s">
        <v>2416</v>
      </c>
      <c r="M370" s="15" t="n">
        <f aca="false">LEN(L370)</f>
        <v>159</v>
      </c>
      <c r="N370" s="3" t="s">
        <v>2417</v>
      </c>
      <c r="O370" s="15"/>
      <c r="P370" s="16"/>
      <c r="Q370" s="15"/>
      <c r="R370" s="15" t="s">
        <v>2418</v>
      </c>
      <c r="S370" s="15" t="n">
        <f aca="false">COUNTIF('Page-Keyword Map'!$A$2:$A$668,B370)</f>
        <v>0</v>
      </c>
      <c r="T370" s="16" t="n">
        <f aca="false">SUMIF('Page-Keyword Map'!$A$2:$A$668,B370,'Page-Keyword Map'!$H$2:$H$668)</f>
        <v>0</v>
      </c>
      <c r="U370" s="15" t="n">
        <f aca="false">COUNTIFS('Page-Keyword Map'!$A$2:$A$668,B370,'Page-Keyword Map'!$E$2:$E$668,"Nationwide")</f>
        <v>0</v>
      </c>
      <c r="V370" s="15" t="n">
        <f aca="false">COUNTIFS('Page-Keyword Map'!$A$2:$A$668,B370,'Page-Keyword Map'!$E$2:$E$668,"Provincial")</f>
        <v>0</v>
      </c>
      <c r="W370" s="15" t="n">
        <f aca="false">COUNTIFS('Page-Keyword Map'!$A$2:$A$668,B370,'Page-Keyword Map'!$E$2:$E$668,"City")</f>
        <v>0</v>
      </c>
      <c r="X370" s="15" t="str">
        <f aca="false">IF(O370="","",IF(ISNUMBER(SEARCH(O370,J370)),"Yes","No"))</f>
        <v/>
      </c>
      <c r="Y370" s="15" t="n">
        <v>0.5</v>
      </c>
      <c r="Z370" s="15" t="s">
        <v>216</v>
      </c>
      <c r="AA370" s="15" t="s">
        <v>217</v>
      </c>
      <c r="AB370" s="17"/>
      <c r="AC370" s="17"/>
    </row>
    <row r="371" customFormat="false" ht="23.85" hidden="false" customHeight="false" outlineLevel="0" collapsed="false">
      <c r="A371" s="15" t="s">
        <v>2419</v>
      </c>
      <c r="B371" s="15" t="s">
        <v>2420</v>
      </c>
      <c r="C371" s="15" t="s">
        <v>2076</v>
      </c>
      <c r="D371" s="15" t="s">
        <v>89</v>
      </c>
      <c r="E371" s="15" t="s">
        <v>258</v>
      </c>
      <c r="F371" s="15"/>
      <c r="G371" s="15" t="s">
        <v>729</v>
      </c>
      <c r="H371" s="15" t="s">
        <v>2421</v>
      </c>
      <c r="I371" s="15" t="s">
        <v>211</v>
      </c>
      <c r="J371" s="3" t="s">
        <v>2422</v>
      </c>
      <c r="K371" s="15" t="n">
        <f aca="false">LEN(J371)</f>
        <v>62</v>
      </c>
      <c r="L371" s="3" t="s">
        <v>2423</v>
      </c>
      <c r="M371" s="15" t="n">
        <f aca="false">LEN(L371)</f>
        <v>153</v>
      </c>
      <c r="N371" s="3" t="s">
        <v>2424</v>
      </c>
      <c r="O371" s="15" t="s">
        <v>2425</v>
      </c>
      <c r="P371" s="16" t="n">
        <v>29</v>
      </c>
      <c r="Q371" s="15" t="s">
        <v>104</v>
      </c>
      <c r="R371" s="15"/>
      <c r="S371" s="15" t="n">
        <f aca="false">COUNTIF('Page-Keyword Map'!$A$2:$A$668,B371)</f>
        <v>1</v>
      </c>
      <c r="T371" s="16" t="n">
        <f aca="false">SUMIF('Page-Keyword Map'!$A$2:$A$668,B371,'Page-Keyword Map'!$H$2:$H$668)</f>
        <v>29</v>
      </c>
      <c r="U371" s="15" t="n">
        <f aca="false">COUNTIFS('Page-Keyword Map'!$A$2:$A$668,B371,'Page-Keyword Map'!$E$2:$E$668,"Nationwide")</f>
        <v>0</v>
      </c>
      <c r="V371" s="15" t="n">
        <f aca="false">COUNTIFS('Page-Keyword Map'!$A$2:$A$668,B371,'Page-Keyword Map'!$E$2:$E$668,"Provincial")</f>
        <v>0</v>
      </c>
      <c r="W371" s="15" t="n">
        <f aca="false">COUNTIFS('Page-Keyword Map'!$A$2:$A$668,B371,'Page-Keyword Map'!$E$2:$E$668,"City")</f>
        <v>1</v>
      </c>
      <c r="X371" s="15" t="str">
        <f aca="false">IF(O371="","",IF(ISNUMBER(SEARCH(O371,J371)),"Yes","No"))</f>
        <v>Yes</v>
      </c>
      <c r="Y371" s="15" t="n">
        <v>0.5</v>
      </c>
      <c r="Z371" s="15" t="s">
        <v>216</v>
      </c>
      <c r="AA371" s="15" t="s">
        <v>217</v>
      </c>
      <c r="AB371" s="17"/>
      <c r="AC371" s="17"/>
    </row>
    <row r="372" customFormat="false" ht="23.85" hidden="false" customHeight="false" outlineLevel="0" collapsed="false">
      <c r="A372" s="15" t="s">
        <v>2426</v>
      </c>
      <c r="B372" s="15" t="s">
        <v>2427</v>
      </c>
      <c r="C372" s="15" t="s">
        <v>2076</v>
      </c>
      <c r="D372" s="15" t="s">
        <v>89</v>
      </c>
      <c r="E372" s="15" t="s">
        <v>258</v>
      </c>
      <c r="F372" s="15"/>
      <c r="G372" s="15" t="s">
        <v>729</v>
      </c>
      <c r="H372" s="15" t="s">
        <v>2428</v>
      </c>
      <c r="I372" s="15" t="s">
        <v>126</v>
      </c>
      <c r="J372" s="3" t="s">
        <v>2429</v>
      </c>
      <c r="K372" s="15" t="n">
        <f aca="false">LEN(J372)</f>
        <v>59</v>
      </c>
      <c r="L372" s="3" t="s">
        <v>2430</v>
      </c>
      <c r="M372" s="15" t="n">
        <f aca="false">LEN(L372)</f>
        <v>150</v>
      </c>
      <c r="N372" s="3" t="s">
        <v>2431</v>
      </c>
      <c r="O372" s="15" t="s">
        <v>2432</v>
      </c>
      <c r="P372" s="16" t="n">
        <v>40</v>
      </c>
      <c r="Q372" s="15" t="s">
        <v>104</v>
      </c>
      <c r="R372" s="15"/>
      <c r="S372" s="15" t="n">
        <f aca="false">COUNTIF('Page-Keyword Map'!$A$2:$A$668,B372)</f>
        <v>1</v>
      </c>
      <c r="T372" s="16" t="n">
        <f aca="false">SUMIF('Page-Keyword Map'!$A$2:$A$668,B372,'Page-Keyword Map'!$H$2:$H$668)</f>
        <v>40</v>
      </c>
      <c r="U372" s="15" t="n">
        <f aca="false">COUNTIFS('Page-Keyword Map'!$A$2:$A$668,B372,'Page-Keyword Map'!$E$2:$E$668,"Nationwide")</f>
        <v>0</v>
      </c>
      <c r="V372" s="15" t="n">
        <f aca="false">COUNTIFS('Page-Keyword Map'!$A$2:$A$668,B372,'Page-Keyword Map'!$E$2:$E$668,"Provincial")</f>
        <v>0</v>
      </c>
      <c r="W372" s="15" t="n">
        <f aca="false">COUNTIFS('Page-Keyword Map'!$A$2:$A$668,B372,'Page-Keyword Map'!$E$2:$E$668,"City")</f>
        <v>1</v>
      </c>
      <c r="X372" s="15" t="str">
        <f aca="false">IF(O372="","",IF(ISNUMBER(SEARCH(O372,J372)),"Yes","No"))</f>
        <v>Yes</v>
      </c>
      <c r="Y372" s="15" t="n">
        <v>0.7</v>
      </c>
      <c r="Z372" s="15" t="s">
        <v>2089</v>
      </c>
      <c r="AA372" s="15" t="s">
        <v>131</v>
      </c>
      <c r="AB372" s="17"/>
      <c r="AC372" s="17"/>
    </row>
    <row r="373" customFormat="false" ht="23.85" hidden="false" customHeight="false" outlineLevel="0" collapsed="false">
      <c r="A373" s="15" t="s">
        <v>2433</v>
      </c>
      <c r="B373" s="15" t="s">
        <v>2434</v>
      </c>
      <c r="C373" s="15" t="s">
        <v>2076</v>
      </c>
      <c r="D373" s="15" t="s">
        <v>89</v>
      </c>
      <c r="E373" s="15" t="s">
        <v>258</v>
      </c>
      <c r="F373" s="15"/>
      <c r="G373" s="15" t="s">
        <v>729</v>
      </c>
      <c r="H373" s="15" t="s">
        <v>2435</v>
      </c>
      <c r="I373" s="15" t="s">
        <v>211</v>
      </c>
      <c r="J373" s="3" t="s">
        <v>2436</v>
      </c>
      <c r="K373" s="15" t="n">
        <f aca="false">LEN(J373)</f>
        <v>63</v>
      </c>
      <c r="L373" s="3" t="s">
        <v>2437</v>
      </c>
      <c r="M373" s="15" t="n">
        <f aca="false">LEN(L373)</f>
        <v>154</v>
      </c>
      <c r="N373" s="3" t="s">
        <v>2438</v>
      </c>
      <c r="O373" s="15" t="s">
        <v>2439</v>
      </c>
      <c r="P373" s="16" t="n">
        <v>26</v>
      </c>
      <c r="Q373" s="15" t="s">
        <v>104</v>
      </c>
      <c r="R373" s="15"/>
      <c r="S373" s="15" t="n">
        <f aca="false">COUNTIF('Page-Keyword Map'!$A$2:$A$668,B373)</f>
        <v>1</v>
      </c>
      <c r="T373" s="16" t="n">
        <f aca="false">SUMIF('Page-Keyword Map'!$A$2:$A$668,B373,'Page-Keyword Map'!$H$2:$H$668)</f>
        <v>26</v>
      </c>
      <c r="U373" s="15" t="n">
        <f aca="false">COUNTIFS('Page-Keyword Map'!$A$2:$A$668,B373,'Page-Keyword Map'!$E$2:$E$668,"Nationwide")</f>
        <v>0</v>
      </c>
      <c r="V373" s="15" t="n">
        <f aca="false">COUNTIFS('Page-Keyword Map'!$A$2:$A$668,B373,'Page-Keyword Map'!$E$2:$E$668,"Provincial")</f>
        <v>0</v>
      </c>
      <c r="W373" s="15" t="n">
        <f aca="false">COUNTIFS('Page-Keyword Map'!$A$2:$A$668,B373,'Page-Keyword Map'!$E$2:$E$668,"City")</f>
        <v>1</v>
      </c>
      <c r="X373" s="15" t="str">
        <f aca="false">IF(O373="","",IF(ISNUMBER(SEARCH(O373,J373)),"Yes","No"))</f>
        <v>Yes</v>
      </c>
      <c r="Y373" s="15" t="n">
        <v>0.5</v>
      </c>
      <c r="Z373" s="15" t="s">
        <v>216</v>
      </c>
      <c r="AA373" s="15" t="s">
        <v>217</v>
      </c>
      <c r="AB373" s="17"/>
      <c r="AC373" s="17"/>
    </row>
    <row r="374" customFormat="false" ht="23.85" hidden="false" customHeight="false" outlineLevel="0" collapsed="false">
      <c r="A374" s="15" t="s">
        <v>2440</v>
      </c>
      <c r="B374" s="15" t="s">
        <v>2441</v>
      </c>
      <c r="C374" s="15" t="s">
        <v>2076</v>
      </c>
      <c r="D374" s="15" t="s">
        <v>89</v>
      </c>
      <c r="E374" s="15" t="s">
        <v>258</v>
      </c>
      <c r="F374" s="15"/>
      <c r="G374" s="15" t="s">
        <v>729</v>
      </c>
      <c r="H374" s="15" t="s">
        <v>2442</v>
      </c>
      <c r="I374" s="15" t="s">
        <v>126</v>
      </c>
      <c r="J374" s="3" t="s">
        <v>2443</v>
      </c>
      <c r="K374" s="15" t="n">
        <f aca="false">LEN(J374)</f>
        <v>62</v>
      </c>
      <c r="L374" s="3" t="s">
        <v>2444</v>
      </c>
      <c r="M374" s="15" t="n">
        <f aca="false">LEN(L374)</f>
        <v>153</v>
      </c>
      <c r="N374" s="3" t="s">
        <v>2445</v>
      </c>
      <c r="O374" s="15" t="s">
        <v>2446</v>
      </c>
      <c r="P374" s="16" t="n">
        <v>120</v>
      </c>
      <c r="Q374" s="15" t="s">
        <v>104</v>
      </c>
      <c r="R374" s="15"/>
      <c r="S374" s="15" t="n">
        <f aca="false">COUNTIF('Page-Keyword Map'!$A$2:$A$668,B374)</f>
        <v>1</v>
      </c>
      <c r="T374" s="16" t="n">
        <f aca="false">SUMIF('Page-Keyword Map'!$A$2:$A$668,B374,'Page-Keyword Map'!$H$2:$H$668)</f>
        <v>120</v>
      </c>
      <c r="U374" s="15" t="n">
        <f aca="false">COUNTIFS('Page-Keyword Map'!$A$2:$A$668,B374,'Page-Keyword Map'!$E$2:$E$668,"Nationwide")</f>
        <v>0</v>
      </c>
      <c r="V374" s="15" t="n">
        <f aca="false">COUNTIFS('Page-Keyword Map'!$A$2:$A$668,B374,'Page-Keyword Map'!$E$2:$E$668,"Provincial")</f>
        <v>0</v>
      </c>
      <c r="W374" s="15" t="n">
        <f aca="false">COUNTIFS('Page-Keyword Map'!$A$2:$A$668,B374,'Page-Keyword Map'!$E$2:$E$668,"City")</f>
        <v>1</v>
      </c>
      <c r="X374" s="15" t="str">
        <f aca="false">IF(O374="","",IF(ISNUMBER(SEARCH(O374,J374)),"Yes","No"))</f>
        <v>Yes</v>
      </c>
      <c r="Y374" s="15" t="n">
        <v>0.7</v>
      </c>
      <c r="Z374" s="15" t="s">
        <v>2089</v>
      </c>
      <c r="AA374" s="15" t="s">
        <v>131</v>
      </c>
      <c r="AB374" s="17"/>
      <c r="AC374" s="17"/>
    </row>
    <row r="375" customFormat="false" ht="23.85" hidden="false" customHeight="false" outlineLevel="0" collapsed="false">
      <c r="A375" s="15" t="s">
        <v>2447</v>
      </c>
      <c r="B375" s="15" t="s">
        <v>2448</v>
      </c>
      <c r="C375" s="15" t="s">
        <v>2076</v>
      </c>
      <c r="D375" s="15" t="s">
        <v>89</v>
      </c>
      <c r="E375" s="15" t="s">
        <v>258</v>
      </c>
      <c r="F375" s="15"/>
      <c r="G375" s="15" t="s">
        <v>729</v>
      </c>
      <c r="H375" s="15" t="s">
        <v>2449</v>
      </c>
      <c r="I375" s="15" t="s">
        <v>126</v>
      </c>
      <c r="J375" s="3" t="s">
        <v>2450</v>
      </c>
      <c r="K375" s="15" t="n">
        <f aca="false">LEN(J375)</f>
        <v>65</v>
      </c>
      <c r="L375" s="3" t="s">
        <v>2451</v>
      </c>
      <c r="M375" s="15" t="n">
        <f aca="false">LEN(L375)</f>
        <v>156</v>
      </c>
      <c r="N375" s="3" t="s">
        <v>2452</v>
      </c>
      <c r="O375" s="15" t="s">
        <v>2453</v>
      </c>
      <c r="P375" s="16" t="n">
        <v>48</v>
      </c>
      <c r="Q375" s="15" t="s">
        <v>104</v>
      </c>
      <c r="R375" s="15"/>
      <c r="S375" s="15" t="n">
        <f aca="false">COUNTIF('Page-Keyword Map'!$A$2:$A$668,B375)</f>
        <v>1</v>
      </c>
      <c r="T375" s="16" t="n">
        <f aca="false">SUMIF('Page-Keyword Map'!$A$2:$A$668,B375,'Page-Keyword Map'!$H$2:$H$668)</f>
        <v>48</v>
      </c>
      <c r="U375" s="15" t="n">
        <f aca="false">COUNTIFS('Page-Keyword Map'!$A$2:$A$668,B375,'Page-Keyword Map'!$E$2:$E$668,"Nationwide")</f>
        <v>0</v>
      </c>
      <c r="V375" s="15" t="n">
        <f aca="false">COUNTIFS('Page-Keyword Map'!$A$2:$A$668,B375,'Page-Keyword Map'!$E$2:$E$668,"Provincial")</f>
        <v>0</v>
      </c>
      <c r="W375" s="15" t="n">
        <f aca="false">COUNTIFS('Page-Keyword Map'!$A$2:$A$668,B375,'Page-Keyword Map'!$E$2:$E$668,"City")</f>
        <v>1</v>
      </c>
      <c r="X375" s="15" t="str">
        <f aca="false">IF(O375="","",IF(ISNUMBER(SEARCH(O375,J375)),"Yes","No"))</f>
        <v>Yes</v>
      </c>
      <c r="Y375" s="15" t="n">
        <v>0.7</v>
      </c>
      <c r="Z375" s="15" t="s">
        <v>2089</v>
      </c>
      <c r="AA375" s="15" t="s">
        <v>131</v>
      </c>
      <c r="AB375" s="17"/>
      <c r="AC375" s="17"/>
    </row>
    <row r="376" customFormat="false" ht="23.85" hidden="false" customHeight="false" outlineLevel="0" collapsed="false">
      <c r="A376" s="15" t="s">
        <v>2454</v>
      </c>
      <c r="B376" s="15" t="s">
        <v>2455</v>
      </c>
      <c r="C376" s="15" t="s">
        <v>2076</v>
      </c>
      <c r="D376" s="15" t="s">
        <v>89</v>
      </c>
      <c r="E376" s="15" t="s">
        <v>258</v>
      </c>
      <c r="F376" s="15"/>
      <c r="G376" s="15" t="s">
        <v>729</v>
      </c>
      <c r="H376" s="15" t="s">
        <v>2456</v>
      </c>
      <c r="I376" s="15" t="s">
        <v>211</v>
      </c>
      <c r="J376" s="3" t="s">
        <v>2457</v>
      </c>
      <c r="K376" s="15" t="n">
        <f aca="false">LEN(J376)</f>
        <v>64</v>
      </c>
      <c r="L376" s="3" t="s">
        <v>2458</v>
      </c>
      <c r="M376" s="15" t="n">
        <f aca="false">LEN(L376)</f>
        <v>155</v>
      </c>
      <c r="N376" s="3" t="s">
        <v>2459</v>
      </c>
      <c r="O376" s="15"/>
      <c r="P376" s="16"/>
      <c r="Q376" s="15"/>
      <c r="R376" s="15" t="s">
        <v>2460</v>
      </c>
      <c r="S376" s="15" t="n">
        <f aca="false">COUNTIF('Page-Keyword Map'!$A$2:$A$668,B376)</f>
        <v>0</v>
      </c>
      <c r="T376" s="16" t="n">
        <f aca="false">SUMIF('Page-Keyword Map'!$A$2:$A$668,B376,'Page-Keyword Map'!$H$2:$H$668)</f>
        <v>0</v>
      </c>
      <c r="U376" s="15" t="n">
        <f aca="false">COUNTIFS('Page-Keyword Map'!$A$2:$A$668,B376,'Page-Keyword Map'!$E$2:$E$668,"Nationwide")</f>
        <v>0</v>
      </c>
      <c r="V376" s="15" t="n">
        <f aca="false">COUNTIFS('Page-Keyword Map'!$A$2:$A$668,B376,'Page-Keyword Map'!$E$2:$E$668,"Provincial")</f>
        <v>0</v>
      </c>
      <c r="W376" s="15" t="n">
        <f aca="false">COUNTIFS('Page-Keyword Map'!$A$2:$A$668,B376,'Page-Keyword Map'!$E$2:$E$668,"City")</f>
        <v>0</v>
      </c>
      <c r="X376" s="15" t="str">
        <f aca="false">IF(O376="","",IF(ISNUMBER(SEARCH(O376,J376)),"Yes","No"))</f>
        <v/>
      </c>
      <c r="Y376" s="15" t="n">
        <v>0.5</v>
      </c>
      <c r="Z376" s="15" t="s">
        <v>216</v>
      </c>
      <c r="AA376" s="15" t="s">
        <v>217</v>
      </c>
      <c r="AB376" s="17"/>
      <c r="AC376" s="17"/>
    </row>
    <row r="377" customFormat="false" ht="23.85" hidden="false" customHeight="false" outlineLevel="0" collapsed="false">
      <c r="A377" s="15" t="s">
        <v>2461</v>
      </c>
      <c r="B377" s="15" t="s">
        <v>2462</v>
      </c>
      <c r="C377" s="15" t="s">
        <v>2076</v>
      </c>
      <c r="D377" s="15" t="s">
        <v>89</v>
      </c>
      <c r="E377" s="15" t="s">
        <v>258</v>
      </c>
      <c r="F377" s="15"/>
      <c r="G377" s="15" t="s">
        <v>736</v>
      </c>
      <c r="H377" s="15" t="s">
        <v>2463</v>
      </c>
      <c r="I377" s="15" t="s">
        <v>126</v>
      </c>
      <c r="J377" s="3" t="s">
        <v>2464</v>
      </c>
      <c r="K377" s="15" t="n">
        <f aca="false">LEN(J377)</f>
        <v>60</v>
      </c>
      <c r="L377" s="3" t="s">
        <v>2465</v>
      </c>
      <c r="M377" s="15" t="n">
        <f aca="false">LEN(L377)</f>
        <v>144</v>
      </c>
      <c r="N377" s="3" t="s">
        <v>2466</v>
      </c>
      <c r="O377" s="15" t="s">
        <v>2467</v>
      </c>
      <c r="P377" s="16" t="n">
        <v>79</v>
      </c>
      <c r="Q377" s="15" t="s">
        <v>104</v>
      </c>
      <c r="R377" s="15"/>
      <c r="S377" s="15" t="n">
        <f aca="false">COUNTIF('Page-Keyword Map'!$A$2:$A$668,B377)</f>
        <v>1</v>
      </c>
      <c r="T377" s="16" t="n">
        <f aca="false">SUMIF('Page-Keyword Map'!$A$2:$A$668,B377,'Page-Keyword Map'!$H$2:$H$668)</f>
        <v>79</v>
      </c>
      <c r="U377" s="15" t="n">
        <f aca="false">COUNTIFS('Page-Keyword Map'!$A$2:$A$668,B377,'Page-Keyword Map'!$E$2:$E$668,"Nationwide")</f>
        <v>0</v>
      </c>
      <c r="V377" s="15" t="n">
        <f aca="false">COUNTIFS('Page-Keyword Map'!$A$2:$A$668,B377,'Page-Keyword Map'!$E$2:$E$668,"Provincial")</f>
        <v>0</v>
      </c>
      <c r="W377" s="15" t="n">
        <f aca="false">COUNTIFS('Page-Keyword Map'!$A$2:$A$668,B377,'Page-Keyword Map'!$E$2:$E$668,"City")</f>
        <v>1</v>
      </c>
      <c r="X377" s="15" t="str">
        <f aca="false">IF(O377="","",IF(ISNUMBER(SEARCH(O377,J377)),"Yes","No"))</f>
        <v>Yes</v>
      </c>
      <c r="Y377" s="15" t="n">
        <v>0.7</v>
      </c>
      <c r="Z377" s="15" t="s">
        <v>2089</v>
      </c>
      <c r="AA377" s="15" t="s">
        <v>131</v>
      </c>
      <c r="AB377" s="17"/>
      <c r="AC377" s="17"/>
    </row>
    <row r="378" customFormat="false" ht="23.85" hidden="false" customHeight="false" outlineLevel="0" collapsed="false">
      <c r="A378" s="15" t="s">
        <v>2468</v>
      </c>
      <c r="B378" s="15" t="s">
        <v>2469</v>
      </c>
      <c r="C378" s="15" t="s">
        <v>2076</v>
      </c>
      <c r="D378" s="15" t="s">
        <v>89</v>
      </c>
      <c r="E378" s="15" t="s">
        <v>258</v>
      </c>
      <c r="F378" s="15"/>
      <c r="G378" s="15" t="s">
        <v>736</v>
      </c>
      <c r="H378" s="15" t="s">
        <v>2470</v>
      </c>
      <c r="I378" s="15" t="s">
        <v>126</v>
      </c>
      <c r="J378" s="3" t="s">
        <v>2471</v>
      </c>
      <c r="K378" s="15" t="n">
        <f aca="false">LEN(J378)</f>
        <v>63</v>
      </c>
      <c r="L378" s="3" t="s">
        <v>2472</v>
      </c>
      <c r="M378" s="15" t="n">
        <f aca="false">LEN(L378)</f>
        <v>147</v>
      </c>
      <c r="N378" s="3" t="s">
        <v>2473</v>
      </c>
      <c r="O378" s="15" t="s">
        <v>2474</v>
      </c>
      <c r="P378" s="16" t="n">
        <v>90</v>
      </c>
      <c r="Q378" s="15" t="s">
        <v>104</v>
      </c>
      <c r="R378" s="15"/>
      <c r="S378" s="15" t="n">
        <f aca="false">COUNTIF('Page-Keyword Map'!$A$2:$A$668,B378)</f>
        <v>1</v>
      </c>
      <c r="T378" s="16" t="n">
        <f aca="false">SUMIF('Page-Keyword Map'!$A$2:$A$668,B378,'Page-Keyword Map'!$H$2:$H$668)</f>
        <v>90</v>
      </c>
      <c r="U378" s="15" t="n">
        <f aca="false">COUNTIFS('Page-Keyword Map'!$A$2:$A$668,B378,'Page-Keyword Map'!$E$2:$E$668,"Nationwide")</f>
        <v>0</v>
      </c>
      <c r="V378" s="15" t="n">
        <f aca="false">COUNTIFS('Page-Keyword Map'!$A$2:$A$668,B378,'Page-Keyword Map'!$E$2:$E$668,"Provincial")</f>
        <v>0</v>
      </c>
      <c r="W378" s="15" t="n">
        <f aca="false">COUNTIFS('Page-Keyword Map'!$A$2:$A$668,B378,'Page-Keyword Map'!$E$2:$E$668,"City")</f>
        <v>1</v>
      </c>
      <c r="X378" s="15" t="str">
        <f aca="false">IF(O378="","",IF(ISNUMBER(SEARCH(O378,J378)),"Yes","No"))</f>
        <v>Yes</v>
      </c>
      <c r="Y378" s="15" t="n">
        <v>0.7</v>
      </c>
      <c r="Z378" s="15" t="s">
        <v>2089</v>
      </c>
      <c r="AA378" s="15" t="s">
        <v>131</v>
      </c>
      <c r="AB378" s="17"/>
      <c r="AC378" s="17"/>
    </row>
    <row r="379" customFormat="false" ht="23.85" hidden="false" customHeight="false" outlineLevel="0" collapsed="false">
      <c r="A379" s="15" t="s">
        <v>2475</v>
      </c>
      <c r="B379" s="15" t="s">
        <v>2476</v>
      </c>
      <c r="C379" s="15" t="s">
        <v>2076</v>
      </c>
      <c r="D379" s="15" t="s">
        <v>89</v>
      </c>
      <c r="E379" s="15" t="s">
        <v>258</v>
      </c>
      <c r="F379" s="15"/>
      <c r="G379" s="15" t="s">
        <v>743</v>
      </c>
      <c r="H379" s="15" t="s">
        <v>2477</v>
      </c>
      <c r="I379" s="15" t="s">
        <v>211</v>
      </c>
      <c r="J379" s="3" t="s">
        <v>2478</v>
      </c>
      <c r="K379" s="15" t="n">
        <f aca="false">LEN(J379)</f>
        <v>64</v>
      </c>
      <c r="L379" s="3" t="s">
        <v>2479</v>
      </c>
      <c r="M379" s="15" t="n">
        <f aca="false">LEN(L379)</f>
        <v>154</v>
      </c>
      <c r="N379" s="3" t="s">
        <v>2480</v>
      </c>
      <c r="O379" s="15"/>
      <c r="P379" s="16"/>
      <c r="Q379" s="15"/>
      <c r="R379" s="15" t="s">
        <v>2481</v>
      </c>
      <c r="S379" s="15" t="n">
        <f aca="false">COUNTIF('Page-Keyword Map'!$A$2:$A$668,B379)</f>
        <v>0</v>
      </c>
      <c r="T379" s="16" t="n">
        <f aca="false">SUMIF('Page-Keyword Map'!$A$2:$A$668,B379,'Page-Keyword Map'!$H$2:$H$668)</f>
        <v>0</v>
      </c>
      <c r="U379" s="15" t="n">
        <f aca="false">COUNTIFS('Page-Keyword Map'!$A$2:$A$668,B379,'Page-Keyword Map'!$E$2:$E$668,"Nationwide")</f>
        <v>0</v>
      </c>
      <c r="V379" s="15" t="n">
        <f aca="false">COUNTIFS('Page-Keyword Map'!$A$2:$A$668,B379,'Page-Keyword Map'!$E$2:$E$668,"Provincial")</f>
        <v>0</v>
      </c>
      <c r="W379" s="15" t="n">
        <f aca="false">COUNTIFS('Page-Keyword Map'!$A$2:$A$668,B379,'Page-Keyword Map'!$E$2:$E$668,"City")</f>
        <v>0</v>
      </c>
      <c r="X379" s="15" t="str">
        <f aca="false">IF(O379="","",IF(ISNUMBER(SEARCH(O379,J379)),"Yes","No"))</f>
        <v/>
      </c>
      <c r="Y379" s="15" t="n">
        <v>0.5</v>
      </c>
      <c r="Z379" s="15" t="s">
        <v>216</v>
      </c>
      <c r="AA379" s="15" t="s">
        <v>217</v>
      </c>
      <c r="AB379" s="17"/>
      <c r="AC379" s="17"/>
    </row>
    <row r="380" customFormat="false" ht="23.85" hidden="false" customHeight="false" outlineLevel="0" collapsed="false">
      <c r="A380" s="15" t="s">
        <v>2482</v>
      </c>
      <c r="B380" s="15" t="s">
        <v>2483</v>
      </c>
      <c r="C380" s="15" t="s">
        <v>2076</v>
      </c>
      <c r="D380" s="15" t="s">
        <v>82</v>
      </c>
      <c r="E380" s="15" t="s">
        <v>265</v>
      </c>
      <c r="F380" s="15"/>
      <c r="G380" s="15" t="s">
        <v>657</v>
      </c>
      <c r="H380" s="15" t="s">
        <v>2077</v>
      </c>
      <c r="I380" s="15" t="s">
        <v>211</v>
      </c>
      <c r="J380" s="3" t="s">
        <v>2484</v>
      </c>
      <c r="K380" s="15" t="n">
        <f aca="false">LEN(J380)</f>
        <v>56</v>
      </c>
      <c r="L380" s="3" t="s">
        <v>2485</v>
      </c>
      <c r="M380" s="15" t="n">
        <f aca="false">LEN(L380)</f>
        <v>131</v>
      </c>
      <c r="N380" s="3" t="s">
        <v>2486</v>
      </c>
      <c r="O380" s="15" t="s">
        <v>2487</v>
      </c>
      <c r="P380" s="16" t="n">
        <v>260</v>
      </c>
      <c r="Q380" s="15" t="s">
        <v>104</v>
      </c>
      <c r="R380" s="15"/>
      <c r="S380" s="15" t="n">
        <f aca="false">COUNTIF('Page-Keyword Map'!$A$2:$A$668,B380)</f>
        <v>1</v>
      </c>
      <c r="T380" s="16" t="n">
        <f aca="false">SUMIF('Page-Keyword Map'!$A$2:$A$668,B380,'Page-Keyword Map'!$H$2:$H$668)</f>
        <v>260</v>
      </c>
      <c r="U380" s="15" t="n">
        <f aca="false">COUNTIFS('Page-Keyword Map'!$A$2:$A$668,B380,'Page-Keyword Map'!$E$2:$E$668,"Nationwide")</f>
        <v>0</v>
      </c>
      <c r="V380" s="15" t="n">
        <f aca="false">COUNTIFS('Page-Keyword Map'!$A$2:$A$668,B380,'Page-Keyword Map'!$E$2:$E$668,"Provincial")</f>
        <v>0</v>
      </c>
      <c r="W380" s="15" t="n">
        <f aca="false">COUNTIFS('Page-Keyword Map'!$A$2:$A$668,B380,'Page-Keyword Map'!$E$2:$E$668,"City")</f>
        <v>1</v>
      </c>
      <c r="X380" s="15" t="str">
        <f aca="false">IF(O380="","",IF(ISNUMBER(SEARCH(O380,J380)),"Yes","No"))</f>
        <v>Yes</v>
      </c>
      <c r="Y380" s="15" t="n">
        <v>0.5</v>
      </c>
      <c r="Z380" s="15" t="s">
        <v>216</v>
      </c>
      <c r="AA380" s="15" t="s">
        <v>217</v>
      </c>
      <c r="AB380" s="17"/>
      <c r="AC380" s="17"/>
    </row>
    <row r="381" customFormat="false" ht="23.85" hidden="false" customHeight="false" outlineLevel="0" collapsed="false">
      <c r="A381" s="15" t="s">
        <v>2488</v>
      </c>
      <c r="B381" s="15" t="s">
        <v>2489</v>
      </c>
      <c r="C381" s="15" t="s">
        <v>2076</v>
      </c>
      <c r="D381" s="15" t="s">
        <v>82</v>
      </c>
      <c r="E381" s="15" t="s">
        <v>265</v>
      </c>
      <c r="F381" s="15"/>
      <c r="G381" s="15" t="s">
        <v>657</v>
      </c>
      <c r="H381" s="15" t="s">
        <v>2084</v>
      </c>
      <c r="I381" s="15" t="s">
        <v>126</v>
      </c>
      <c r="J381" s="3" t="s">
        <v>2490</v>
      </c>
      <c r="K381" s="15" t="n">
        <f aca="false">LEN(J381)</f>
        <v>56</v>
      </c>
      <c r="L381" s="3" t="s">
        <v>2491</v>
      </c>
      <c r="M381" s="15" t="n">
        <f aca="false">LEN(L381)</f>
        <v>131</v>
      </c>
      <c r="N381" s="3" t="s">
        <v>2492</v>
      </c>
      <c r="O381" s="15" t="s">
        <v>2493</v>
      </c>
      <c r="P381" s="16" t="n">
        <v>2800</v>
      </c>
      <c r="Q381" s="15" t="s">
        <v>104</v>
      </c>
      <c r="R381" s="15"/>
      <c r="S381" s="15" t="n">
        <f aca="false">COUNTIF('Page-Keyword Map'!$A$2:$A$668,B381)</f>
        <v>3</v>
      </c>
      <c r="T381" s="16" t="n">
        <f aca="false">SUMIF('Page-Keyword Map'!$A$2:$A$668,B381,'Page-Keyword Map'!$H$2:$H$668)</f>
        <v>4320</v>
      </c>
      <c r="U381" s="15" t="n">
        <f aca="false">COUNTIFS('Page-Keyword Map'!$A$2:$A$668,B381,'Page-Keyword Map'!$E$2:$E$668,"Nationwide")</f>
        <v>0</v>
      </c>
      <c r="V381" s="15" t="n">
        <f aca="false">COUNTIFS('Page-Keyword Map'!$A$2:$A$668,B381,'Page-Keyword Map'!$E$2:$E$668,"Provincial")</f>
        <v>0</v>
      </c>
      <c r="W381" s="15" t="n">
        <f aca="false">COUNTIFS('Page-Keyword Map'!$A$2:$A$668,B381,'Page-Keyword Map'!$E$2:$E$668,"City")</f>
        <v>3</v>
      </c>
      <c r="X381" s="15" t="str">
        <f aca="false">IF(O381="","",IF(ISNUMBER(SEARCH(O381,J381)),"Yes","No"))</f>
        <v>Yes</v>
      </c>
      <c r="Y381" s="15" t="n">
        <v>0.7</v>
      </c>
      <c r="Z381" s="15" t="s">
        <v>2089</v>
      </c>
      <c r="AA381" s="15" t="s">
        <v>131</v>
      </c>
      <c r="AB381" s="17"/>
      <c r="AC381" s="17"/>
    </row>
    <row r="382" customFormat="false" ht="23.85" hidden="false" customHeight="false" outlineLevel="0" collapsed="false">
      <c r="A382" s="15" t="s">
        <v>2494</v>
      </c>
      <c r="B382" s="15" t="s">
        <v>2495</v>
      </c>
      <c r="C382" s="15" t="s">
        <v>2076</v>
      </c>
      <c r="D382" s="15" t="s">
        <v>82</v>
      </c>
      <c r="E382" s="15" t="s">
        <v>265</v>
      </c>
      <c r="F382" s="15"/>
      <c r="G382" s="15" t="s">
        <v>657</v>
      </c>
      <c r="H382" s="15" t="s">
        <v>2092</v>
      </c>
      <c r="I382" s="15" t="s">
        <v>126</v>
      </c>
      <c r="J382" s="3" t="s">
        <v>2496</v>
      </c>
      <c r="K382" s="15" t="n">
        <f aca="false">LEN(J382)</f>
        <v>57</v>
      </c>
      <c r="L382" s="3" t="s">
        <v>2497</v>
      </c>
      <c r="M382" s="15" t="n">
        <f aca="false">LEN(L382)</f>
        <v>132</v>
      </c>
      <c r="N382" s="3" t="s">
        <v>2498</v>
      </c>
      <c r="O382" s="15" t="s">
        <v>2499</v>
      </c>
      <c r="P382" s="16" t="n">
        <v>2100</v>
      </c>
      <c r="Q382" s="15" t="s">
        <v>104</v>
      </c>
      <c r="R382" s="15"/>
      <c r="S382" s="15" t="n">
        <f aca="false">COUNTIF('Page-Keyword Map'!$A$2:$A$668,B382)</f>
        <v>3</v>
      </c>
      <c r="T382" s="16" t="n">
        <f aca="false">SUMIF('Page-Keyword Map'!$A$2:$A$668,B382,'Page-Keyword Map'!$H$2:$H$668)</f>
        <v>3250</v>
      </c>
      <c r="U382" s="15" t="n">
        <f aca="false">COUNTIFS('Page-Keyword Map'!$A$2:$A$668,B382,'Page-Keyword Map'!$E$2:$E$668,"Nationwide")</f>
        <v>0</v>
      </c>
      <c r="V382" s="15" t="n">
        <f aca="false">COUNTIFS('Page-Keyword Map'!$A$2:$A$668,B382,'Page-Keyword Map'!$E$2:$E$668,"Provincial")</f>
        <v>0</v>
      </c>
      <c r="W382" s="15" t="n">
        <f aca="false">COUNTIFS('Page-Keyword Map'!$A$2:$A$668,B382,'Page-Keyword Map'!$E$2:$E$668,"City")</f>
        <v>3</v>
      </c>
      <c r="X382" s="15" t="str">
        <f aca="false">IF(O382="","",IF(ISNUMBER(SEARCH(O382,J382)),"Yes","No"))</f>
        <v>Yes</v>
      </c>
      <c r="Y382" s="15" t="n">
        <v>0.7</v>
      </c>
      <c r="Z382" s="15" t="s">
        <v>2089</v>
      </c>
      <c r="AA382" s="15" t="s">
        <v>131</v>
      </c>
      <c r="AB382" s="17"/>
      <c r="AC382" s="17"/>
    </row>
    <row r="383" customFormat="false" ht="23.85" hidden="false" customHeight="false" outlineLevel="0" collapsed="false">
      <c r="A383" s="15" t="s">
        <v>2500</v>
      </c>
      <c r="B383" s="15" t="s">
        <v>2501</v>
      </c>
      <c r="C383" s="15" t="s">
        <v>2076</v>
      </c>
      <c r="D383" s="15" t="s">
        <v>82</v>
      </c>
      <c r="E383" s="15" t="s">
        <v>265</v>
      </c>
      <c r="F383" s="15"/>
      <c r="G383" s="15" t="s">
        <v>657</v>
      </c>
      <c r="H383" s="15" t="s">
        <v>2099</v>
      </c>
      <c r="I383" s="15" t="s">
        <v>126</v>
      </c>
      <c r="J383" s="3" t="s">
        <v>2502</v>
      </c>
      <c r="K383" s="15" t="n">
        <f aca="false">LEN(J383)</f>
        <v>59</v>
      </c>
      <c r="L383" s="3" t="s">
        <v>2503</v>
      </c>
      <c r="M383" s="15" t="n">
        <f aca="false">LEN(L383)</f>
        <v>134</v>
      </c>
      <c r="N383" s="3" t="s">
        <v>2504</v>
      </c>
      <c r="O383" s="15" t="s">
        <v>2505</v>
      </c>
      <c r="P383" s="16" t="n">
        <v>280</v>
      </c>
      <c r="Q383" s="15" t="s">
        <v>104</v>
      </c>
      <c r="R383" s="15"/>
      <c r="S383" s="15" t="n">
        <f aca="false">COUNTIF('Page-Keyword Map'!$A$2:$A$668,B383)</f>
        <v>1</v>
      </c>
      <c r="T383" s="16" t="n">
        <f aca="false">SUMIF('Page-Keyword Map'!$A$2:$A$668,B383,'Page-Keyword Map'!$H$2:$H$668)</f>
        <v>280</v>
      </c>
      <c r="U383" s="15" t="n">
        <f aca="false">COUNTIFS('Page-Keyword Map'!$A$2:$A$668,B383,'Page-Keyword Map'!$E$2:$E$668,"Nationwide")</f>
        <v>0</v>
      </c>
      <c r="V383" s="15" t="n">
        <f aca="false">COUNTIFS('Page-Keyword Map'!$A$2:$A$668,B383,'Page-Keyword Map'!$E$2:$E$668,"Provincial")</f>
        <v>0</v>
      </c>
      <c r="W383" s="15" t="n">
        <f aca="false">COUNTIFS('Page-Keyword Map'!$A$2:$A$668,B383,'Page-Keyword Map'!$E$2:$E$668,"City")</f>
        <v>1</v>
      </c>
      <c r="X383" s="15" t="str">
        <f aca="false">IF(O383="","",IF(ISNUMBER(SEARCH(O383,J383)),"Yes","No"))</f>
        <v>Yes</v>
      </c>
      <c r="Y383" s="15" t="n">
        <v>0.5</v>
      </c>
      <c r="Z383" s="15" t="s">
        <v>2089</v>
      </c>
      <c r="AA383" s="15" t="s">
        <v>131</v>
      </c>
      <c r="AB383" s="17"/>
      <c r="AC383" s="17"/>
    </row>
    <row r="384" customFormat="false" ht="23.85" hidden="false" customHeight="false" outlineLevel="0" collapsed="false">
      <c r="A384" s="15" t="s">
        <v>2506</v>
      </c>
      <c r="B384" s="15" t="s">
        <v>2507</v>
      </c>
      <c r="C384" s="15" t="s">
        <v>2076</v>
      </c>
      <c r="D384" s="15" t="s">
        <v>82</v>
      </c>
      <c r="E384" s="15" t="s">
        <v>265</v>
      </c>
      <c r="F384" s="15"/>
      <c r="G384" s="15" t="s">
        <v>657</v>
      </c>
      <c r="H384" s="15" t="s">
        <v>2106</v>
      </c>
      <c r="I384" s="15" t="s">
        <v>126</v>
      </c>
      <c r="J384" s="3" t="s">
        <v>2508</v>
      </c>
      <c r="K384" s="15" t="n">
        <f aca="false">LEN(J384)</f>
        <v>57</v>
      </c>
      <c r="L384" s="3" t="s">
        <v>2509</v>
      </c>
      <c r="M384" s="15" t="n">
        <f aca="false">LEN(L384)</f>
        <v>132</v>
      </c>
      <c r="N384" s="3" t="s">
        <v>2510</v>
      </c>
      <c r="O384" s="15" t="s">
        <v>2511</v>
      </c>
      <c r="P384" s="16" t="n">
        <v>310</v>
      </c>
      <c r="Q384" s="15" t="s">
        <v>104</v>
      </c>
      <c r="R384" s="15"/>
      <c r="S384" s="15" t="n">
        <f aca="false">COUNTIF('Page-Keyword Map'!$A$2:$A$668,B384)</f>
        <v>1</v>
      </c>
      <c r="T384" s="16" t="n">
        <f aca="false">SUMIF('Page-Keyword Map'!$A$2:$A$668,B384,'Page-Keyword Map'!$H$2:$H$668)</f>
        <v>310</v>
      </c>
      <c r="U384" s="15" t="n">
        <f aca="false">COUNTIFS('Page-Keyword Map'!$A$2:$A$668,B384,'Page-Keyword Map'!$E$2:$E$668,"Nationwide")</f>
        <v>0</v>
      </c>
      <c r="V384" s="15" t="n">
        <f aca="false">COUNTIFS('Page-Keyword Map'!$A$2:$A$668,B384,'Page-Keyword Map'!$E$2:$E$668,"Provincial")</f>
        <v>0</v>
      </c>
      <c r="W384" s="15" t="n">
        <f aca="false">COUNTIFS('Page-Keyword Map'!$A$2:$A$668,B384,'Page-Keyword Map'!$E$2:$E$668,"City")</f>
        <v>1</v>
      </c>
      <c r="X384" s="15" t="str">
        <f aca="false">IF(O384="","",IF(ISNUMBER(SEARCH(O384,J384)),"Yes","No"))</f>
        <v>Yes</v>
      </c>
      <c r="Y384" s="15" t="n">
        <v>0.5</v>
      </c>
      <c r="Z384" s="15" t="s">
        <v>2089</v>
      </c>
      <c r="AA384" s="15" t="s">
        <v>131</v>
      </c>
      <c r="AB384" s="17"/>
      <c r="AC384" s="17"/>
    </row>
    <row r="385" customFormat="false" ht="23.85" hidden="false" customHeight="false" outlineLevel="0" collapsed="false">
      <c r="A385" s="15" t="s">
        <v>2512</v>
      </c>
      <c r="B385" s="15" t="s">
        <v>2513</v>
      </c>
      <c r="C385" s="15" t="s">
        <v>2076</v>
      </c>
      <c r="D385" s="15" t="s">
        <v>82</v>
      </c>
      <c r="E385" s="15" t="s">
        <v>265</v>
      </c>
      <c r="F385" s="15"/>
      <c r="G385" s="15" t="s">
        <v>666</v>
      </c>
      <c r="H385" s="15" t="s">
        <v>2113</v>
      </c>
      <c r="I385" s="15" t="s">
        <v>126</v>
      </c>
      <c r="J385" s="3" t="s">
        <v>2514</v>
      </c>
      <c r="K385" s="15" t="n">
        <f aca="false">LEN(J385)</f>
        <v>59</v>
      </c>
      <c r="L385" s="3" t="s">
        <v>2515</v>
      </c>
      <c r="M385" s="15" t="n">
        <f aca="false">LEN(L385)</f>
        <v>143</v>
      </c>
      <c r="N385" s="3" t="s">
        <v>2516</v>
      </c>
      <c r="O385" s="15" t="s">
        <v>2517</v>
      </c>
      <c r="P385" s="16" t="n">
        <v>210</v>
      </c>
      <c r="Q385" s="15" t="s">
        <v>104</v>
      </c>
      <c r="R385" s="15"/>
      <c r="S385" s="15" t="n">
        <f aca="false">COUNTIF('Page-Keyword Map'!$A$2:$A$668,B385)</f>
        <v>1</v>
      </c>
      <c r="T385" s="16" t="n">
        <f aca="false">SUMIF('Page-Keyword Map'!$A$2:$A$668,B385,'Page-Keyword Map'!$H$2:$H$668)</f>
        <v>210</v>
      </c>
      <c r="U385" s="15" t="n">
        <f aca="false">COUNTIFS('Page-Keyword Map'!$A$2:$A$668,B385,'Page-Keyword Map'!$E$2:$E$668,"Nationwide")</f>
        <v>0</v>
      </c>
      <c r="V385" s="15" t="n">
        <f aca="false">COUNTIFS('Page-Keyword Map'!$A$2:$A$668,B385,'Page-Keyword Map'!$E$2:$E$668,"Provincial")</f>
        <v>0</v>
      </c>
      <c r="W385" s="15" t="n">
        <f aca="false">COUNTIFS('Page-Keyword Map'!$A$2:$A$668,B385,'Page-Keyword Map'!$E$2:$E$668,"City")</f>
        <v>1</v>
      </c>
      <c r="X385" s="15" t="str">
        <f aca="false">IF(O385="","",IF(ISNUMBER(SEARCH(O385,J385)),"Yes","No"))</f>
        <v>Yes</v>
      </c>
      <c r="Y385" s="15" t="n">
        <v>0.5</v>
      </c>
      <c r="Z385" s="15" t="s">
        <v>2089</v>
      </c>
      <c r="AA385" s="15" t="s">
        <v>131</v>
      </c>
      <c r="AB385" s="17"/>
      <c r="AC385" s="17"/>
    </row>
    <row r="386" customFormat="false" ht="23.85" hidden="false" customHeight="false" outlineLevel="0" collapsed="false">
      <c r="A386" s="15" t="s">
        <v>2518</v>
      </c>
      <c r="B386" s="15" t="s">
        <v>2519</v>
      </c>
      <c r="C386" s="15" t="s">
        <v>2076</v>
      </c>
      <c r="D386" s="15" t="s">
        <v>82</v>
      </c>
      <c r="E386" s="15" t="s">
        <v>265</v>
      </c>
      <c r="F386" s="15"/>
      <c r="G386" s="15" t="s">
        <v>666</v>
      </c>
      <c r="H386" s="15" t="s">
        <v>2120</v>
      </c>
      <c r="I386" s="15" t="s">
        <v>126</v>
      </c>
      <c r="J386" s="3" t="s">
        <v>2520</v>
      </c>
      <c r="K386" s="15" t="n">
        <f aca="false">LEN(J386)</f>
        <v>56</v>
      </c>
      <c r="L386" s="3" t="s">
        <v>2521</v>
      </c>
      <c r="M386" s="15" t="n">
        <f aca="false">LEN(L386)</f>
        <v>140</v>
      </c>
      <c r="N386" s="3" t="s">
        <v>2522</v>
      </c>
      <c r="O386" s="15" t="s">
        <v>2523</v>
      </c>
      <c r="P386" s="16" t="n">
        <v>370</v>
      </c>
      <c r="Q386" s="15" t="s">
        <v>104</v>
      </c>
      <c r="R386" s="15"/>
      <c r="S386" s="15" t="n">
        <f aca="false">COUNTIF('Page-Keyword Map'!$A$2:$A$668,B386)</f>
        <v>1</v>
      </c>
      <c r="T386" s="16" t="n">
        <f aca="false">SUMIF('Page-Keyword Map'!$A$2:$A$668,B386,'Page-Keyword Map'!$H$2:$H$668)</f>
        <v>370</v>
      </c>
      <c r="U386" s="15" t="n">
        <f aca="false">COUNTIFS('Page-Keyword Map'!$A$2:$A$668,B386,'Page-Keyword Map'!$E$2:$E$668,"Nationwide")</f>
        <v>0</v>
      </c>
      <c r="V386" s="15" t="n">
        <f aca="false">COUNTIFS('Page-Keyword Map'!$A$2:$A$668,B386,'Page-Keyword Map'!$E$2:$E$668,"Provincial")</f>
        <v>0</v>
      </c>
      <c r="W386" s="15" t="n">
        <f aca="false">COUNTIFS('Page-Keyword Map'!$A$2:$A$668,B386,'Page-Keyword Map'!$E$2:$E$668,"City")</f>
        <v>1</v>
      </c>
      <c r="X386" s="15" t="str">
        <f aca="false">IF(O386="","",IF(ISNUMBER(SEARCH(O386,J386)),"Yes","No"))</f>
        <v>Yes</v>
      </c>
      <c r="Y386" s="15" t="n">
        <v>0.7</v>
      </c>
      <c r="Z386" s="15" t="s">
        <v>2089</v>
      </c>
      <c r="AA386" s="15" t="s">
        <v>131</v>
      </c>
      <c r="AB386" s="17"/>
      <c r="AC386" s="17"/>
    </row>
    <row r="387" customFormat="false" ht="23.85" hidden="false" customHeight="false" outlineLevel="0" collapsed="false">
      <c r="A387" s="15" t="s">
        <v>2524</v>
      </c>
      <c r="B387" s="15" t="s">
        <v>2525</v>
      </c>
      <c r="C387" s="15" t="s">
        <v>2076</v>
      </c>
      <c r="D387" s="15" t="s">
        <v>82</v>
      </c>
      <c r="E387" s="15" t="s">
        <v>265</v>
      </c>
      <c r="F387" s="15"/>
      <c r="G387" s="15" t="s">
        <v>666</v>
      </c>
      <c r="H387" s="15" t="s">
        <v>2127</v>
      </c>
      <c r="I387" s="15" t="s">
        <v>126</v>
      </c>
      <c r="J387" s="3" t="s">
        <v>2526</v>
      </c>
      <c r="K387" s="15" t="n">
        <f aca="false">LEN(J387)</f>
        <v>58</v>
      </c>
      <c r="L387" s="3" t="s">
        <v>2527</v>
      </c>
      <c r="M387" s="15" t="n">
        <f aca="false">LEN(L387)</f>
        <v>142</v>
      </c>
      <c r="N387" s="3" t="s">
        <v>2528</v>
      </c>
      <c r="O387" s="15" t="s">
        <v>2529</v>
      </c>
      <c r="P387" s="16" t="n">
        <v>230</v>
      </c>
      <c r="Q387" s="15" t="s">
        <v>104</v>
      </c>
      <c r="R387" s="15"/>
      <c r="S387" s="15" t="n">
        <f aca="false">COUNTIF('Page-Keyword Map'!$A$2:$A$668,B387)</f>
        <v>1</v>
      </c>
      <c r="T387" s="16" t="n">
        <f aca="false">SUMIF('Page-Keyword Map'!$A$2:$A$668,B387,'Page-Keyword Map'!$H$2:$H$668)</f>
        <v>230</v>
      </c>
      <c r="U387" s="15" t="n">
        <f aca="false">COUNTIFS('Page-Keyword Map'!$A$2:$A$668,B387,'Page-Keyword Map'!$E$2:$E$668,"Nationwide")</f>
        <v>0</v>
      </c>
      <c r="V387" s="15" t="n">
        <f aca="false">COUNTIFS('Page-Keyword Map'!$A$2:$A$668,B387,'Page-Keyword Map'!$E$2:$E$668,"Provincial")</f>
        <v>0</v>
      </c>
      <c r="W387" s="15" t="n">
        <f aca="false">COUNTIFS('Page-Keyword Map'!$A$2:$A$668,B387,'Page-Keyword Map'!$E$2:$E$668,"City")</f>
        <v>1</v>
      </c>
      <c r="X387" s="15" t="str">
        <f aca="false">IF(O387="","",IF(ISNUMBER(SEARCH(O387,J387)),"Yes","No"))</f>
        <v>Yes</v>
      </c>
      <c r="Y387" s="15" t="n">
        <v>0.5</v>
      </c>
      <c r="Z387" s="15" t="s">
        <v>2089</v>
      </c>
      <c r="AA387" s="15" t="s">
        <v>131</v>
      </c>
      <c r="AB387" s="17"/>
      <c r="AC387" s="17"/>
    </row>
    <row r="388" customFormat="false" ht="23.85" hidden="false" customHeight="false" outlineLevel="0" collapsed="false">
      <c r="A388" s="15" t="s">
        <v>2530</v>
      </c>
      <c r="B388" s="15" t="s">
        <v>2531</v>
      </c>
      <c r="C388" s="15" t="s">
        <v>2076</v>
      </c>
      <c r="D388" s="15" t="s">
        <v>82</v>
      </c>
      <c r="E388" s="15" t="s">
        <v>265</v>
      </c>
      <c r="F388" s="15"/>
      <c r="G388" s="15" t="s">
        <v>666</v>
      </c>
      <c r="H388" s="15" t="s">
        <v>2134</v>
      </c>
      <c r="I388" s="15" t="s">
        <v>126</v>
      </c>
      <c r="J388" s="3" t="s">
        <v>2532</v>
      </c>
      <c r="K388" s="15" t="n">
        <f aca="false">LEN(J388)</f>
        <v>56</v>
      </c>
      <c r="L388" s="3" t="s">
        <v>2533</v>
      </c>
      <c r="M388" s="15" t="n">
        <f aca="false">LEN(L388)</f>
        <v>140</v>
      </c>
      <c r="N388" s="3" t="s">
        <v>2534</v>
      </c>
      <c r="O388" s="15" t="s">
        <v>2535</v>
      </c>
      <c r="P388" s="16" t="n">
        <v>200</v>
      </c>
      <c r="Q388" s="15" t="s">
        <v>104</v>
      </c>
      <c r="R388" s="15"/>
      <c r="S388" s="15" t="n">
        <f aca="false">COUNTIF('Page-Keyword Map'!$A$2:$A$668,B388)</f>
        <v>1</v>
      </c>
      <c r="T388" s="16" t="n">
        <f aca="false">SUMIF('Page-Keyword Map'!$A$2:$A$668,B388,'Page-Keyword Map'!$H$2:$H$668)</f>
        <v>200</v>
      </c>
      <c r="U388" s="15" t="n">
        <f aca="false">COUNTIFS('Page-Keyword Map'!$A$2:$A$668,B388,'Page-Keyword Map'!$E$2:$E$668,"Nationwide")</f>
        <v>0</v>
      </c>
      <c r="V388" s="15" t="n">
        <f aca="false">COUNTIFS('Page-Keyword Map'!$A$2:$A$668,B388,'Page-Keyword Map'!$E$2:$E$668,"Provincial")</f>
        <v>0</v>
      </c>
      <c r="W388" s="15" t="n">
        <f aca="false">COUNTIFS('Page-Keyword Map'!$A$2:$A$668,B388,'Page-Keyword Map'!$E$2:$E$668,"City")</f>
        <v>1</v>
      </c>
      <c r="X388" s="15" t="str">
        <f aca="false">IF(O388="","",IF(ISNUMBER(SEARCH(O388,J388)),"Yes","No"))</f>
        <v>Yes</v>
      </c>
      <c r="Y388" s="15" t="n">
        <v>0.7</v>
      </c>
      <c r="Z388" s="15" t="s">
        <v>2089</v>
      </c>
      <c r="AA388" s="15" t="s">
        <v>131</v>
      </c>
      <c r="AB388" s="17"/>
      <c r="AC388" s="17"/>
    </row>
    <row r="389" customFormat="false" ht="23.85" hidden="false" customHeight="false" outlineLevel="0" collapsed="false">
      <c r="A389" s="15" t="s">
        <v>2536</v>
      </c>
      <c r="B389" s="15" t="s">
        <v>2537</v>
      </c>
      <c r="C389" s="15" t="s">
        <v>2076</v>
      </c>
      <c r="D389" s="15" t="s">
        <v>82</v>
      </c>
      <c r="E389" s="15" t="s">
        <v>265</v>
      </c>
      <c r="F389" s="15"/>
      <c r="G389" s="15" t="s">
        <v>666</v>
      </c>
      <c r="H389" s="15" t="s">
        <v>2141</v>
      </c>
      <c r="I389" s="15" t="s">
        <v>211</v>
      </c>
      <c r="J389" s="3" t="s">
        <v>2538</v>
      </c>
      <c r="K389" s="15" t="n">
        <f aca="false">LEN(J389)</f>
        <v>56</v>
      </c>
      <c r="L389" s="3" t="s">
        <v>2539</v>
      </c>
      <c r="M389" s="15" t="n">
        <f aca="false">LEN(L389)</f>
        <v>140</v>
      </c>
      <c r="N389" s="3" t="s">
        <v>2540</v>
      </c>
      <c r="O389" s="15" t="s">
        <v>2541</v>
      </c>
      <c r="P389" s="16" t="n">
        <v>200</v>
      </c>
      <c r="Q389" s="15" t="s">
        <v>104</v>
      </c>
      <c r="R389" s="15"/>
      <c r="S389" s="15" t="n">
        <f aca="false">COUNTIF('Page-Keyword Map'!$A$2:$A$668,B389)</f>
        <v>1</v>
      </c>
      <c r="T389" s="16" t="n">
        <f aca="false">SUMIF('Page-Keyword Map'!$A$2:$A$668,B389,'Page-Keyword Map'!$H$2:$H$668)</f>
        <v>200</v>
      </c>
      <c r="U389" s="15" t="n">
        <f aca="false">COUNTIFS('Page-Keyword Map'!$A$2:$A$668,B389,'Page-Keyword Map'!$E$2:$E$668,"Nationwide")</f>
        <v>0</v>
      </c>
      <c r="V389" s="15" t="n">
        <f aca="false">COUNTIFS('Page-Keyword Map'!$A$2:$A$668,B389,'Page-Keyword Map'!$E$2:$E$668,"Provincial")</f>
        <v>0</v>
      </c>
      <c r="W389" s="15" t="n">
        <f aca="false">COUNTIFS('Page-Keyword Map'!$A$2:$A$668,B389,'Page-Keyword Map'!$E$2:$E$668,"City")</f>
        <v>1</v>
      </c>
      <c r="X389" s="15" t="str">
        <f aca="false">IF(O389="","",IF(ISNUMBER(SEARCH(O389,J389)),"Yes","No"))</f>
        <v>Yes</v>
      </c>
      <c r="Y389" s="15" t="n">
        <v>0.5</v>
      </c>
      <c r="Z389" s="15" t="s">
        <v>216</v>
      </c>
      <c r="AA389" s="15" t="s">
        <v>217</v>
      </c>
      <c r="AB389" s="17"/>
      <c r="AC389" s="17"/>
    </row>
    <row r="390" customFormat="false" ht="23.85" hidden="false" customHeight="false" outlineLevel="0" collapsed="false">
      <c r="A390" s="15" t="s">
        <v>2542</v>
      </c>
      <c r="B390" s="15" t="s">
        <v>2543</v>
      </c>
      <c r="C390" s="15" t="s">
        <v>2076</v>
      </c>
      <c r="D390" s="15" t="s">
        <v>82</v>
      </c>
      <c r="E390" s="15" t="s">
        <v>265</v>
      </c>
      <c r="F390" s="15"/>
      <c r="G390" s="15" t="s">
        <v>666</v>
      </c>
      <c r="H390" s="15" t="s">
        <v>2148</v>
      </c>
      <c r="I390" s="15" t="s">
        <v>126</v>
      </c>
      <c r="J390" s="3" t="s">
        <v>2544</v>
      </c>
      <c r="K390" s="15" t="n">
        <f aca="false">LEN(J390)</f>
        <v>57</v>
      </c>
      <c r="L390" s="3" t="s">
        <v>2545</v>
      </c>
      <c r="M390" s="15" t="n">
        <f aca="false">LEN(L390)</f>
        <v>141</v>
      </c>
      <c r="N390" s="3" t="s">
        <v>2546</v>
      </c>
      <c r="O390" s="15" t="s">
        <v>2547</v>
      </c>
      <c r="P390" s="16" t="n">
        <v>320</v>
      </c>
      <c r="Q390" s="15" t="s">
        <v>104</v>
      </c>
      <c r="R390" s="15"/>
      <c r="S390" s="15" t="n">
        <f aca="false">COUNTIF('Page-Keyword Map'!$A$2:$A$668,B390)</f>
        <v>1</v>
      </c>
      <c r="T390" s="16" t="n">
        <f aca="false">SUMIF('Page-Keyword Map'!$A$2:$A$668,B390,'Page-Keyword Map'!$H$2:$H$668)</f>
        <v>320</v>
      </c>
      <c r="U390" s="15" t="n">
        <f aca="false">COUNTIFS('Page-Keyword Map'!$A$2:$A$668,B390,'Page-Keyword Map'!$E$2:$E$668,"Nationwide")</f>
        <v>0</v>
      </c>
      <c r="V390" s="15" t="n">
        <f aca="false">COUNTIFS('Page-Keyword Map'!$A$2:$A$668,B390,'Page-Keyword Map'!$E$2:$E$668,"Provincial")</f>
        <v>0</v>
      </c>
      <c r="W390" s="15" t="n">
        <f aca="false">COUNTIFS('Page-Keyword Map'!$A$2:$A$668,B390,'Page-Keyword Map'!$E$2:$E$668,"City")</f>
        <v>1</v>
      </c>
      <c r="X390" s="15" t="str">
        <f aca="false">IF(O390="","",IF(ISNUMBER(SEARCH(O390,J390)),"Yes","No"))</f>
        <v>No</v>
      </c>
      <c r="Y390" s="15" t="n">
        <v>0.5</v>
      </c>
      <c r="Z390" s="15" t="s">
        <v>2089</v>
      </c>
      <c r="AA390" s="15" t="s">
        <v>131</v>
      </c>
      <c r="AB390" s="17"/>
      <c r="AC390" s="17"/>
    </row>
    <row r="391" customFormat="false" ht="23.85" hidden="false" customHeight="false" outlineLevel="0" collapsed="false">
      <c r="A391" s="15" t="s">
        <v>2548</v>
      </c>
      <c r="B391" s="15" t="s">
        <v>2549</v>
      </c>
      <c r="C391" s="15" t="s">
        <v>2076</v>
      </c>
      <c r="D391" s="15" t="s">
        <v>82</v>
      </c>
      <c r="E391" s="15" t="s">
        <v>265</v>
      </c>
      <c r="F391" s="15"/>
      <c r="G391" s="15" t="s">
        <v>666</v>
      </c>
      <c r="H391" s="15" t="s">
        <v>2155</v>
      </c>
      <c r="I391" s="15" t="s">
        <v>126</v>
      </c>
      <c r="J391" s="3" t="s">
        <v>2550</v>
      </c>
      <c r="K391" s="15" t="n">
        <f aca="false">LEN(J391)</f>
        <v>55</v>
      </c>
      <c r="L391" s="3" t="s">
        <v>2551</v>
      </c>
      <c r="M391" s="15" t="n">
        <f aca="false">LEN(L391)</f>
        <v>139</v>
      </c>
      <c r="N391" s="3" t="s">
        <v>2552</v>
      </c>
      <c r="O391" s="15" t="s">
        <v>2553</v>
      </c>
      <c r="P391" s="16" t="n">
        <v>710</v>
      </c>
      <c r="Q391" s="15" t="s">
        <v>104</v>
      </c>
      <c r="R391" s="15"/>
      <c r="S391" s="15" t="n">
        <f aca="false">COUNTIF('Page-Keyword Map'!$A$2:$A$668,B391)</f>
        <v>1</v>
      </c>
      <c r="T391" s="16" t="n">
        <f aca="false">SUMIF('Page-Keyword Map'!$A$2:$A$668,B391,'Page-Keyword Map'!$H$2:$H$668)</f>
        <v>710</v>
      </c>
      <c r="U391" s="15" t="n">
        <f aca="false">COUNTIFS('Page-Keyword Map'!$A$2:$A$668,B391,'Page-Keyword Map'!$E$2:$E$668,"Nationwide")</f>
        <v>0</v>
      </c>
      <c r="V391" s="15" t="n">
        <f aca="false">COUNTIFS('Page-Keyword Map'!$A$2:$A$668,B391,'Page-Keyword Map'!$E$2:$E$668,"Provincial")</f>
        <v>0</v>
      </c>
      <c r="W391" s="15" t="n">
        <f aca="false">COUNTIFS('Page-Keyword Map'!$A$2:$A$668,B391,'Page-Keyword Map'!$E$2:$E$668,"City")</f>
        <v>1</v>
      </c>
      <c r="X391" s="15" t="str">
        <f aca="false">IF(O391="","",IF(ISNUMBER(SEARCH(O391,J391)),"Yes","No"))</f>
        <v>Yes</v>
      </c>
      <c r="Y391" s="15" t="n">
        <v>0.7</v>
      </c>
      <c r="Z391" s="15" t="s">
        <v>2089</v>
      </c>
      <c r="AA391" s="15" t="s">
        <v>131</v>
      </c>
      <c r="AB391" s="17"/>
      <c r="AC391" s="17"/>
    </row>
    <row r="392" customFormat="false" ht="23.85" hidden="false" customHeight="false" outlineLevel="0" collapsed="false">
      <c r="A392" s="15" t="s">
        <v>2554</v>
      </c>
      <c r="B392" s="15" t="s">
        <v>2555</v>
      </c>
      <c r="C392" s="15" t="s">
        <v>2076</v>
      </c>
      <c r="D392" s="15" t="s">
        <v>82</v>
      </c>
      <c r="E392" s="15" t="s">
        <v>265</v>
      </c>
      <c r="F392" s="15"/>
      <c r="G392" s="15" t="s">
        <v>666</v>
      </c>
      <c r="H392" s="15" t="s">
        <v>2162</v>
      </c>
      <c r="I392" s="15" t="s">
        <v>126</v>
      </c>
      <c r="J392" s="3" t="s">
        <v>2556</v>
      </c>
      <c r="K392" s="15" t="n">
        <f aca="false">LEN(J392)</f>
        <v>58</v>
      </c>
      <c r="L392" s="3" t="s">
        <v>2557</v>
      </c>
      <c r="M392" s="15" t="n">
        <f aca="false">LEN(L392)</f>
        <v>142</v>
      </c>
      <c r="N392" s="3" t="s">
        <v>2558</v>
      </c>
      <c r="O392" s="15" t="s">
        <v>2559</v>
      </c>
      <c r="P392" s="16" t="n">
        <v>860</v>
      </c>
      <c r="Q392" s="15" t="s">
        <v>104</v>
      </c>
      <c r="R392" s="15"/>
      <c r="S392" s="15" t="n">
        <f aca="false">COUNTIF('Page-Keyword Map'!$A$2:$A$668,B392)</f>
        <v>1</v>
      </c>
      <c r="T392" s="16" t="n">
        <f aca="false">SUMIF('Page-Keyword Map'!$A$2:$A$668,B392,'Page-Keyword Map'!$H$2:$H$668)</f>
        <v>860</v>
      </c>
      <c r="U392" s="15" t="n">
        <f aca="false">COUNTIFS('Page-Keyword Map'!$A$2:$A$668,B392,'Page-Keyword Map'!$E$2:$E$668,"Nationwide")</f>
        <v>0</v>
      </c>
      <c r="V392" s="15" t="n">
        <f aca="false">COUNTIFS('Page-Keyword Map'!$A$2:$A$668,B392,'Page-Keyword Map'!$E$2:$E$668,"Provincial")</f>
        <v>0</v>
      </c>
      <c r="W392" s="15" t="n">
        <f aca="false">COUNTIFS('Page-Keyword Map'!$A$2:$A$668,B392,'Page-Keyword Map'!$E$2:$E$668,"City")</f>
        <v>1</v>
      </c>
      <c r="X392" s="15" t="str">
        <f aca="false">IF(O392="","",IF(ISNUMBER(SEARCH(O392,J392)),"Yes","No"))</f>
        <v>Yes</v>
      </c>
      <c r="Y392" s="15" t="n">
        <v>0.7</v>
      </c>
      <c r="Z392" s="15" t="s">
        <v>2089</v>
      </c>
      <c r="AA392" s="15" t="s">
        <v>131</v>
      </c>
      <c r="AB392" s="17"/>
      <c r="AC392" s="17"/>
    </row>
    <row r="393" customFormat="false" ht="23.85" hidden="false" customHeight="false" outlineLevel="0" collapsed="false">
      <c r="A393" s="15" t="s">
        <v>2560</v>
      </c>
      <c r="B393" s="15" t="s">
        <v>2561</v>
      </c>
      <c r="C393" s="15" t="s">
        <v>2076</v>
      </c>
      <c r="D393" s="15" t="s">
        <v>82</v>
      </c>
      <c r="E393" s="15" t="s">
        <v>265</v>
      </c>
      <c r="F393" s="15"/>
      <c r="G393" s="15" t="s">
        <v>666</v>
      </c>
      <c r="H393" s="15" t="s">
        <v>2169</v>
      </c>
      <c r="I393" s="15" t="s">
        <v>126</v>
      </c>
      <c r="J393" s="3" t="s">
        <v>2562</v>
      </c>
      <c r="K393" s="15" t="n">
        <f aca="false">LEN(J393)</f>
        <v>57</v>
      </c>
      <c r="L393" s="3" t="s">
        <v>2563</v>
      </c>
      <c r="M393" s="15" t="n">
        <f aca="false">LEN(L393)</f>
        <v>141</v>
      </c>
      <c r="N393" s="3" t="s">
        <v>2564</v>
      </c>
      <c r="O393" s="15" t="s">
        <v>2565</v>
      </c>
      <c r="P393" s="16" t="n">
        <v>130</v>
      </c>
      <c r="Q393" s="15" t="s">
        <v>104</v>
      </c>
      <c r="R393" s="15"/>
      <c r="S393" s="15" t="n">
        <f aca="false">COUNTIF('Page-Keyword Map'!$A$2:$A$668,B393)</f>
        <v>1</v>
      </c>
      <c r="T393" s="16" t="n">
        <f aca="false">SUMIF('Page-Keyword Map'!$A$2:$A$668,B393,'Page-Keyword Map'!$H$2:$H$668)</f>
        <v>130</v>
      </c>
      <c r="U393" s="15" t="n">
        <f aca="false">COUNTIFS('Page-Keyword Map'!$A$2:$A$668,B393,'Page-Keyword Map'!$E$2:$E$668,"Nationwide")</f>
        <v>0</v>
      </c>
      <c r="V393" s="15" t="n">
        <f aca="false">COUNTIFS('Page-Keyword Map'!$A$2:$A$668,B393,'Page-Keyword Map'!$E$2:$E$668,"Provincial")</f>
        <v>0</v>
      </c>
      <c r="W393" s="15" t="n">
        <f aca="false">COUNTIFS('Page-Keyword Map'!$A$2:$A$668,B393,'Page-Keyword Map'!$E$2:$E$668,"City")</f>
        <v>1</v>
      </c>
      <c r="X393" s="15" t="str">
        <f aca="false">IF(O393="","",IF(ISNUMBER(SEARCH(O393,J393)),"Yes","No"))</f>
        <v>Yes</v>
      </c>
      <c r="Y393" s="15" t="n">
        <v>0.7</v>
      </c>
      <c r="Z393" s="15" t="s">
        <v>2089</v>
      </c>
      <c r="AA393" s="15" t="s">
        <v>131</v>
      </c>
      <c r="AB393" s="17"/>
      <c r="AC393" s="17"/>
    </row>
    <row r="394" customFormat="false" ht="23.85" hidden="false" customHeight="false" outlineLevel="0" collapsed="false">
      <c r="A394" s="15" t="s">
        <v>2566</v>
      </c>
      <c r="B394" s="15" t="s">
        <v>2567</v>
      </c>
      <c r="C394" s="15" t="s">
        <v>2076</v>
      </c>
      <c r="D394" s="15" t="s">
        <v>82</v>
      </c>
      <c r="E394" s="15" t="s">
        <v>265</v>
      </c>
      <c r="F394" s="15"/>
      <c r="G394" s="15" t="s">
        <v>673</v>
      </c>
      <c r="H394" s="15" t="s">
        <v>2176</v>
      </c>
      <c r="I394" s="15" t="s">
        <v>211</v>
      </c>
      <c r="J394" s="3" t="s">
        <v>2568</v>
      </c>
      <c r="K394" s="15" t="n">
        <f aca="false">LEN(J394)</f>
        <v>56</v>
      </c>
      <c r="L394" s="3" t="s">
        <v>2569</v>
      </c>
      <c r="M394" s="15" t="n">
        <f aca="false">LEN(L394)</f>
        <v>134</v>
      </c>
      <c r="N394" s="3" t="s">
        <v>2570</v>
      </c>
      <c r="O394" s="15" t="s">
        <v>2571</v>
      </c>
      <c r="P394" s="16" t="n">
        <v>89</v>
      </c>
      <c r="Q394" s="15" t="s">
        <v>104</v>
      </c>
      <c r="R394" s="15"/>
      <c r="S394" s="15" t="n">
        <f aca="false">COUNTIF('Page-Keyword Map'!$A$2:$A$668,B394)</f>
        <v>1</v>
      </c>
      <c r="T394" s="16" t="n">
        <f aca="false">SUMIF('Page-Keyword Map'!$A$2:$A$668,B394,'Page-Keyword Map'!$H$2:$H$668)</f>
        <v>89</v>
      </c>
      <c r="U394" s="15" t="n">
        <f aca="false">COUNTIFS('Page-Keyword Map'!$A$2:$A$668,B394,'Page-Keyword Map'!$E$2:$E$668,"Nationwide")</f>
        <v>0</v>
      </c>
      <c r="V394" s="15" t="n">
        <f aca="false">COUNTIFS('Page-Keyword Map'!$A$2:$A$668,B394,'Page-Keyword Map'!$E$2:$E$668,"Provincial")</f>
        <v>0</v>
      </c>
      <c r="W394" s="15" t="n">
        <f aca="false">COUNTIFS('Page-Keyword Map'!$A$2:$A$668,B394,'Page-Keyword Map'!$E$2:$E$668,"City")</f>
        <v>1</v>
      </c>
      <c r="X394" s="15" t="str">
        <f aca="false">IF(O394="","",IF(ISNUMBER(SEARCH(O394,J394)),"Yes","No"))</f>
        <v>Yes</v>
      </c>
      <c r="Y394" s="15" t="n">
        <v>0.5</v>
      </c>
      <c r="Z394" s="15" t="s">
        <v>216</v>
      </c>
      <c r="AA394" s="15" t="s">
        <v>217</v>
      </c>
      <c r="AB394" s="17"/>
      <c r="AC394" s="17"/>
    </row>
    <row r="395" customFormat="false" ht="23.85" hidden="false" customHeight="false" outlineLevel="0" collapsed="false">
      <c r="A395" s="15" t="s">
        <v>2572</v>
      </c>
      <c r="B395" s="15" t="s">
        <v>2573</v>
      </c>
      <c r="C395" s="15" t="s">
        <v>2076</v>
      </c>
      <c r="D395" s="15" t="s">
        <v>82</v>
      </c>
      <c r="E395" s="15" t="s">
        <v>265</v>
      </c>
      <c r="F395" s="15"/>
      <c r="G395" s="15" t="s">
        <v>673</v>
      </c>
      <c r="H395" s="15" t="s">
        <v>2183</v>
      </c>
      <c r="I395" s="15" t="s">
        <v>126</v>
      </c>
      <c r="J395" s="3" t="s">
        <v>2574</v>
      </c>
      <c r="K395" s="15" t="n">
        <f aca="false">LEN(J395)</f>
        <v>57</v>
      </c>
      <c r="L395" s="3" t="s">
        <v>2575</v>
      </c>
      <c r="M395" s="15" t="n">
        <f aca="false">LEN(L395)</f>
        <v>135</v>
      </c>
      <c r="N395" s="3" t="s">
        <v>2576</v>
      </c>
      <c r="O395" s="15" t="s">
        <v>2577</v>
      </c>
      <c r="P395" s="16" t="n">
        <v>820</v>
      </c>
      <c r="Q395" s="15" t="s">
        <v>104</v>
      </c>
      <c r="R395" s="15"/>
      <c r="S395" s="15" t="n">
        <f aca="false">COUNTIF('Page-Keyword Map'!$A$2:$A$668,B395)</f>
        <v>1</v>
      </c>
      <c r="T395" s="16" t="n">
        <f aca="false">SUMIF('Page-Keyword Map'!$A$2:$A$668,B395,'Page-Keyword Map'!$H$2:$H$668)</f>
        <v>820</v>
      </c>
      <c r="U395" s="15" t="n">
        <f aca="false">COUNTIFS('Page-Keyword Map'!$A$2:$A$668,B395,'Page-Keyword Map'!$E$2:$E$668,"Nationwide")</f>
        <v>0</v>
      </c>
      <c r="V395" s="15" t="n">
        <f aca="false">COUNTIFS('Page-Keyword Map'!$A$2:$A$668,B395,'Page-Keyword Map'!$E$2:$E$668,"Provincial")</f>
        <v>0</v>
      </c>
      <c r="W395" s="15" t="n">
        <f aca="false">COUNTIFS('Page-Keyword Map'!$A$2:$A$668,B395,'Page-Keyword Map'!$E$2:$E$668,"City")</f>
        <v>1</v>
      </c>
      <c r="X395" s="15" t="str">
        <f aca="false">IF(O395="","",IF(ISNUMBER(SEARCH(O395,J395)),"Yes","No"))</f>
        <v>Yes</v>
      </c>
      <c r="Y395" s="15" t="n">
        <v>0.7</v>
      </c>
      <c r="Z395" s="15" t="s">
        <v>2089</v>
      </c>
      <c r="AA395" s="15" t="s">
        <v>131</v>
      </c>
      <c r="AB395" s="17"/>
      <c r="AC395" s="17"/>
    </row>
    <row r="396" customFormat="false" ht="23.85" hidden="false" customHeight="false" outlineLevel="0" collapsed="false">
      <c r="A396" s="15" t="s">
        <v>2578</v>
      </c>
      <c r="B396" s="15" t="s">
        <v>2579</v>
      </c>
      <c r="C396" s="15" t="s">
        <v>2076</v>
      </c>
      <c r="D396" s="15" t="s">
        <v>82</v>
      </c>
      <c r="E396" s="15" t="s">
        <v>265</v>
      </c>
      <c r="F396" s="15"/>
      <c r="G396" s="15" t="s">
        <v>680</v>
      </c>
      <c r="H396" s="15" t="s">
        <v>2190</v>
      </c>
      <c r="I396" s="15" t="s">
        <v>126</v>
      </c>
      <c r="J396" s="3" t="s">
        <v>2580</v>
      </c>
      <c r="K396" s="15" t="n">
        <f aca="false">LEN(J396)</f>
        <v>60</v>
      </c>
      <c r="L396" s="3" t="s">
        <v>2581</v>
      </c>
      <c r="M396" s="15" t="n">
        <f aca="false">LEN(L396)</f>
        <v>145</v>
      </c>
      <c r="N396" s="3" t="s">
        <v>2582</v>
      </c>
      <c r="O396" s="15" t="s">
        <v>2583</v>
      </c>
      <c r="P396" s="16" t="n">
        <v>210</v>
      </c>
      <c r="Q396" s="15" t="s">
        <v>104</v>
      </c>
      <c r="R396" s="15"/>
      <c r="S396" s="15" t="n">
        <f aca="false">COUNTIF('Page-Keyword Map'!$A$2:$A$668,B396)</f>
        <v>1</v>
      </c>
      <c r="T396" s="16" t="n">
        <f aca="false">SUMIF('Page-Keyword Map'!$A$2:$A$668,B396,'Page-Keyword Map'!$H$2:$H$668)</f>
        <v>210</v>
      </c>
      <c r="U396" s="15" t="n">
        <f aca="false">COUNTIFS('Page-Keyword Map'!$A$2:$A$668,B396,'Page-Keyword Map'!$E$2:$E$668,"Nationwide")</f>
        <v>0</v>
      </c>
      <c r="V396" s="15" t="n">
        <f aca="false">COUNTIFS('Page-Keyword Map'!$A$2:$A$668,B396,'Page-Keyword Map'!$E$2:$E$668,"Provincial")</f>
        <v>0</v>
      </c>
      <c r="W396" s="15" t="n">
        <f aca="false">COUNTIFS('Page-Keyword Map'!$A$2:$A$668,B396,'Page-Keyword Map'!$E$2:$E$668,"City")</f>
        <v>1</v>
      </c>
      <c r="X396" s="15" t="str">
        <f aca="false">IF(O396="","",IF(ISNUMBER(SEARCH(O396,J396)),"Yes","No"))</f>
        <v>Yes</v>
      </c>
      <c r="Y396" s="15" t="n">
        <v>0.5</v>
      </c>
      <c r="Z396" s="15" t="s">
        <v>2089</v>
      </c>
      <c r="AA396" s="15" t="s">
        <v>131</v>
      </c>
      <c r="AB396" s="17"/>
      <c r="AC396" s="17"/>
    </row>
    <row r="397" customFormat="false" ht="23.85" hidden="false" customHeight="false" outlineLevel="0" collapsed="false">
      <c r="A397" s="15" t="s">
        <v>2584</v>
      </c>
      <c r="B397" s="15" t="s">
        <v>2585</v>
      </c>
      <c r="C397" s="15" t="s">
        <v>2076</v>
      </c>
      <c r="D397" s="15" t="s">
        <v>82</v>
      </c>
      <c r="E397" s="15" t="s">
        <v>265</v>
      </c>
      <c r="F397" s="15"/>
      <c r="G397" s="15" t="s">
        <v>680</v>
      </c>
      <c r="H397" s="15" t="s">
        <v>2197</v>
      </c>
      <c r="I397" s="15" t="s">
        <v>126</v>
      </c>
      <c r="J397" s="3" t="s">
        <v>2586</v>
      </c>
      <c r="K397" s="15" t="n">
        <f aca="false">LEN(J397)</f>
        <v>56</v>
      </c>
      <c r="L397" s="3" t="s">
        <v>2587</v>
      </c>
      <c r="M397" s="15" t="n">
        <f aca="false">LEN(L397)</f>
        <v>139</v>
      </c>
      <c r="N397" s="3" t="s">
        <v>2588</v>
      </c>
      <c r="O397" s="15" t="s">
        <v>2589</v>
      </c>
      <c r="P397" s="16" t="n">
        <v>270</v>
      </c>
      <c r="Q397" s="15" t="s">
        <v>104</v>
      </c>
      <c r="R397" s="15"/>
      <c r="S397" s="15" t="n">
        <f aca="false">COUNTIF('Page-Keyword Map'!$A$2:$A$668,B397)</f>
        <v>1</v>
      </c>
      <c r="T397" s="16" t="n">
        <f aca="false">SUMIF('Page-Keyword Map'!$A$2:$A$668,B397,'Page-Keyword Map'!$H$2:$H$668)</f>
        <v>270</v>
      </c>
      <c r="U397" s="15" t="n">
        <f aca="false">COUNTIFS('Page-Keyword Map'!$A$2:$A$668,B397,'Page-Keyword Map'!$E$2:$E$668,"Nationwide")</f>
        <v>0</v>
      </c>
      <c r="V397" s="15" t="n">
        <f aca="false">COUNTIFS('Page-Keyword Map'!$A$2:$A$668,B397,'Page-Keyword Map'!$E$2:$E$668,"Provincial")</f>
        <v>0</v>
      </c>
      <c r="W397" s="15" t="n">
        <f aca="false">COUNTIFS('Page-Keyword Map'!$A$2:$A$668,B397,'Page-Keyword Map'!$E$2:$E$668,"City")</f>
        <v>1</v>
      </c>
      <c r="X397" s="15" t="str">
        <f aca="false">IF(O397="","",IF(ISNUMBER(SEARCH(O397,J397)),"Yes","No"))</f>
        <v>Yes</v>
      </c>
      <c r="Y397" s="15" t="n">
        <v>0.5</v>
      </c>
      <c r="Z397" s="15" t="s">
        <v>2089</v>
      </c>
      <c r="AA397" s="15" t="s">
        <v>131</v>
      </c>
      <c r="AB397" s="17"/>
      <c r="AC397" s="17"/>
    </row>
    <row r="398" customFormat="false" ht="23.85" hidden="false" customHeight="false" outlineLevel="0" collapsed="false">
      <c r="A398" s="15" t="s">
        <v>2590</v>
      </c>
      <c r="B398" s="15" t="s">
        <v>2591</v>
      </c>
      <c r="C398" s="15" t="s">
        <v>2076</v>
      </c>
      <c r="D398" s="15" t="s">
        <v>82</v>
      </c>
      <c r="E398" s="15" t="s">
        <v>265</v>
      </c>
      <c r="F398" s="15"/>
      <c r="G398" s="15" t="s">
        <v>680</v>
      </c>
      <c r="H398" s="15" t="s">
        <v>2204</v>
      </c>
      <c r="I398" s="15" t="s">
        <v>126</v>
      </c>
      <c r="J398" s="3" t="s">
        <v>2592</v>
      </c>
      <c r="K398" s="15" t="n">
        <f aca="false">LEN(J398)</f>
        <v>59</v>
      </c>
      <c r="L398" s="3" t="s">
        <v>2593</v>
      </c>
      <c r="M398" s="15" t="n">
        <f aca="false">LEN(L398)</f>
        <v>142</v>
      </c>
      <c r="N398" s="3" t="s">
        <v>2594</v>
      </c>
      <c r="O398" s="15" t="s">
        <v>2595</v>
      </c>
      <c r="P398" s="16" t="n">
        <v>250</v>
      </c>
      <c r="Q398" s="15" t="s">
        <v>104</v>
      </c>
      <c r="R398" s="15"/>
      <c r="S398" s="15" t="n">
        <f aca="false">COUNTIF('Page-Keyword Map'!$A$2:$A$668,B398)</f>
        <v>1</v>
      </c>
      <c r="T398" s="16" t="n">
        <f aca="false">SUMIF('Page-Keyword Map'!$A$2:$A$668,B398,'Page-Keyword Map'!$H$2:$H$668)</f>
        <v>250</v>
      </c>
      <c r="U398" s="15" t="n">
        <f aca="false">COUNTIFS('Page-Keyword Map'!$A$2:$A$668,B398,'Page-Keyword Map'!$E$2:$E$668,"Nationwide")</f>
        <v>0</v>
      </c>
      <c r="V398" s="15" t="n">
        <f aca="false">COUNTIFS('Page-Keyword Map'!$A$2:$A$668,B398,'Page-Keyword Map'!$E$2:$E$668,"Provincial")</f>
        <v>0</v>
      </c>
      <c r="W398" s="15" t="n">
        <f aca="false">COUNTIFS('Page-Keyword Map'!$A$2:$A$668,B398,'Page-Keyword Map'!$E$2:$E$668,"City")</f>
        <v>1</v>
      </c>
      <c r="X398" s="15" t="str">
        <f aca="false">IF(O398="","",IF(ISNUMBER(SEARCH(O398,J398)),"Yes","No"))</f>
        <v>Yes</v>
      </c>
      <c r="Y398" s="15" t="n">
        <v>0.5</v>
      </c>
      <c r="Z398" s="15" t="s">
        <v>2089</v>
      </c>
      <c r="AA398" s="15" t="s">
        <v>131</v>
      </c>
      <c r="AB398" s="17"/>
      <c r="AC398" s="17"/>
    </row>
    <row r="399" customFormat="false" ht="23.85" hidden="false" customHeight="false" outlineLevel="0" collapsed="false">
      <c r="A399" s="15" t="s">
        <v>2596</v>
      </c>
      <c r="B399" s="15" t="s">
        <v>2597</v>
      </c>
      <c r="C399" s="15" t="s">
        <v>2076</v>
      </c>
      <c r="D399" s="15" t="s">
        <v>82</v>
      </c>
      <c r="E399" s="15" t="s">
        <v>265</v>
      </c>
      <c r="F399" s="15"/>
      <c r="G399" s="15" t="s">
        <v>687</v>
      </c>
      <c r="H399" s="15" t="s">
        <v>2211</v>
      </c>
      <c r="I399" s="15" t="s">
        <v>126</v>
      </c>
      <c r="J399" s="3" t="s">
        <v>2598</v>
      </c>
      <c r="K399" s="15" t="n">
        <f aca="false">LEN(J399)</f>
        <v>59</v>
      </c>
      <c r="L399" s="3" t="s">
        <v>2599</v>
      </c>
      <c r="M399" s="15" t="n">
        <f aca="false">LEN(L399)</f>
        <v>154</v>
      </c>
      <c r="N399" s="3" t="s">
        <v>2600</v>
      </c>
      <c r="O399" s="15" t="s">
        <v>2601</v>
      </c>
      <c r="P399" s="16" t="n">
        <v>360</v>
      </c>
      <c r="Q399" s="15" t="s">
        <v>104</v>
      </c>
      <c r="R399" s="15"/>
      <c r="S399" s="15" t="n">
        <f aca="false">COUNTIF('Page-Keyword Map'!$A$2:$A$668,B399)</f>
        <v>3</v>
      </c>
      <c r="T399" s="16" t="n">
        <f aca="false">SUMIF('Page-Keyword Map'!$A$2:$A$668,B399,'Page-Keyword Map'!$H$2:$H$668)</f>
        <v>551</v>
      </c>
      <c r="U399" s="15" t="n">
        <f aca="false">COUNTIFS('Page-Keyword Map'!$A$2:$A$668,B399,'Page-Keyword Map'!$E$2:$E$668,"Nationwide")</f>
        <v>0</v>
      </c>
      <c r="V399" s="15" t="n">
        <f aca="false">COUNTIFS('Page-Keyword Map'!$A$2:$A$668,B399,'Page-Keyword Map'!$E$2:$E$668,"Provincial")</f>
        <v>0</v>
      </c>
      <c r="W399" s="15" t="n">
        <f aca="false">COUNTIFS('Page-Keyword Map'!$A$2:$A$668,B399,'Page-Keyword Map'!$E$2:$E$668,"City")</f>
        <v>3</v>
      </c>
      <c r="X399" s="15" t="str">
        <f aca="false">IF(O399="","",IF(ISNUMBER(SEARCH(O399,J399)),"Yes","No"))</f>
        <v>No</v>
      </c>
      <c r="Y399" s="15" t="n">
        <v>0.7</v>
      </c>
      <c r="Z399" s="15" t="s">
        <v>2089</v>
      </c>
      <c r="AA399" s="15" t="s">
        <v>131</v>
      </c>
      <c r="AB399" s="17"/>
      <c r="AC399" s="17"/>
    </row>
    <row r="400" customFormat="false" ht="23.85" hidden="false" customHeight="false" outlineLevel="0" collapsed="false">
      <c r="A400" s="15" t="s">
        <v>2602</v>
      </c>
      <c r="B400" s="15" t="s">
        <v>2603</v>
      </c>
      <c r="C400" s="15" t="s">
        <v>2076</v>
      </c>
      <c r="D400" s="15" t="s">
        <v>82</v>
      </c>
      <c r="E400" s="15" t="s">
        <v>265</v>
      </c>
      <c r="F400" s="15"/>
      <c r="G400" s="15" t="s">
        <v>694</v>
      </c>
      <c r="H400" s="15" t="s">
        <v>2218</v>
      </c>
      <c r="I400" s="15" t="s">
        <v>211</v>
      </c>
      <c r="J400" s="3" t="s">
        <v>2604</v>
      </c>
      <c r="K400" s="15" t="n">
        <f aca="false">LEN(J400)</f>
        <v>60</v>
      </c>
      <c r="L400" s="3" t="s">
        <v>2605</v>
      </c>
      <c r="M400" s="15" t="n">
        <f aca="false">LEN(L400)</f>
        <v>164</v>
      </c>
      <c r="N400" s="3" t="s">
        <v>2606</v>
      </c>
      <c r="O400" s="15"/>
      <c r="P400" s="16"/>
      <c r="Q400" s="15"/>
      <c r="R400" s="15" t="s">
        <v>2607</v>
      </c>
      <c r="S400" s="15" t="n">
        <f aca="false">COUNTIF('Page-Keyword Map'!$A$2:$A$668,B400)</f>
        <v>0</v>
      </c>
      <c r="T400" s="16" t="n">
        <f aca="false">SUMIF('Page-Keyword Map'!$A$2:$A$668,B400,'Page-Keyword Map'!$H$2:$H$668)</f>
        <v>0</v>
      </c>
      <c r="U400" s="15" t="n">
        <f aca="false">COUNTIFS('Page-Keyword Map'!$A$2:$A$668,B400,'Page-Keyword Map'!$E$2:$E$668,"Nationwide")</f>
        <v>0</v>
      </c>
      <c r="V400" s="15" t="n">
        <f aca="false">COUNTIFS('Page-Keyword Map'!$A$2:$A$668,B400,'Page-Keyword Map'!$E$2:$E$668,"Provincial")</f>
        <v>0</v>
      </c>
      <c r="W400" s="15" t="n">
        <f aca="false">COUNTIFS('Page-Keyword Map'!$A$2:$A$668,B400,'Page-Keyword Map'!$E$2:$E$668,"City")</f>
        <v>0</v>
      </c>
      <c r="X400" s="15" t="str">
        <f aca="false">IF(O400="","",IF(ISNUMBER(SEARCH(O400,J400)),"Yes","No"))</f>
        <v/>
      </c>
      <c r="Y400" s="15" t="n">
        <v>0.5</v>
      </c>
      <c r="Z400" s="15" t="s">
        <v>216</v>
      </c>
      <c r="AA400" s="15" t="s">
        <v>217</v>
      </c>
      <c r="AB400" s="17"/>
      <c r="AC400" s="17"/>
    </row>
    <row r="401" customFormat="false" ht="23.85" hidden="false" customHeight="false" outlineLevel="0" collapsed="false">
      <c r="A401" s="15" t="s">
        <v>2608</v>
      </c>
      <c r="B401" s="15" t="s">
        <v>2609</v>
      </c>
      <c r="C401" s="15" t="s">
        <v>2076</v>
      </c>
      <c r="D401" s="15" t="s">
        <v>82</v>
      </c>
      <c r="E401" s="15" t="s">
        <v>265</v>
      </c>
      <c r="F401" s="15"/>
      <c r="G401" s="15" t="s">
        <v>701</v>
      </c>
      <c r="H401" s="15" t="s">
        <v>2225</v>
      </c>
      <c r="I401" s="15" t="s">
        <v>126</v>
      </c>
      <c r="J401" s="3" t="s">
        <v>2610</v>
      </c>
      <c r="K401" s="15" t="n">
        <f aca="false">LEN(J401)</f>
        <v>56</v>
      </c>
      <c r="L401" s="3" t="s">
        <v>2611</v>
      </c>
      <c r="M401" s="15" t="n">
        <f aca="false">LEN(L401)</f>
        <v>137</v>
      </c>
      <c r="N401" s="3" t="s">
        <v>2612</v>
      </c>
      <c r="O401" s="15" t="s">
        <v>2613</v>
      </c>
      <c r="P401" s="16" t="n">
        <v>1200</v>
      </c>
      <c r="Q401" s="15" t="s">
        <v>104</v>
      </c>
      <c r="R401" s="15"/>
      <c r="S401" s="15" t="n">
        <f aca="false">COUNTIF('Page-Keyword Map'!$A$2:$A$668,B401)</f>
        <v>3</v>
      </c>
      <c r="T401" s="16" t="n">
        <f aca="false">SUMIF('Page-Keyword Map'!$A$2:$A$668,B401,'Page-Keyword Map'!$H$2:$H$668)</f>
        <v>1880</v>
      </c>
      <c r="U401" s="15" t="n">
        <f aca="false">COUNTIFS('Page-Keyword Map'!$A$2:$A$668,B401,'Page-Keyword Map'!$E$2:$E$668,"Nationwide")</f>
        <v>0</v>
      </c>
      <c r="V401" s="15" t="n">
        <f aca="false">COUNTIFS('Page-Keyword Map'!$A$2:$A$668,B401,'Page-Keyword Map'!$E$2:$E$668,"Provincial")</f>
        <v>0</v>
      </c>
      <c r="W401" s="15" t="n">
        <f aca="false">COUNTIFS('Page-Keyword Map'!$A$2:$A$668,B401,'Page-Keyword Map'!$E$2:$E$668,"City")</f>
        <v>3</v>
      </c>
      <c r="X401" s="15" t="str">
        <f aca="false">IF(O401="","",IF(ISNUMBER(SEARCH(O401,J401)),"Yes","No"))</f>
        <v>Yes</v>
      </c>
      <c r="Y401" s="15" t="n">
        <v>0.7</v>
      </c>
      <c r="Z401" s="15" t="s">
        <v>2089</v>
      </c>
      <c r="AA401" s="15" t="s">
        <v>131</v>
      </c>
      <c r="AB401" s="17"/>
      <c r="AC401" s="17"/>
    </row>
    <row r="402" customFormat="false" ht="23.85" hidden="false" customHeight="false" outlineLevel="0" collapsed="false">
      <c r="A402" s="15" t="s">
        <v>2614</v>
      </c>
      <c r="B402" s="15" t="s">
        <v>2615</v>
      </c>
      <c r="C402" s="15" t="s">
        <v>2076</v>
      </c>
      <c r="D402" s="15" t="s">
        <v>82</v>
      </c>
      <c r="E402" s="15" t="s">
        <v>265</v>
      </c>
      <c r="F402" s="15"/>
      <c r="G402" s="15" t="s">
        <v>715</v>
      </c>
      <c r="H402" s="15" t="s">
        <v>2232</v>
      </c>
      <c r="I402" s="15" t="s">
        <v>211</v>
      </c>
      <c r="J402" s="3" t="s">
        <v>2616</v>
      </c>
      <c r="K402" s="15" t="n">
        <f aca="false">LEN(J402)</f>
        <v>53</v>
      </c>
      <c r="L402" s="3" t="s">
        <v>2617</v>
      </c>
      <c r="M402" s="15" t="n">
        <f aca="false">LEN(L402)</f>
        <v>128</v>
      </c>
      <c r="N402" s="3" t="s">
        <v>2618</v>
      </c>
      <c r="O402" s="15" t="s">
        <v>2619</v>
      </c>
      <c r="P402" s="16" t="n">
        <v>490</v>
      </c>
      <c r="Q402" s="15" t="s">
        <v>104</v>
      </c>
      <c r="R402" s="15"/>
      <c r="S402" s="15" t="n">
        <f aca="false">COUNTIF('Page-Keyword Map'!$A$2:$A$668,B402)</f>
        <v>1</v>
      </c>
      <c r="T402" s="16" t="n">
        <f aca="false">SUMIF('Page-Keyword Map'!$A$2:$A$668,B402,'Page-Keyword Map'!$H$2:$H$668)</f>
        <v>490</v>
      </c>
      <c r="U402" s="15" t="n">
        <f aca="false">COUNTIFS('Page-Keyword Map'!$A$2:$A$668,B402,'Page-Keyword Map'!$E$2:$E$668,"Nationwide")</f>
        <v>0</v>
      </c>
      <c r="V402" s="15" t="n">
        <f aca="false">COUNTIFS('Page-Keyword Map'!$A$2:$A$668,B402,'Page-Keyword Map'!$E$2:$E$668,"Provincial")</f>
        <v>0</v>
      </c>
      <c r="W402" s="15" t="n">
        <f aca="false">COUNTIFS('Page-Keyword Map'!$A$2:$A$668,B402,'Page-Keyword Map'!$E$2:$E$668,"City")</f>
        <v>1</v>
      </c>
      <c r="X402" s="15" t="str">
        <f aca="false">IF(O402="","",IF(ISNUMBER(SEARCH(O402,J402)),"Yes","No"))</f>
        <v>Yes</v>
      </c>
      <c r="Y402" s="15" t="n">
        <v>0.5</v>
      </c>
      <c r="Z402" s="15" t="s">
        <v>216</v>
      </c>
      <c r="AA402" s="15" t="s">
        <v>217</v>
      </c>
      <c r="AB402" s="17"/>
      <c r="AC402" s="17"/>
    </row>
    <row r="403" customFormat="false" ht="23.85" hidden="false" customHeight="false" outlineLevel="0" collapsed="false">
      <c r="A403" s="15" t="s">
        <v>2620</v>
      </c>
      <c r="B403" s="15" t="s">
        <v>2621</v>
      </c>
      <c r="C403" s="15" t="s">
        <v>2076</v>
      </c>
      <c r="D403" s="15" t="s">
        <v>82</v>
      </c>
      <c r="E403" s="15" t="s">
        <v>265</v>
      </c>
      <c r="F403" s="15"/>
      <c r="G403" s="15" t="s">
        <v>715</v>
      </c>
      <c r="H403" s="15" t="s">
        <v>2239</v>
      </c>
      <c r="I403" s="15" t="s">
        <v>126</v>
      </c>
      <c r="J403" s="3" t="s">
        <v>2622</v>
      </c>
      <c r="K403" s="15" t="n">
        <f aca="false">LEN(J403)</f>
        <v>55</v>
      </c>
      <c r="L403" s="3" t="s">
        <v>2623</v>
      </c>
      <c r="M403" s="15" t="n">
        <f aca="false">LEN(L403)</f>
        <v>130</v>
      </c>
      <c r="N403" s="3" t="s">
        <v>2624</v>
      </c>
      <c r="O403" s="15" t="s">
        <v>2625</v>
      </c>
      <c r="P403" s="16" t="n">
        <v>400</v>
      </c>
      <c r="Q403" s="15" t="s">
        <v>104</v>
      </c>
      <c r="R403" s="15"/>
      <c r="S403" s="15" t="n">
        <f aca="false">COUNTIF('Page-Keyword Map'!$A$2:$A$668,B403)</f>
        <v>1</v>
      </c>
      <c r="T403" s="16" t="n">
        <f aca="false">SUMIF('Page-Keyword Map'!$A$2:$A$668,B403,'Page-Keyword Map'!$H$2:$H$668)</f>
        <v>400</v>
      </c>
      <c r="U403" s="15" t="n">
        <f aca="false">COUNTIFS('Page-Keyword Map'!$A$2:$A$668,B403,'Page-Keyword Map'!$E$2:$E$668,"Nationwide")</f>
        <v>0</v>
      </c>
      <c r="V403" s="15" t="n">
        <f aca="false">COUNTIFS('Page-Keyword Map'!$A$2:$A$668,B403,'Page-Keyword Map'!$E$2:$E$668,"Provincial")</f>
        <v>0</v>
      </c>
      <c r="W403" s="15" t="n">
        <f aca="false">COUNTIFS('Page-Keyword Map'!$A$2:$A$668,B403,'Page-Keyword Map'!$E$2:$E$668,"City")</f>
        <v>1</v>
      </c>
      <c r="X403" s="15" t="str">
        <f aca="false">IF(O403="","",IF(ISNUMBER(SEARCH(O403,J403)),"Yes","No"))</f>
        <v>Yes</v>
      </c>
      <c r="Y403" s="15" t="n">
        <v>0.5</v>
      </c>
      <c r="Z403" s="15" t="s">
        <v>2089</v>
      </c>
      <c r="AA403" s="15" t="s">
        <v>131</v>
      </c>
      <c r="AB403" s="17"/>
      <c r="AC403" s="17"/>
    </row>
    <row r="404" customFormat="false" ht="23.85" hidden="false" customHeight="false" outlineLevel="0" collapsed="false">
      <c r="A404" s="15" t="s">
        <v>2626</v>
      </c>
      <c r="B404" s="15" t="s">
        <v>2627</v>
      </c>
      <c r="C404" s="15" t="s">
        <v>2076</v>
      </c>
      <c r="D404" s="15" t="s">
        <v>82</v>
      </c>
      <c r="E404" s="15" t="s">
        <v>265</v>
      </c>
      <c r="F404" s="15"/>
      <c r="G404" s="15" t="s">
        <v>715</v>
      </c>
      <c r="H404" s="15" t="s">
        <v>2246</v>
      </c>
      <c r="I404" s="15" t="s">
        <v>126</v>
      </c>
      <c r="J404" s="3" t="s">
        <v>2628</v>
      </c>
      <c r="K404" s="15" t="n">
        <f aca="false">LEN(J404)</f>
        <v>57</v>
      </c>
      <c r="L404" s="3" t="s">
        <v>2629</v>
      </c>
      <c r="M404" s="15" t="n">
        <f aca="false">LEN(L404)</f>
        <v>132</v>
      </c>
      <c r="N404" s="3" t="s">
        <v>2630</v>
      </c>
      <c r="O404" s="15" t="s">
        <v>2631</v>
      </c>
      <c r="P404" s="16" t="n">
        <v>2900</v>
      </c>
      <c r="Q404" s="15" t="s">
        <v>104</v>
      </c>
      <c r="R404" s="15"/>
      <c r="S404" s="15" t="n">
        <f aca="false">COUNTIF('Page-Keyword Map'!$A$2:$A$668,B404)</f>
        <v>3</v>
      </c>
      <c r="T404" s="16" t="n">
        <f aca="false">SUMIF('Page-Keyword Map'!$A$2:$A$668,B404,'Page-Keyword Map'!$H$2:$H$668)</f>
        <v>4470</v>
      </c>
      <c r="U404" s="15" t="n">
        <f aca="false">COUNTIFS('Page-Keyword Map'!$A$2:$A$668,B404,'Page-Keyword Map'!$E$2:$E$668,"Nationwide")</f>
        <v>0</v>
      </c>
      <c r="V404" s="15" t="n">
        <f aca="false">COUNTIFS('Page-Keyword Map'!$A$2:$A$668,B404,'Page-Keyword Map'!$E$2:$E$668,"Provincial")</f>
        <v>0</v>
      </c>
      <c r="W404" s="15" t="n">
        <f aca="false">COUNTIFS('Page-Keyword Map'!$A$2:$A$668,B404,'Page-Keyword Map'!$E$2:$E$668,"City")</f>
        <v>3</v>
      </c>
      <c r="X404" s="15" t="str">
        <f aca="false">IF(O404="","",IF(ISNUMBER(SEARCH(O404,J404)),"Yes","No"))</f>
        <v>Yes</v>
      </c>
      <c r="Y404" s="15" t="n">
        <v>0.7</v>
      </c>
      <c r="Z404" s="15" t="s">
        <v>2089</v>
      </c>
      <c r="AA404" s="15" t="s">
        <v>131</v>
      </c>
      <c r="AB404" s="17"/>
      <c r="AC404" s="17"/>
    </row>
    <row r="405" customFormat="false" ht="23.85" hidden="false" customHeight="false" outlineLevel="0" collapsed="false">
      <c r="A405" s="15" t="s">
        <v>2632</v>
      </c>
      <c r="B405" s="15" t="s">
        <v>2633</v>
      </c>
      <c r="C405" s="15" t="s">
        <v>2076</v>
      </c>
      <c r="D405" s="15" t="s">
        <v>82</v>
      </c>
      <c r="E405" s="15" t="s">
        <v>265</v>
      </c>
      <c r="F405" s="15"/>
      <c r="G405" s="15" t="s">
        <v>715</v>
      </c>
      <c r="H405" s="15" t="s">
        <v>2253</v>
      </c>
      <c r="I405" s="15" t="s">
        <v>126</v>
      </c>
      <c r="J405" s="3" t="s">
        <v>2634</v>
      </c>
      <c r="K405" s="15" t="n">
        <f aca="false">LEN(J405)</f>
        <v>59</v>
      </c>
      <c r="L405" s="3" t="s">
        <v>2635</v>
      </c>
      <c r="M405" s="15" t="n">
        <f aca="false">LEN(L405)</f>
        <v>134</v>
      </c>
      <c r="N405" s="3" t="s">
        <v>2636</v>
      </c>
      <c r="O405" s="15" t="s">
        <v>2637</v>
      </c>
      <c r="P405" s="16" t="n">
        <v>500</v>
      </c>
      <c r="Q405" s="15" t="s">
        <v>104</v>
      </c>
      <c r="R405" s="15"/>
      <c r="S405" s="15" t="n">
        <f aca="false">COUNTIF('Page-Keyword Map'!$A$2:$A$668,B405)</f>
        <v>1</v>
      </c>
      <c r="T405" s="16" t="n">
        <f aca="false">SUMIF('Page-Keyword Map'!$A$2:$A$668,B405,'Page-Keyword Map'!$H$2:$H$668)</f>
        <v>500</v>
      </c>
      <c r="U405" s="15" t="n">
        <f aca="false">COUNTIFS('Page-Keyword Map'!$A$2:$A$668,B405,'Page-Keyword Map'!$E$2:$E$668,"Nationwide")</f>
        <v>0</v>
      </c>
      <c r="V405" s="15" t="n">
        <f aca="false">COUNTIFS('Page-Keyword Map'!$A$2:$A$668,B405,'Page-Keyword Map'!$E$2:$E$668,"Provincial")</f>
        <v>0</v>
      </c>
      <c r="W405" s="15" t="n">
        <f aca="false">COUNTIFS('Page-Keyword Map'!$A$2:$A$668,B405,'Page-Keyword Map'!$E$2:$E$668,"City")</f>
        <v>1</v>
      </c>
      <c r="X405" s="15" t="str">
        <f aca="false">IF(O405="","",IF(ISNUMBER(SEARCH(O405,J405)),"Yes","No"))</f>
        <v>Yes</v>
      </c>
      <c r="Y405" s="15" t="n">
        <v>0.5</v>
      </c>
      <c r="Z405" s="15" t="s">
        <v>2089</v>
      </c>
      <c r="AA405" s="15" t="s">
        <v>131</v>
      </c>
      <c r="AB405" s="17"/>
      <c r="AC405" s="17"/>
    </row>
    <row r="406" customFormat="false" ht="23.85" hidden="false" customHeight="false" outlineLevel="0" collapsed="false">
      <c r="A406" s="15" t="s">
        <v>2638</v>
      </c>
      <c r="B406" s="15" t="s">
        <v>2639</v>
      </c>
      <c r="C406" s="15" t="s">
        <v>2076</v>
      </c>
      <c r="D406" s="15" t="s">
        <v>82</v>
      </c>
      <c r="E406" s="15" t="s">
        <v>265</v>
      </c>
      <c r="F406" s="15"/>
      <c r="G406" s="15" t="s">
        <v>715</v>
      </c>
      <c r="H406" s="15" t="s">
        <v>2260</v>
      </c>
      <c r="I406" s="15" t="s">
        <v>211</v>
      </c>
      <c r="J406" s="3" t="s">
        <v>2640</v>
      </c>
      <c r="K406" s="15" t="n">
        <f aca="false">LEN(J406)</f>
        <v>58</v>
      </c>
      <c r="L406" s="3" t="s">
        <v>2641</v>
      </c>
      <c r="M406" s="15" t="n">
        <f aca="false">LEN(L406)</f>
        <v>133</v>
      </c>
      <c r="N406" s="3" t="s">
        <v>2642</v>
      </c>
      <c r="O406" s="15" t="s">
        <v>2643</v>
      </c>
      <c r="P406" s="16" t="n">
        <v>340</v>
      </c>
      <c r="Q406" s="15" t="s">
        <v>104</v>
      </c>
      <c r="R406" s="15"/>
      <c r="S406" s="15" t="n">
        <f aca="false">COUNTIF('Page-Keyword Map'!$A$2:$A$668,B406)</f>
        <v>1</v>
      </c>
      <c r="T406" s="16" t="n">
        <f aca="false">SUMIF('Page-Keyword Map'!$A$2:$A$668,B406,'Page-Keyword Map'!$H$2:$H$668)</f>
        <v>340</v>
      </c>
      <c r="U406" s="15" t="n">
        <f aca="false">COUNTIFS('Page-Keyword Map'!$A$2:$A$668,B406,'Page-Keyword Map'!$E$2:$E$668,"Nationwide")</f>
        <v>0</v>
      </c>
      <c r="V406" s="15" t="n">
        <f aca="false">COUNTIFS('Page-Keyword Map'!$A$2:$A$668,B406,'Page-Keyword Map'!$E$2:$E$668,"Provincial")</f>
        <v>0</v>
      </c>
      <c r="W406" s="15" t="n">
        <f aca="false">COUNTIFS('Page-Keyword Map'!$A$2:$A$668,B406,'Page-Keyword Map'!$E$2:$E$668,"City")</f>
        <v>1</v>
      </c>
      <c r="X406" s="15" t="str">
        <f aca="false">IF(O406="","",IF(ISNUMBER(SEARCH(O406,J406)),"Yes","No"))</f>
        <v>Yes</v>
      </c>
      <c r="Y406" s="15" t="n">
        <v>0.5</v>
      </c>
      <c r="Z406" s="15" t="s">
        <v>216</v>
      </c>
      <c r="AA406" s="15" t="s">
        <v>217</v>
      </c>
      <c r="AB406" s="17"/>
      <c r="AC406" s="17"/>
    </row>
    <row r="407" customFormat="false" ht="23.85" hidden="false" customHeight="false" outlineLevel="0" collapsed="false">
      <c r="A407" s="15" t="s">
        <v>2644</v>
      </c>
      <c r="B407" s="15" t="s">
        <v>2645</v>
      </c>
      <c r="C407" s="15" t="s">
        <v>2076</v>
      </c>
      <c r="D407" s="15" t="s">
        <v>82</v>
      </c>
      <c r="E407" s="15" t="s">
        <v>265</v>
      </c>
      <c r="F407" s="15"/>
      <c r="G407" s="15" t="s">
        <v>715</v>
      </c>
      <c r="H407" s="15" t="s">
        <v>2267</v>
      </c>
      <c r="I407" s="15" t="s">
        <v>126</v>
      </c>
      <c r="J407" s="3" t="s">
        <v>2646</v>
      </c>
      <c r="K407" s="15" t="n">
        <f aca="false">LEN(J407)</f>
        <v>55</v>
      </c>
      <c r="L407" s="3" t="s">
        <v>2647</v>
      </c>
      <c r="M407" s="15" t="n">
        <f aca="false">LEN(L407)</f>
        <v>130</v>
      </c>
      <c r="N407" s="3" t="s">
        <v>2648</v>
      </c>
      <c r="O407" s="15" t="s">
        <v>2649</v>
      </c>
      <c r="P407" s="16" t="n">
        <v>330</v>
      </c>
      <c r="Q407" s="15" t="s">
        <v>104</v>
      </c>
      <c r="R407" s="15"/>
      <c r="S407" s="15" t="n">
        <f aca="false">COUNTIF('Page-Keyword Map'!$A$2:$A$668,B407)</f>
        <v>1</v>
      </c>
      <c r="T407" s="16" t="n">
        <f aca="false">SUMIF('Page-Keyword Map'!$A$2:$A$668,B407,'Page-Keyword Map'!$H$2:$H$668)</f>
        <v>330</v>
      </c>
      <c r="U407" s="15" t="n">
        <f aca="false">COUNTIFS('Page-Keyword Map'!$A$2:$A$668,B407,'Page-Keyword Map'!$E$2:$E$668,"Nationwide")</f>
        <v>0</v>
      </c>
      <c r="V407" s="15" t="n">
        <f aca="false">COUNTIFS('Page-Keyword Map'!$A$2:$A$668,B407,'Page-Keyword Map'!$E$2:$E$668,"Provincial")</f>
        <v>0</v>
      </c>
      <c r="W407" s="15" t="n">
        <f aca="false">COUNTIFS('Page-Keyword Map'!$A$2:$A$668,B407,'Page-Keyword Map'!$E$2:$E$668,"City")</f>
        <v>1</v>
      </c>
      <c r="X407" s="15" t="str">
        <f aca="false">IF(O407="","",IF(ISNUMBER(SEARCH(O407,J407)),"Yes","No"))</f>
        <v>Yes</v>
      </c>
      <c r="Y407" s="15" t="n">
        <v>0.5</v>
      </c>
      <c r="Z407" s="15" t="s">
        <v>2089</v>
      </c>
      <c r="AA407" s="15" t="s">
        <v>131</v>
      </c>
      <c r="AB407" s="17"/>
      <c r="AC407" s="17"/>
    </row>
    <row r="408" customFormat="false" ht="23.85" hidden="false" customHeight="false" outlineLevel="0" collapsed="false">
      <c r="A408" s="15" t="s">
        <v>2650</v>
      </c>
      <c r="B408" s="15" t="s">
        <v>2651</v>
      </c>
      <c r="C408" s="15" t="s">
        <v>2076</v>
      </c>
      <c r="D408" s="15" t="s">
        <v>82</v>
      </c>
      <c r="E408" s="15" t="s">
        <v>265</v>
      </c>
      <c r="F408" s="15"/>
      <c r="G408" s="15" t="s">
        <v>715</v>
      </c>
      <c r="H408" s="15" t="s">
        <v>2274</v>
      </c>
      <c r="I408" s="15" t="s">
        <v>126</v>
      </c>
      <c r="J408" s="3" t="s">
        <v>2652</v>
      </c>
      <c r="K408" s="15" t="n">
        <f aca="false">LEN(J408)</f>
        <v>57</v>
      </c>
      <c r="L408" s="3" t="s">
        <v>2653</v>
      </c>
      <c r="M408" s="15" t="n">
        <f aca="false">LEN(L408)</f>
        <v>132</v>
      </c>
      <c r="N408" s="3" t="s">
        <v>2654</v>
      </c>
      <c r="O408" s="15" t="s">
        <v>2655</v>
      </c>
      <c r="P408" s="16" t="n">
        <v>1500</v>
      </c>
      <c r="Q408" s="15" t="s">
        <v>104</v>
      </c>
      <c r="R408" s="15"/>
      <c r="S408" s="15" t="n">
        <f aca="false">COUNTIF('Page-Keyword Map'!$A$2:$A$668,B408)</f>
        <v>3</v>
      </c>
      <c r="T408" s="16" t="n">
        <f aca="false">SUMIF('Page-Keyword Map'!$A$2:$A$668,B408,'Page-Keyword Map'!$H$2:$H$668)</f>
        <v>2320</v>
      </c>
      <c r="U408" s="15" t="n">
        <f aca="false">COUNTIFS('Page-Keyword Map'!$A$2:$A$668,B408,'Page-Keyword Map'!$E$2:$E$668,"Nationwide")</f>
        <v>0</v>
      </c>
      <c r="V408" s="15" t="n">
        <f aca="false">COUNTIFS('Page-Keyword Map'!$A$2:$A$668,B408,'Page-Keyword Map'!$E$2:$E$668,"Provincial")</f>
        <v>0</v>
      </c>
      <c r="W408" s="15" t="n">
        <f aca="false">COUNTIFS('Page-Keyword Map'!$A$2:$A$668,B408,'Page-Keyword Map'!$E$2:$E$668,"City")</f>
        <v>3</v>
      </c>
      <c r="X408" s="15" t="str">
        <f aca="false">IF(O408="","",IF(ISNUMBER(SEARCH(O408,J408)),"Yes","No"))</f>
        <v>Yes</v>
      </c>
      <c r="Y408" s="15" t="n">
        <v>0.7</v>
      </c>
      <c r="Z408" s="15" t="s">
        <v>2089</v>
      </c>
      <c r="AA408" s="15" t="s">
        <v>131</v>
      </c>
      <c r="AB408" s="17"/>
      <c r="AC408" s="17"/>
    </row>
    <row r="409" customFormat="false" ht="23.85" hidden="false" customHeight="false" outlineLevel="0" collapsed="false">
      <c r="A409" s="15" t="s">
        <v>2656</v>
      </c>
      <c r="B409" s="15" t="s">
        <v>2657</v>
      </c>
      <c r="C409" s="15" t="s">
        <v>2076</v>
      </c>
      <c r="D409" s="15" t="s">
        <v>82</v>
      </c>
      <c r="E409" s="15" t="s">
        <v>265</v>
      </c>
      <c r="F409" s="15"/>
      <c r="G409" s="15" t="s">
        <v>715</v>
      </c>
      <c r="H409" s="15" t="s">
        <v>2281</v>
      </c>
      <c r="I409" s="15" t="s">
        <v>126</v>
      </c>
      <c r="J409" s="3" t="s">
        <v>2658</v>
      </c>
      <c r="K409" s="15" t="n">
        <f aca="false">LEN(J409)</f>
        <v>57</v>
      </c>
      <c r="L409" s="3" t="s">
        <v>2659</v>
      </c>
      <c r="M409" s="15" t="n">
        <f aca="false">LEN(L409)</f>
        <v>132</v>
      </c>
      <c r="N409" s="3" t="s">
        <v>2660</v>
      </c>
      <c r="O409" s="15" t="s">
        <v>2661</v>
      </c>
      <c r="P409" s="16" t="n">
        <v>280</v>
      </c>
      <c r="Q409" s="15" t="s">
        <v>104</v>
      </c>
      <c r="R409" s="15"/>
      <c r="S409" s="15" t="n">
        <f aca="false">COUNTIF('Page-Keyword Map'!$A$2:$A$668,B409)</f>
        <v>1</v>
      </c>
      <c r="T409" s="16" t="n">
        <f aca="false">SUMIF('Page-Keyword Map'!$A$2:$A$668,B409,'Page-Keyword Map'!$H$2:$H$668)</f>
        <v>280</v>
      </c>
      <c r="U409" s="15" t="n">
        <f aca="false">COUNTIFS('Page-Keyword Map'!$A$2:$A$668,B409,'Page-Keyword Map'!$E$2:$E$668,"Nationwide")</f>
        <v>0</v>
      </c>
      <c r="V409" s="15" t="n">
        <f aca="false">COUNTIFS('Page-Keyword Map'!$A$2:$A$668,B409,'Page-Keyword Map'!$E$2:$E$668,"Provincial")</f>
        <v>0</v>
      </c>
      <c r="W409" s="15" t="n">
        <f aca="false">COUNTIFS('Page-Keyword Map'!$A$2:$A$668,B409,'Page-Keyword Map'!$E$2:$E$668,"City")</f>
        <v>1</v>
      </c>
      <c r="X409" s="15" t="str">
        <f aca="false">IF(O409="","",IF(ISNUMBER(SEARCH(O409,J409)),"Yes","No"))</f>
        <v>Yes</v>
      </c>
      <c r="Y409" s="15" t="n">
        <v>0.5</v>
      </c>
      <c r="Z409" s="15" t="s">
        <v>2089</v>
      </c>
      <c r="AA409" s="15" t="s">
        <v>131</v>
      </c>
      <c r="AB409" s="17"/>
      <c r="AC409" s="17"/>
    </row>
    <row r="410" customFormat="false" ht="23.85" hidden="false" customHeight="false" outlineLevel="0" collapsed="false">
      <c r="A410" s="15" t="s">
        <v>2662</v>
      </c>
      <c r="B410" s="15" t="s">
        <v>2663</v>
      </c>
      <c r="C410" s="15" t="s">
        <v>2076</v>
      </c>
      <c r="D410" s="15" t="s">
        <v>82</v>
      </c>
      <c r="E410" s="15" t="s">
        <v>265</v>
      </c>
      <c r="F410" s="15"/>
      <c r="G410" s="15" t="s">
        <v>715</v>
      </c>
      <c r="H410" s="15" t="s">
        <v>2288</v>
      </c>
      <c r="I410" s="15" t="s">
        <v>126</v>
      </c>
      <c r="J410" s="3" t="s">
        <v>2664</v>
      </c>
      <c r="K410" s="15" t="n">
        <f aca="false">LEN(J410)</f>
        <v>58</v>
      </c>
      <c r="L410" s="3" t="s">
        <v>2665</v>
      </c>
      <c r="M410" s="15" t="n">
        <f aca="false">LEN(L410)</f>
        <v>133</v>
      </c>
      <c r="N410" s="3" t="s">
        <v>2666</v>
      </c>
      <c r="O410" s="15" t="s">
        <v>2667</v>
      </c>
      <c r="P410" s="16" t="n">
        <v>560</v>
      </c>
      <c r="Q410" s="15" t="s">
        <v>104</v>
      </c>
      <c r="R410" s="15"/>
      <c r="S410" s="15" t="n">
        <f aca="false">COUNTIF('Page-Keyword Map'!$A$2:$A$668,B410)</f>
        <v>3</v>
      </c>
      <c r="T410" s="16" t="n">
        <f aca="false">SUMIF('Page-Keyword Map'!$A$2:$A$668,B410,'Page-Keyword Map'!$H$2:$H$668)</f>
        <v>860</v>
      </c>
      <c r="U410" s="15" t="n">
        <f aca="false">COUNTIFS('Page-Keyword Map'!$A$2:$A$668,B410,'Page-Keyword Map'!$E$2:$E$668,"Nationwide")</f>
        <v>0</v>
      </c>
      <c r="V410" s="15" t="n">
        <f aca="false">COUNTIFS('Page-Keyword Map'!$A$2:$A$668,B410,'Page-Keyword Map'!$E$2:$E$668,"Provincial")</f>
        <v>0</v>
      </c>
      <c r="W410" s="15" t="n">
        <f aca="false">COUNTIFS('Page-Keyword Map'!$A$2:$A$668,B410,'Page-Keyword Map'!$E$2:$E$668,"City")</f>
        <v>3</v>
      </c>
      <c r="X410" s="15" t="str">
        <f aca="false">IF(O410="","",IF(ISNUMBER(SEARCH(O410,J410)),"Yes","No"))</f>
        <v>Yes</v>
      </c>
      <c r="Y410" s="15" t="n">
        <v>0.7</v>
      </c>
      <c r="Z410" s="15" t="s">
        <v>2089</v>
      </c>
      <c r="AA410" s="15" t="s">
        <v>131</v>
      </c>
      <c r="AB410" s="17"/>
      <c r="AC410" s="17"/>
    </row>
    <row r="411" customFormat="false" ht="23.85" hidden="false" customHeight="false" outlineLevel="0" collapsed="false">
      <c r="A411" s="15" t="s">
        <v>2668</v>
      </c>
      <c r="B411" s="15" t="s">
        <v>2669</v>
      </c>
      <c r="C411" s="15" t="s">
        <v>2076</v>
      </c>
      <c r="D411" s="15" t="s">
        <v>82</v>
      </c>
      <c r="E411" s="15" t="s">
        <v>265</v>
      </c>
      <c r="F411" s="15"/>
      <c r="G411" s="15" t="s">
        <v>715</v>
      </c>
      <c r="H411" s="15" t="s">
        <v>2295</v>
      </c>
      <c r="I411" s="15" t="s">
        <v>126</v>
      </c>
      <c r="J411" s="3" t="s">
        <v>2670</v>
      </c>
      <c r="K411" s="15" t="n">
        <f aca="false">LEN(J411)</f>
        <v>55</v>
      </c>
      <c r="L411" s="3" t="s">
        <v>2671</v>
      </c>
      <c r="M411" s="15" t="n">
        <f aca="false">LEN(L411)</f>
        <v>130</v>
      </c>
      <c r="N411" s="3" t="s">
        <v>2672</v>
      </c>
      <c r="O411" s="15" t="s">
        <v>2673</v>
      </c>
      <c r="P411" s="16" t="n">
        <v>830</v>
      </c>
      <c r="Q411" s="15" t="s">
        <v>104</v>
      </c>
      <c r="R411" s="15"/>
      <c r="S411" s="15" t="n">
        <f aca="false">COUNTIF('Page-Keyword Map'!$A$2:$A$668,B411)</f>
        <v>3</v>
      </c>
      <c r="T411" s="16" t="n">
        <f aca="false">SUMIF('Page-Keyword Map'!$A$2:$A$668,B411,'Page-Keyword Map'!$H$2:$H$668)</f>
        <v>1290</v>
      </c>
      <c r="U411" s="15" t="n">
        <f aca="false">COUNTIFS('Page-Keyword Map'!$A$2:$A$668,B411,'Page-Keyword Map'!$E$2:$E$668,"Nationwide")</f>
        <v>0</v>
      </c>
      <c r="V411" s="15" t="n">
        <f aca="false">COUNTIFS('Page-Keyword Map'!$A$2:$A$668,B411,'Page-Keyword Map'!$E$2:$E$668,"Provincial")</f>
        <v>0</v>
      </c>
      <c r="W411" s="15" t="n">
        <f aca="false">COUNTIFS('Page-Keyword Map'!$A$2:$A$668,B411,'Page-Keyword Map'!$E$2:$E$668,"City")</f>
        <v>3</v>
      </c>
      <c r="X411" s="15" t="str">
        <f aca="false">IF(O411="","",IF(ISNUMBER(SEARCH(O411,J411)),"Yes","No"))</f>
        <v>No</v>
      </c>
      <c r="Y411" s="15" t="n">
        <v>0.7</v>
      </c>
      <c r="Z411" s="15" t="s">
        <v>2089</v>
      </c>
      <c r="AA411" s="15" t="s">
        <v>131</v>
      </c>
      <c r="AB411" s="17"/>
      <c r="AC411" s="17"/>
    </row>
    <row r="412" customFormat="false" ht="23.85" hidden="false" customHeight="false" outlineLevel="0" collapsed="false">
      <c r="A412" s="15" t="s">
        <v>2674</v>
      </c>
      <c r="B412" s="15" t="s">
        <v>2675</v>
      </c>
      <c r="C412" s="15" t="s">
        <v>2076</v>
      </c>
      <c r="D412" s="15" t="s">
        <v>82</v>
      </c>
      <c r="E412" s="15" t="s">
        <v>265</v>
      </c>
      <c r="F412" s="15"/>
      <c r="G412" s="15" t="s">
        <v>715</v>
      </c>
      <c r="H412" s="15" t="s">
        <v>2302</v>
      </c>
      <c r="I412" s="15" t="s">
        <v>126</v>
      </c>
      <c r="J412" s="3" t="s">
        <v>2676</v>
      </c>
      <c r="K412" s="15" t="n">
        <f aca="false">LEN(J412)</f>
        <v>56</v>
      </c>
      <c r="L412" s="3" t="s">
        <v>2677</v>
      </c>
      <c r="M412" s="15" t="n">
        <f aca="false">LEN(L412)</f>
        <v>131</v>
      </c>
      <c r="N412" s="3" t="s">
        <v>2678</v>
      </c>
      <c r="O412" s="15" t="s">
        <v>2679</v>
      </c>
      <c r="P412" s="16" t="n">
        <v>1200</v>
      </c>
      <c r="Q412" s="15" t="s">
        <v>104</v>
      </c>
      <c r="R412" s="15"/>
      <c r="S412" s="15" t="n">
        <f aca="false">COUNTIF('Page-Keyword Map'!$A$2:$A$668,B412)</f>
        <v>3</v>
      </c>
      <c r="T412" s="16" t="n">
        <f aca="false">SUMIF('Page-Keyword Map'!$A$2:$A$668,B412,'Page-Keyword Map'!$H$2:$H$668)</f>
        <v>1870</v>
      </c>
      <c r="U412" s="15" t="n">
        <f aca="false">COUNTIFS('Page-Keyword Map'!$A$2:$A$668,B412,'Page-Keyword Map'!$E$2:$E$668,"Nationwide")</f>
        <v>0</v>
      </c>
      <c r="V412" s="15" t="n">
        <f aca="false">COUNTIFS('Page-Keyword Map'!$A$2:$A$668,B412,'Page-Keyword Map'!$E$2:$E$668,"Provincial")</f>
        <v>0</v>
      </c>
      <c r="W412" s="15" t="n">
        <f aca="false">COUNTIFS('Page-Keyword Map'!$A$2:$A$668,B412,'Page-Keyword Map'!$E$2:$E$668,"City")</f>
        <v>3</v>
      </c>
      <c r="X412" s="15" t="str">
        <f aca="false">IF(O412="","",IF(ISNUMBER(SEARCH(O412,J412)),"Yes","No"))</f>
        <v>Yes</v>
      </c>
      <c r="Y412" s="15" t="n">
        <v>0.7</v>
      </c>
      <c r="Z412" s="15" t="s">
        <v>2089</v>
      </c>
      <c r="AA412" s="15" t="s">
        <v>131</v>
      </c>
      <c r="AB412" s="17"/>
      <c r="AC412" s="17"/>
    </row>
    <row r="413" customFormat="false" ht="23.85" hidden="false" customHeight="false" outlineLevel="0" collapsed="false">
      <c r="A413" s="15" t="s">
        <v>2680</v>
      </c>
      <c r="B413" s="15" t="s">
        <v>2681</v>
      </c>
      <c r="C413" s="15" t="s">
        <v>2076</v>
      </c>
      <c r="D413" s="15" t="s">
        <v>82</v>
      </c>
      <c r="E413" s="15" t="s">
        <v>265</v>
      </c>
      <c r="F413" s="15"/>
      <c r="G413" s="15" t="s">
        <v>715</v>
      </c>
      <c r="H413" s="15" t="s">
        <v>2309</v>
      </c>
      <c r="I413" s="15" t="s">
        <v>211</v>
      </c>
      <c r="J413" s="3" t="s">
        <v>2682</v>
      </c>
      <c r="K413" s="15" t="n">
        <f aca="false">LEN(J413)</f>
        <v>55</v>
      </c>
      <c r="L413" s="3" t="s">
        <v>2683</v>
      </c>
      <c r="M413" s="15" t="n">
        <f aca="false">LEN(L413)</f>
        <v>130</v>
      </c>
      <c r="N413" s="3" t="s">
        <v>2684</v>
      </c>
      <c r="O413" s="15" t="s">
        <v>2685</v>
      </c>
      <c r="P413" s="16" t="n">
        <v>440</v>
      </c>
      <c r="Q413" s="15" t="s">
        <v>104</v>
      </c>
      <c r="R413" s="15"/>
      <c r="S413" s="15" t="n">
        <f aca="false">COUNTIF('Page-Keyword Map'!$A$2:$A$668,B413)</f>
        <v>1</v>
      </c>
      <c r="T413" s="16" t="n">
        <f aca="false">SUMIF('Page-Keyword Map'!$A$2:$A$668,B413,'Page-Keyword Map'!$H$2:$H$668)</f>
        <v>440</v>
      </c>
      <c r="U413" s="15" t="n">
        <f aca="false">COUNTIFS('Page-Keyword Map'!$A$2:$A$668,B413,'Page-Keyword Map'!$E$2:$E$668,"Nationwide")</f>
        <v>0</v>
      </c>
      <c r="V413" s="15" t="n">
        <f aca="false">COUNTIFS('Page-Keyword Map'!$A$2:$A$668,B413,'Page-Keyword Map'!$E$2:$E$668,"Provincial")</f>
        <v>0</v>
      </c>
      <c r="W413" s="15" t="n">
        <f aca="false">COUNTIFS('Page-Keyword Map'!$A$2:$A$668,B413,'Page-Keyword Map'!$E$2:$E$668,"City")</f>
        <v>1</v>
      </c>
      <c r="X413" s="15" t="str">
        <f aca="false">IF(O413="","",IF(ISNUMBER(SEARCH(O413,J413)),"Yes","No"))</f>
        <v>Yes</v>
      </c>
      <c r="Y413" s="15" t="n">
        <v>0.5</v>
      </c>
      <c r="Z413" s="15" t="s">
        <v>216</v>
      </c>
      <c r="AA413" s="15" t="s">
        <v>217</v>
      </c>
      <c r="AB413" s="17"/>
      <c r="AC413" s="17"/>
    </row>
    <row r="414" customFormat="false" ht="23.85" hidden="false" customHeight="false" outlineLevel="0" collapsed="false">
      <c r="A414" s="15" t="s">
        <v>2686</v>
      </c>
      <c r="B414" s="15" t="s">
        <v>2687</v>
      </c>
      <c r="C414" s="15" t="s">
        <v>2076</v>
      </c>
      <c r="D414" s="15" t="s">
        <v>82</v>
      </c>
      <c r="E414" s="15" t="s">
        <v>265</v>
      </c>
      <c r="F414" s="15"/>
      <c r="G414" s="15" t="s">
        <v>715</v>
      </c>
      <c r="H414" s="15" t="s">
        <v>2316</v>
      </c>
      <c r="I414" s="15" t="s">
        <v>126</v>
      </c>
      <c r="J414" s="3" t="s">
        <v>2688</v>
      </c>
      <c r="K414" s="15" t="n">
        <f aca="false">LEN(J414)</f>
        <v>60</v>
      </c>
      <c r="L414" s="3" t="s">
        <v>2689</v>
      </c>
      <c r="M414" s="15" t="n">
        <f aca="false">LEN(L414)</f>
        <v>135</v>
      </c>
      <c r="N414" s="3" t="s">
        <v>2690</v>
      </c>
      <c r="O414" s="15" t="s">
        <v>2691</v>
      </c>
      <c r="P414" s="16" t="n">
        <v>2400</v>
      </c>
      <c r="Q414" s="15" t="s">
        <v>104</v>
      </c>
      <c r="R414" s="15"/>
      <c r="S414" s="15" t="n">
        <f aca="false">COUNTIF('Page-Keyword Map'!$A$2:$A$668,B414)</f>
        <v>3</v>
      </c>
      <c r="T414" s="16" t="n">
        <f aca="false">SUMIF('Page-Keyword Map'!$A$2:$A$668,B414,'Page-Keyword Map'!$H$2:$H$668)</f>
        <v>3720</v>
      </c>
      <c r="U414" s="15" t="n">
        <f aca="false">COUNTIFS('Page-Keyword Map'!$A$2:$A$668,B414,'Page-Keyword Map'!$E$2:$E$668,"Nationwide")</f>
        <v>0</v>
      </c>
      <c r="V414" s="15" t="n">
        <f aca="false">COUNTIFS('Page-Keyword Map'!$A$2:$A$668,B414,'Page-Keyword Map'!$E$2:$E$668,"Provincial")</f>
        <v>0</v>
      </c>
      <c r="W414" s="15" t="n">
        <f aca="false">COUNTIFS('Page-Keyword Map'!$A$2:$A$668,B414,'Page-Keyword Map'!$E$2:$E$668,"City")</f>
        <v>3</v>
      </c>
      <c r="X414" s="15" t="str">
        <f aca="false">IF(O414="","",IF(ISNUMBER(SEARCH(O414,J414)),"Yes","No"))</f>
        <v>Yes</v>
      </c>
      <c r="Y414" s="15" t="n">
        <v>0.7</v>
      </c>
      <c r="Z414" s="15" t="s">
        <v>2089</v>
      </c>
      <c r="AA414" s="15" t="s">
        <v>131</v>
      </c>
      <c r="AB414" s="17"/>
      <c r="AC414" s="17"/>
    </row>
    <row r="415" customFormat="false" ht="23.85" hidden="false" customHeight="false" outlineLevel="0" collapsed="false">
      <c r="A415" s="15" t="s">
        <v>2692</v>
      </c>
      <c r="B415" s="15" t="s">
        <v>2693</v>
      </c>
      <c r="C415" s="15" t="s">
        <v>2076</v>
      </c>
      <c r="D415" s="15" t="s">
        <v>82</v>
      </c>
      <c r="E415" s="15" t="s">
        <v>265</v>
      </c>
      <c r="F415" s="15"/>
      <c r="G415" s="15" t="s">
        <v>715</v>
      </c>
      <c r="H415" s="15" t="s">
        <v>2323</v>
      </c>
      <c r="I415" s="15" t="s">
        <v>126</v>
      </c>
      <c r="J415" s="3" t="s">
        <v>2694</v>
      </c>
      <c r="K415" s="15" t="n">
        <f aca="false">LEN(J415)</f>
        <v>57</v>
      </c>
      <c r="L415" s="3" t="s">
        <v>2695</v>
      </c>
      <c r="M415" s="15" t="n">
        <f aca="false">LEN(L415)</f>
        <v>132</v>
      </c>
      <c r="N415" s="3" t="s">
        <v>2696</v>
      </c>
      <c r="O415" s="15" t="s">
        <v>2697</v>
      </c>
      <c r="P415" s="16" t="n">
        <v>650</v>
      </c>
      <c r="Q415" s="15" t="s">
        <v>104</v>
      </c>
      <c r="R415" s="15"/>
      <c r="S415" s="15" t="n">
        <f aca="false">COUNTIF('Page-Keyword Map'!$A$2:$A$668,B415)</f>
        <v>1</v>
      </c>
      <c r="T415" s="16" t="n">
        <f aca="false">SUMIF('Page-Keyword Map'!$A$2:$A$668,B415,'Page-Keyword Map'!$H$2:$H$668)</f>
        <v>650</v>
      </c>
      <c r="U415" s="15" t="n">
        <f aca="false">COUNTIFS('Page-Keyword Map'!$A$2:$A$668,B415,'Page-Keyword Map'!$E$2:$E$668,"Nationwide")</f>
        <v>0</v>
      </c>
      <c r="V415" s="15" t="n">
        <f aca="false">COUNTIFS('Page-Keyword Map'!$A$2:$A$668,B415,'Page-Keyword Map'!$E$2:$E$668,"Provincial")</f>
        <v>0</v>
      </c>
      <c r="W415" s="15" t="n">
        <f aca="false">COUNTIFS('Page-Keyword Map'!$A$2:$A$668,B415,'Page-Keyword Map'!$E$2:$E$668,"City")</f>
        <v>1</v>
      </c>
      <c r="X415" s="15" t="str">
        <f aca="false">IF(O415="","",IF(ISNUMBER(SEARCH(O415,J415)),"Yes","No"))</f>
        <v>Yes</v>
      </c>
      <c r="Y415" s="15" t="n">
        <v>0.5</v>
      </c>
      <c r="Z415" s="15" t="s">
        <v>2089</v>
      </c>
      <c r="AA415" s="15" t="s">
        <v>131</v>
      </c>
      <c r="AB415" s="17"/>
      <c r="AC415" s="17"/>
    </row>
    <row r="416" customFormat="false" ht="23.85" hidden="false" customHeight="false" outlineLevel="0" collapsed="false">
      <c r="A416" s="15" t="s">
        <v>2698</v>
      </c>
      <c r="B416" s="15" t="s">
        <v>2699</v>
      </c>
      <c r="C416" s="15" t="s">
        <v>2076</v>
      </c>
      <c r="D416" s="15" t="s">
        <v>82</v>
      </c>
      <c r="E416" s="15" t="s">
        <v>265</v>
      </c>
      <c r="F416" s="15"/>
      <c r="G416" s="15" t="s">
        <v>715</v>
      </c>
      <c r="H416" s="15" t="s">
        <v>2330</v>
      </c>
      <c r="I416" s="15" t="s">
        <v>126</v>
      </c>
      <c r="J416" s="3" t="s">
        <v>2700</v>
      </c>
      <c r="K416" s="15" t="n">
        <f aca="false">LEN(J416)</f>
        <v>55</v>
      </c>
      <c r="L416" s="3" t="s">
        <v>2701</v>
      </c>
      <c r="M416" s="15" t="n">
        <f aca="false">LEN(L416)</f>
        <v>130</v>
      </c>
      <c r="N416" s="3" t="s">
        <v>2702</v>
      </c>
      <c r="O416" s="15" t="s">
        <v>2703</v>
      </c>
      <c r="P416" s="16" t="n">
        <v>610</v>
      </c>
      <c r="Q416" s="15" t="s">
        <v>104</v>
      </c>
      <c r="R416" s="15"/>
      <c r="S416" s="15" t="n">
        <f aca="false">COUNTIF('Page-Keyword Map'!$A$2:$A$668,B416)</f>
        <v>1</v>
      </c>
      <c r="T416" s="16" t="n">
        <f aca="false">SUMIF('Page-Keyword Map'!$A$2:$A$668,B416,'Page-Keyword Map'!$H$2:$H$668)</f>
        <v>610</v>
      </c>
      <c r="U416" s="15" t="n">
        <f aca="false">COUNTIFS('Page-Keyword Map'!$A$2:$A$668,B416,'Page-Keyword Map'!$E$2:$E$668,"Nationwide")</f>
        <v>0</v>
      </c>
      <c r="V416" s="15" t="n">
        <f aca="false">COUNTIFS('Page-Keyword Map'!$A$2:$A$668,B416,'Page-Keyword Map'!$E$2:$E$668,"Provincial")</f>
        <v>0</v>
      </c>
      <c r="W416" s="15" t="n">
        <f aca="false">COUNTIFS('Page-Keyword Map'!$A$2:$A$668,B416,'Page-Keyword Map'!$E$2:$E$668,"City")</f>
        <v>1</v>
      </c>
      <c r="X416" s="15" t="str">
        <f aca="false">IF(O416="","",IF(ISNUMBER(SEARCH(O416,J416)),"Yes","No"))</f>
        <v>Yes</v>
      </c>
      <c r="Y416" s="15" t="n">
        <v>0.5</v>
      </c>
      <c r="Z416" s="15" t="s">
        <v>2089</v>
      </c>
      <c r="AA416" s="15" t="s">
        <v>131</v>
      </c>
      <c r="AB416" s="17"/>
      <c r="AC416" s="17"/>
    </row>
    <row r="417" customFormat="false" ht="23.85" hidden="false" customHeight="false" outlineLevel="0" collapsed="false">
      <c r="A417" s="15" t="s">
        <v>2704</v>
      </c>
      <c r="B417" s="15" t="s">
        <v>2705</v>
      </c>
      <c r="C417" s="15" t="s">
        <v>2076</v>
      </c>
      <c r="D417" s="15" t="s">
        <v>82</v>
      </c>
      <c r="E417" s="15" t="s">
        <v>265</v>
      </c>
      <c r="F417" s="15"/>
      <c r="G417" s="15" t="s">
        <v>715</v>
      </c>
      <c r="H417" s="15" t="s">
        <v>2337</v>
      </c>
      <c r="I417" s="15" t="s">
        <v>126</v>
      </c>
      <c r="J417" s="3" t="s">
        <v>2706</v>
      </c>
      <c r="K417" s="15" t="n">
        <f aca="false">LEN(J417)</f>
        <v>55</v>
      </c>
      <c r="L417" s="3" t="s">
        <v>2707</v>
      </c>
      <c r="M417" s="15" t="n">
        <f aca="false">LEN(L417)</f>
        <v>130</v>
      </c>
      <c r="N417" s="3" t="s">
        <v>2708</v>
      </c>
      <c r="O417" s="15" t="s">
        <v>2709</v>
      </c>
      <c r="P417" s="16" t="n">
        <v>1600</v>
      </c>
      <c r="Q417" s="15" t="s">
        <v>104</v>
      </c>
      <c r="R417" s="15"/>
      <c r="S417" s="15" t="n">
        <f aca="false">COUNTIF('Page-Keyword Map'!$A$2:$A$668,B417)</f>
        <v>3</v>
      </c>
      <c r="T417" s="16" t="n">
        <f aca="false">SUMIF('Page-Keyword Map'!$A$2:$A$668,B417,'Page-Keyword Map'!$H$2:$H$668)</f>
        <v>2510</v>
      </c>
      <c r="U417" s="15" t="n">
        <f aca="false">COUNTIFS('Page-Keyword Map'!$A$2:$A$668,B417,'Page-Keyword Map'!$E$2:$E$668,"Nationwide")</f>
        <v>0</v>
      </c>
      <c r="V417" s="15" t="n">
        <f aca="false">COUNTIFS('Page-Keyword Map'!$A$2:$A$668,B417,'Page-Keyword Map'!$E$2:$E$668,"Provincial")</f>
        <v>0</v>
      </c>
      <c r="W417" s="15" t="n">
        <f aca="false">COUNTIFS('Page-Keyword Map'!$A$2:$A$668,B417,'Page-Keyword Map'!$E$2:$E$668,"City")</f>
        <v>3</v>
      </c>
      <c r="X417" s="15" t="str">
        <f aca="false">IF(O417="","",IF(ISNUMBER(SEARCH(O417,J417)),"Yes","No"))</f>
        <v>Yes</v>
      </c>
      <c r="Y417" s="15" t="n">
        <v>0.7</v>
      </c>
      <c r="Z417" s="15" t="s">
        <v>2089</v>
      </c>
      <c r="AA417" s="15" t="s">
        <v>131</v>
      </c>
      <c r="AB417" s="17"/>
      <c r="AC417" s="17"/>
    </row>
    <row r="418" customFormat="false" ht="23.85" hidden="false" customHeight="false" outlineLevel="0" collapsed="false">
      <c r="A418" s="15" t="s">
        <v>2710</v>
      </c>
      <c r="B418" s="15" t="s">
        <v>2711</v>
      </c>
      <c r="C418" s="15" t="s">
        <v>2076</v>
      </c>
      <c r="D418" s="15" t="s">
        <v>82</v>
      </c>
      <c r="E418" s="15" t="s">
        <v>265</v>
      </c>
      <c r="F418" s="15"/>
      <c r="G418" s="15" t="s">
        <v>715</v>
      </c>
      <c r="H418" s="15" t="s">
        <v>2344</v>
      </c>
      <c r="I418" s="15" t="s">
        <v>211</v>
      </c>
      <c r="J418" s="3" t="s">
        <v>2712</v>
      </c>
      <c r="K418" s="15" t="n">
        <f aca="false">LEN(J418)</f>
        <v>58</v>
      </c>
      <c r="L418" s="3" t="s">
        <v>2713</v>
      </c>
      <c r="M418" s="15" t="n">
        <f aca="false">LEN(L418)</f>
        <v>133</v>
      </c>
      <c r="N418" s="3" t="s">
        <v>2714</v>
      </c>
      <c r="O418" s="15" t="s">
        <v>2715</v>
      </c>
      <c r="P418" s="16" t="n">
        <v>400</v>
      </c>
      <c r="Q418" s="15" t="s">
        <v>104</v>
      </c>
      <c r="R418" s="15"/>
      <c r="S418" s="15" t="n">
        <f aca="false">COUNTIF('Page-Keyword Map'!$A$2:$A$668,B418)</f>
        <v>1</v>
      </c>
      <c r="T418" s="16" t="n">
        <f aca="false">SUMIF('Page-Keyword Map'!$A$2:$A$668,B418,'Page-Keyword Map'!$H$2:$H$668)</f>
        <v>400</v>
      </c>
      <c r="U418" s="15" t="n">
        <f aca="false">COUNTIFS('Page-Keyword Map'!$A$2:$A$668,B418,'Page-Keyword Map'!$E$2:$E$668,"Nationwide")</f>
        <v>0</v>
      </c>
      <c r="V418" s="15" t="n">
        <f aca="false">COUNTIFS('Page-Keyword Map'!$A$2:$A$668,B418,'Page-Keyword Map'!$E$2:$E$668,"Provincial")</f>
        <v>0</v>
      </c>
      <c r="W418" s="15" t="n">
        <f aca="false">COUNTIFS('Page-Keyword Map'!$A$2:$A$668,B418,'Page-Keyword Map'!$E$2:$E$668,"City")</f>
        <v>1</v>
      </c>
      <c r="X418" s="15" t="str">
        <f aca="false">IF(O418="","",IF(ISNUMBER(SEARCH(O418,J418)),"Yes","No"))</f>
        <v>Yes</v>
      </c>
      <c r="Y418" s="15" t="n">
        <v>0.5</v>
      </c>
      <c r="Z418" s="15" t="s">
        <v>216</v>
      </c>
      <c r="AA418" s="15" t="s">
        <v>217</v>
      </c>
      <c r="AB418" s="17"/>
      <c r="AC418" s="17"/>
    </row>
    <row r="419" customFormat="false" ht="23.85" hidden="false" customHeight="false" outlineLevel="0" collapsed="false">
      <c r="A419" s="15" t="s">
        <v>2716</v>
      </c>
      <c r="B419" s="15" t="s">
        <v>2717</v>
      </c>
      <c r="C419" s="15" t="s">
        <v>2076</v>
      </c>
      <c r="D419" s="15" t="s">
        <v>82</v>
      </c>
      <c r="E419" s="15" t="s">
        <v>265</v>
      </c>
      <c r="F419" s="15"/>
      <c r="G419" s="15" t="s">
        <v>715</v>
      </c>
      <c r="H419" s="15" t="s">
        <v>2351</v>
      </c>
      <c r="I419" s="15" t="s">
        <v>126</v>
      </c>
      <c r="J419" s="3" t="s">
        <v>2718</v>
      </c>
      <c r="K419" s="15" t="n">
        <f aca="false">LEN(J419)</f>
        <v>62</v>
      </c>
      <c r="L419" s="3" t="s">
        <v>2719</v>
      </c>
      <c r="M419" s="15" t="n">
        <f aca="false">LEN(L419)</f>
        <v>137</v>
      </c>
      <c r="N419" s="3" t="s">
        <v>2720</v>
      </c>
      <c r="O419" s="15" t="s">
        <v>2721</v>
      </c>
      <c r="P419" s="16" t="n">
        <v>850</v>
      </c>
      <c r="Q419" s="15" t="s">
        <v>104</v>
      </c>
      <c r="R419" s="15"/>
      <c r="S419" s="15" t="n">
        <f aca="false">COUNTIF('Page-Keyword Map'!$A$2:$A$668,B419)</f>
        <v>1</v>
      </c>
      <c r="T419" s="16" t="n">
        <f aca="false">SUMIF('Page-Keyword Map'!$A$2:$A$668,B419,'Page-Keyword Map'!$H$2:$H$668)</f>
        <v>850</v>
      </c>
      <c r="U419" s="15" t="n">
        <f aca="false">COUNTIFS('Page-Keyword Map'!$A$2:$A$668,B419,'Page-Keyword Map'!$E$2:$E$668,"Nationwide")</f>
        <v>0</v>
      </c>
      <c r="V419" s="15" t="n">
        <f aca="false">COUNTIFS('Page-Keyword Map'!$A$2:$A$668,B419,'Page-Keyword Map'!$E$2:$E$668,"Provincial")</f>
        <v>0</v>
      </c>
      <c r="W419" s="15" t="n">
        <f aca="false">COUNTIFS('Page-Keyword Map'!$A$2:$A$668,B419,'Page-Keyword Map'!$E$2:$E$668,"City")</f>
        <v>1</v>
      </c>
      <c r="X419" s="15" t="str">
        <f aca="false">IF(O419="","",IF(ISNUMBER(SEARCH(O419,J419)),"Yes","No"))</f>
        <v>Yes</v>
      </c>
      <c r="Y419" s="15" t="n">
        <v>0.5</v>
      </c>
      <c r="Z419" s="15" t="s">
        <v>2089</v>
      </c>
      <c r="AA419" s="15" t="s">
        <v>131</v>
      </c>
      <c r="AB419" s="17"/>
      <c r="AC419" s="17"/>
    </row>
    <row r="420" customFormat="false" ht="23.85" hidden="false" customHeight="false" outlineLevel="0" collapsed="false">
      <c r="A420" s="15" t="s">
        <v>2722</v>
      </c>
      <c r="B420" s="15" t="s">
        <v>2723</v>
      </c>
      <c r="C420" s="15" t="s">
        <v>2076</v>
      </c>
      <c r="D420" s="15" t="s">
        <v>82</v>
      </c>
      <c r="E420" s="15" t="s">
        <v>265</v>
      </c>
      <c r="F420" s="15"/>
      <c r="G420" s="15" t="s">
        <v>715</v>
      </c>
      <c r="H420" s="15" t="s">
        <v>2358</v>
      </c>
      <c r="I420" s="15" t="s">
        <v>126</v>
      </c>
      <c r="J420" s="3" t="s">
        <v>2724</v>
      </c>
      <c r="K420" s="15" t="n">
        <f aca="false">LEN(J420)</f>
        <v>63</v>
      </c>
      <c r="L420" s="3" t="s">
        <v>2725</v>
      </c>
      <c r="M420" s="15" t="n">
        <f aca="false">LEN(L420)</f>
        <v>138</v>
      </c>
      <c r="N420" s="3" t="s">
        <v>2726</v>
      </c>
      <c r="O420" s="15" t="s">
        <v>2727</v>
      </c>
      <c r="P420" s="16" t="n">
        <v>360</v>
      </c>
      <c r="Q420" s="15" t="s">
        <v>104</v>
      </c>
      <c r="R420" s="15"/>
      <c r="S420" s="15" t="n">
        <f aca="false">COUNTIF('Page-Keyword Map'!$A$2:$A$668,B420)</f>
        <v>1</v>
      </c>
      <c r="T420" s="16" t="n">
        <f aca="false">SUMIF('Page-Keyword Map'!$A$2:$A$668,B420,'Page-Keyword Map'!$H$2:$H$668)</f>
        <v>360</v>
      </c>
      <c r="U420" s="15" t="n">
        <f aca="false">COUNTIFS('Page-Keyword Map'!$A$2:$A$668,B420,'Page-Keyword Map'!$E$2:$E$668,"Nationwide")</f>
        <v>0</v>
      </c>
      <c r="V420" s="15" t="n">
        <f aca="false">COUNTIFS('Page-Keyword Map'!$A$2:$A$668,B420,'Page-Keyword Map'!$E$2:$E$668,"Provincial")</f>
        <v>0</v>
      </c>
      <c r="W420" s="15" t="n">
        <f aca="false">COUNTIFS('Page-Keyword Map'!$A$2:$A$668,B420,'Page-Keyword Map'!$E$2:$E$668,"City")</f>
        <v>1</v>
      </c>
      <c r="X420" s="15" t="str">
        <f aca="false">IF(O420="","",IF(ISNUMBER(SEARCH(O420,J420)),"Yes","No"))</f>
        <v>No</v>
      </c>
      <c r="Y420" s="15" t="n">
        <v>0.5</v>
      </c>
      <c r="Z420" s="15" t="s">
        <v>2089</v>
      </c>
      <c r="AA420" s="15" t="s">
        <v>131</v>
      </c>
      <c r="AB420" s="17"/>
      <c r="AC420" s="17"/>
    </row>
    <row r="421" customFormat="false" ht="23.85" hidden="false" customHeight="false" outlineLevel="0" collapsed="false">
      <c r="A421" s="15" t="s">
        <v>2728</v>
      </c>
      <c r="B421" s="15" t="s">
        <v>2729</v>
      </c>
      <c r="C421" s="15" t="s">
        <v>2076</v>
      </c>
      <c r="D421" s="15" t="s">
        <v>82</v>
      </c>
      <c r="E421" s="15" t="s">
        <v>265</v>
      </c>
      <c r="F421" s="15"/>
      <c r="G421" s="15" t="s">
        <v>715</v>
      </c>
      <c r="H421" s="15" t="s">
        <v>2365</v>
      </c>
      <c r="I421" s="15" t="s">
        <v>211</v>
      </c>
      <c r="J421" s="3" t="s">
        <v>2730</v>
      </c>
      <c r="K421" s="15" t="n">
        <f aca="false">LEN(J421)</f>
        <v>56</v>
      </c>
      <c r="L421" s="3" t="s">
        <v>2731</v>
      </c>
      <c r="M421" s="15" t="n">
        <f aca="false">LEN(L421)</f>
        <v>131</v>
      </c>
      <c r="N421" s="3" t="s">
        <v>2732</v>
      </c>
      <c r="O421" s="15" t="s">
        <v>2733</v>
      </c>
      <c r="P421" s="16" t="n">
        <v>340</v>
      </c>
      <c r="Q421" s="15" t="s">
        <v>104</v>
      </c>
      <c r="R421" s="15"/>
      <c r="S421" s="15" t="n">
        <f aca="false">COUNTIF('Page-Keyword Map'!$A$2:$A$668,B421)</f>
        <v>1</v>
      </c>
      <c r="T421" s="16" t="n">
        <f aca="false">SUMIF('Page-Keyword Map'!$A$2:$A$668,B421,'Page-Keyword Map'!$H$2:$H$668)</f>
        <v>340</v>
      </c>
      <c r="U421" s="15" t="n">
        <f aca="false">COUNTIFS('Page-Keyword Map'!$A$2:$A$668,B421,'Page-Keyword Map'!$E$2:$E$668,"Nationwide")</f>
        <v>0</v>
      </c>
      <c r="V421" s="15" t="n">
        <f aca="false">COUNTIFS('Page-Keyword Map'!$A$2:$A$668,B421,'Page-Keyword Map'!$E$2:$E$668,"Provincial")</f>
        <v>0</v>
      </c>
      <c r="W421" s="15" t="n">
        <f aca="false">COUNTIFS('Page-Keyword Map'!$A$2:$A$668,B421,'Page-Keyword Map'!$E$2:$E$668,"City")</f>
        <v>1</v>
      </c>
      <c r="X421" s="15" t="str">
        <f aca="false">IF(O421="","",IF(ISNUMBER(SEARCH(O421,J421)),"Yes","No"))</f>
        <v>Yes</v>
      </c>
      <c r="Y421" s="15" t="n">
        <v>0.5</v>
      </c>
      <c r="Z421" s="15" t="s">
        <v>216</v>
      </c>
      <c r="AA421" s="15" t="s">
        <v>217</v>
      </c>
      <c r="AB421" s="17"/>
      <c r="AC421" s="17"/>
    </row>
    <row r="422" customFormat="false" ht="23.85" hidden="false" customHeight="false" outlineLevel="0" collapsed="false">
      <c r="A422" s="15" t="s">
        <v>2734</v>
      </c>
      <c r="B422" s="15" t="s">
        <v>2735</v>
      </c>
      <c r="C422" s="15" t="s">
        <v>2076</v>
      </c>
      <c r="D422" s="15" t="s">
        <v>82</v>
      </c>
      <c r="E422" s="15" t="s">
        <v>265</v>
      </c>
      <c r="F422" s="15"/>
      <c r="G422" s="15" t="s">
        <v>715</v>
      </c>
      <c r="H422" s="15" t="s">
        <v>2372</v>
      </c>
      <c r="I422" s="15" t="s">
        <v>211</v>
      </c>
      <c r="J422" s="3" t="s">
        <v>2736</v>
      </c>
      <c r="K422" s="15" t="n">
        <f aca="false">LEN(J422)</f>
        <v>60</v>
      </c>
      <c r="L422" s="3" t="s">
        <v>2737</v>
      </c>
      <c r="M422" s="15" t="n">
        <f aca="false">LEN(L422)</f>
        <v>135</v>
      </c>
      <c r="N422" s="3" t="s">
        <v>2738</v>
      </c>
      <c r="O422" s="15" t="s">
        <v>2739</v>
      </c>
      <c r="P422" s="16" t="n">
        <v>240</v>
      </c>
      <c r="Q422" s="15" t="s">
        <v>104</v>
      </c>
      <c r="R422" s="15"/>
      <c r="S422" s="15" t="n">
        <f aca="false">COUNTIF('Page-Keyword Map'!$A$2:$A$668,B422)</f>
        <v>1</v>
      </c>
      <c r="T422" s="16" t="n">
        <f aca="false">SUMIF('Page-Keyword Map'!$A$2:$A$668,B422,'Page-Keyword Map'!$H$2:$H$668)</f>
        <v>240</v>
      </c>
      <c r="U422" s="15" t="n">
        <f aca="false">COUNTIFS('Page-Keyword Map'!$A$2:$A$668,B422,'Page-Keyword Map'!$E$2:$E$668,"Nationwide")</f>
        <v>0</v>
      </c>
      <c r="V422" s="15" t="n">
        <f aca="false">COUNTIFS('Page-Keyword Map'!$A$2:$A$668,B422,'Page-Keyword Map'!$E$2:$E$668,"Provincial")</f>
        <v>0</v>
      </c>
      <c r="W422" s="15" t="n">
        <f aca="false">COUNTIFS('Page-Keyword Map'!$A$2:$A$668,B422,'Page-Keyword Map'!$E$2:$E$668,"City")</f>
        <v>1</v>
      </c>
      <c r="X422" s="15" t="str">
        <f aca="false">IF(O422="","",IF(ISNUMBER(SEARCH(O422,J422)),"Yes","No"))</f>
        <v>Yes</v>
      </c>
      <c r="Y422" s="15" t="n">
        <v>0.5</v>
      </c>
      <c r="Z422" s="15" t="s">
        <v>216</v>
      </c>
      <c r="AA422" s="15" t="s">
        <v>217</v>
      </c>
      <c r="AB422" s="17"/>
      <c r="AC422" s="17"/>
    </row>
    <row r="423" customFormat="false" ht="23.85" hidden="false" customHeight="false" outlineLevel="0" collapsed="false">
      <c r="A423" s="15" t="s">
        <v>2740</v>
      </c>
      <c r="B423" s="15" t="s">
        <v>2741</v>
      </c>
      <c r="C423" s="15" t="s">
        <v>2076</v>
      </c>
      <c r="D423" s="15" t="s">
        <v>82</v>
      </c>
      <c r="E423" s="15" t="s">
        <v>265</v>
      </c>
      <c r="F423" s="15"/>
      <c r="G423" s="15" t="s">
        <v>715</v>
      </c>
      <c r="H423" s="15" t="s">
        <v>2379</v>
      </c>
      <c r="I423" s="15" t="s">
        <v>126</v>
      </c>
      <c r="J423" s="3" t="s">
        <v>2742</v>
      </c>
      <c r="K423" s="15" t="n">
        <f aca="false">LEN(J423)</f>
        <v>56</v>
      </c>
      <c r="L423" s="3" t="s">
        <v>2743</v>
      </c>
      <c r="M423" s="15" t="n">
        <f aca="false">LEN(L423)</f>
        <v>131</v>
      </c>
      <c r="N423" s="3" t="s">
        <v>2744</v>
      </c>
      <c r="O423" s="15" t="s">
        <v>2745</v>
      </c>
      <c r="P423" s="16" t="n">
        <v>6600</v>
      </c>
      <c r="Q423" s="15" t="s">
        <v>104</v>
      </c>
      <c r="R423" s="15"/>
      <c r="S423" s="15" t="n">
        <f aca="false">COUNTIF('Page-Keyword Map'!$A$2:$A$668,B423)</f>
        <v>3</v>
      </c>
      <c r="T423" s="16" t="n">
        <f aca="false">SUMIF('Page-Keyword Map'!$A$2:$A$668,B423,'Page-Keyword Map'!$H$2:$H$668)</f>
        <v>10200</v>
      </c>
      <c r="U423" s="15" t="n">
        <f aca="false">COUNTIFS('Page-Keyword Map'!$A$2:$A$668,B423,'Page-Keyword Map'!$E$2:$E$668,"Nationwide")</f>
        <v>0</v>
      </c>
      <c r="V423" s="15" t="n">
        <f aca="false">COUNTIFS('Page-Keyword Map'!$A$2:$A$668,B423,'Page-Keyword Map'!$E$2:$E$668,"Provincial")</f>
        <v>0</v>
      </c>
      <c r="W423" s="15" t="n">
        <f aca="false">COUNTIFS('Page-Keyword Map'!$A$2:$A$668,B423,'Page-Keyword Map'!$E$2:$E$668,"City")</f>
        <v>3</v>
      </c>
      <c r="X423" s="15" t="str">
        <f aca="false">IF(O423="","",IF(ISNUMBER(SEARCH(O423,J423)),"Yes","No"))</f>
        <v>Yes</v>
      </c>
      <c r="Y423" s="15" t="n">
        <v>0.7</v>
      </c>
      <c r="Z423" s="15" t="s">
        <v>2089</v>
      </c>
      <c r="AA423" s="15" t="s">
        <v>131</v>
      </c>
      <c r="AB423" s="17"/>
      <c r="AC423" s="17"/>
    </row>
    <row r="424" customFormat="false" ht="23.85" hidden="false" customHeight="false" outlineLevel="0" collapsed="false">
      <c r="A424" s="15" t="s">
        <v>2746</v>
      </c>
      <c r="B424" s="15" t="s">
        <v>2747</v>
      </c>
      <c r="C424" s="15" t="s">
        <v>2076</v>
      </c>
      <c r="D424" s="15" t="s">
        <v>82</v>
      </c>
      <c r="E424" s="15" t="s">
        <v>265</v>
      </c>
      <c r="F424" s="15"/>
      <c r="G424" s="15" t="s">
        <v>715</v>
      </c>
      <c r="H424" s="15" t="s">
        <v>2386</v>
      </c>
      <c r="I424" s="15" t="s">
        <v>126</v>
      </c>
      <c r="J424" s="3" t="s">
        <v>2748</v>
      </c>
      <c r="K424" s="15" t="n">
        <f aca="false">LEN(J424)</f>
        <v>56</v>
      </c>
      <c r="L424" s="3" t="s">
        <v>2749</v>
      </c>
      <c r="M424" s="15" t="n">
        <f aca="false">LEN(L424)</f>
        <v>131</v>
      </c>
      <c r="N424" s="3" t="s">
        <v>2750</v>
      </c>
      <c r="O424" s="15" t="s">
        <v>2751</v>
      </c>
      <c r="P424" s="16" t="n">
        <v>1300</v>
      </c>
      <c r="Q424" s="15" t="s">
        <v>104</v>
      </c>
      <c r="R424" s="15"/>
      <c r="S424" s="15" t="n">
        <f aca="false">COUNTIF('Page-Keyword Map'!$A$2:$A$668,B424)</f>
        <v>3</v>
      </c>
      <c r="T424" s="16" t="n">
        <f aca="false">SUMIF('Page-Keyword Map'!$A$2:$A$668,B424,'Page-Keyword Map'!$H$2:$H$668)</f>
        <v>2020</v>
      </c>
      <c r="U424" s="15" t="n">
        <f aca="false">COUNTIFS('Page-Keyword Map'!$A$2:$A$668,B424,'Page-Keyword Map'!$E$2:$E$668,"Nationwide")</f>
        <v>0</v>
      </c>
      <c r="V424" s="15" t="n">
        <f aca="false">COUNTIFS('Page-Keyword Map'!$A$2:$A$668,B424,'Page-Keyword Map'!$E$2:$E$668,"Provincial")</f>
        <v>0</v>
      </c>
      <c r="W424" s="15" t="n">
        <f aca="false">COUNTIFS('Page-Keyword Map'!$A$2:$A$668,B424,'Page-Keyword Map'!$E$2:$E$668,"City")</f>
        <v>3</v>
      </c>
      <c r="X424" s="15" t="str">
        <f aca="false">IF(O424="","",IF(ISNUMBER(SEARCH(O424,J424)),"Yes","No"))</f>
        <v>Yes</v>
      </c>
      <c r="Y424" s="15" t="n">
        <v>0.7</v>
      </c>
      <c r="Z424" s="15" t="s">
        <v>2089</v>
      </c>
      <c r="AA424" s="15" t="s">
        <v>131</v>
      </c>
      <c r="AB424" s="17"/>
      <c r="AC424" s="17"/>
    </row>
    <row r="425" customFormat="false" ht="23.85" hidden="false" customHeight="false" outlineLevel="0" collapsed="false">
      <c r="A425" s="15" t="s">
        <v>2752</v>
      </c>
      <c r="B425" s="15" t="s">
        <v>2753</v>
      </c>
      <c r="C425" s="15" t="s">
        <v>2076</v>
      </c>
      <c r="D425" s="15" t="s">
        <v>82</v>
      </c>
      <c r="E425" s="15" t="s">
        <v>265</v>
      </c>
      <c r="F425" s="15"/>
      <c r="G425" s="15" t="s">
        <v>715</v>
      </c>
      <c r="H425" s="15" t="s">
        <v>2393</v>
      </c>
      <c r="I425" s="15" t="s">
        <v>126</v>
      </c>
      <c r="J425" s="3" t="s">
        <v>2754</v>
      </c>
      <c r="K425" s="15" t="n">
        <f aca="false">LEN(J425)</f>
        <v>57</v>
      </c>
      <c r="L425" s="3" t="s">
        <v>2755</v>
      </c>
      <c r="M425" s="15" t="n">
        <f aca="false">LEN(L425)</f>
        <v>132</v>
      </c>
      <c r="N425" s="3" t="s">
        <v>2756</v>
      </c>
      <c r="O425" s="15" t="s">
        <v>2757</v>
      </c>
      <c r="P425" s="16" t="n">
        <v>300</v>
      </c>
      <c r="Q425" s="15" t="s">
        <v>104</v>
      </c>
      <c r="R425" s="15"/>
      <c r="S425" s="15" t="n">
        <f aca="false">COUNTIF('Page-Keyword Map'!$A$2:$A$668,B425)</f>
        <v>1</v>
      </c>
      <c r="T425" s="16" t="n">
        <f aca="false">SUMIF('Page-Keyword Map'!$A$2:$A$668,B425,'Page-Keyword Map'!$H$2:$H$668)</f>
        <v>300</v>
      </c>
      <c r="U425" s="15" t="n">
        <f aca="false">COUNTIFS('Page-Keyword Map'!$A$2:$A$668,B425,'Page-Keyword Map'!$E$2:$E$668,"Nationwide")</f>
        <v>0</v>
      </c>
      <c r="V425" s="15" t="n">
        <f aca="false">COUNTIFS('Page-Keyword Map'!$A$2:$A$668,B425,'Page-Keyword Map'!$E$2:$E$668,"Provincial")</f>
        <v>0</v>
      </c>
      <c r="W425" s="15" t="n">
        <f aca="false">COUNTIFS('Page-Keyword Map'!$A$2:$A$668,B425,'Page-Keyword Map'!$E$2:$E$668,"City")</f>
        <v>1</v>
      </c>
      <c r="X425" s="15" t="str">
        <f aca="false">IF(O425="","",IF(ISNUMBER(SEARCH(O425,J425)),"Yes","No"))</f>
        <v>Yes</v>
      </c>
      <c r="Y425" s="15" t="n">
        <v>0.5</v>
      </c>
      <c r="Z425" s="15" t="s">
        <v>2089</v>
      </c>
      <c r="AA425" s="15" t="s">
        <v>131</v>
      </c>
      <c r="AB425" s="17"/>
      <c r="AC425" s="17"/>
    </row>
    <row r="426" customFormat="false" ht="23.85" hidden="false" customHeight="false" outlineLevel="0" collapsed="false">
      <c r="A426" s="15" t="s">
        <v>2758</v>
      </c>
      <c r="B426" s="15" t="s">
        <v>2759</v>
      </c>
      <c r="C426" s="15" t="s">
        <v>2076</v>
      </c>
      <c r="D426" s="15" t="s">
        <v>82</v>
      </c>
      <c r="E426" s="15" t="s">
        <v>265</v>
      </c>
      <c r="F426" s="15"/>
      <c r="G426" s="15" t="s">
        <v>715</v>
      </c>
      <c r="H426" s="15" t="s">
        <v>2400</v>
      </c>
      <c r="I426" s="15" t="s">
        <v>211</v>
      </c>
      <c r="J426" s="3" t="s">
        <v>2760</v>
      </c>
      <c r="K426" s="15" t="n">
        <f aca="false">LEN(J426)</f>
        <v>55</v>
      </c>
      <c r="L426" s="3" t="s">
        <v>2761</v>
      </c>
      <c r="M426" s="15" t="n">
        <f aca="false">LEN(L426)</f>
        <v>130</v>
      </c>
      <c r="N426" s="3" t="s">
        <v>2762</v>
      </c>
      <c r="O426" s="15" t="s">
        <v>2763</v>
      </c>
      <c r="P426" s="16" t="n">
        <v>490</v>
      </c>
      <c r="Q426" s="15" t="s">
        <v>104</v>
      </c>
      <c r="R426" s="15"/>
      <c r="S426" s="15" t="n">
        <f aca="false">COUNTIF('Page-Keyword Map'!$A$2:$A$668,B426)</f>
        <v>1</v>
      </c>
      <c r="T426" s="16" t="n">
        <f aca="false">SUMIF('Page-Keyword Map'!$A$2:$A$668,B426,'Page-Keyword Map'!$H$2:$H$668)</f>
        <v>490</v>
      </c>
      <c r="U426" s="15" t="n">
        <f aca="false">COUNTIFS('Page-Keyword Map'!$A$2:$A$668,B426,'Page-Keyword Map'!$E$2:$E$668,"Nationwide")</f>
        <v>0</v>
      </c>
      <c r="V426" s="15" t="n">
        <f aca="false">COUNTIFS('Page-Keyword Map'!$A$2:$A$668,B426,'Page-Keyword Map'!$E$2:$E$668,"Provincial")</f>
        <v>0</v>
      </c>
      <c r="W426" s="15" t="n">
        <f aca="false">COUNTIFS('Page-Keyword Map'!$A$2:$A$668,B426,'Page-Keyword Map'!$E$2:$E$668,"City")</f>
        <v>1</v>
      </c>
      <c r="X426" s="15" t="str">
        <f aca="false">IF(O426="","",IF(ISNUMBER(SEARCH(O426,J426)),"Yes","No"))</f>
        <v>Yes</v>
      </c>
      <c r="Y426" s="15" t="n">
        <v>0.5</v>
      </c>
      <c r="Z426" s="15" t="s">
        <v>216</v>
      </c>
      <c r="AA426" s="15" t="s">
        <v>217</v>
      </c>
      <c r="AB426" s="17"/>
      <c r="AC426" s="17"/>
    </row>
    <row r="427" customFormat="false" ht="23.85" hidden="false" customHeight="false" outlineLevel="0" collapsed="false">
      <c r="A427" s="15" t="s">
        <v>2764</v>
      </c>
      <c r="B427" s="15" t="s">
        <v>2765</v>
      </c>
      <c r="C427" s="15" t="s">
        <v>2076</v>
      </c>
      <c r="D427" s="15" t="s">
        <v>82</v>
      </c>
      <c r="E427" s="15" t="s">
        <v>265</v>
      </c>
      <c r="F427" s="15"/>
      <c r="G427" s="15" t="s">
        <v>715</v>
      </c>
      <c r="H427" s="15" t="s">
        <v>2407</v>
      </c>
      <c r="I427" s="15" t="s">
        <v>126</v>
      </c>
      <c r="J427" s="3" t="s">
        <v>2766</v>
      </c>
      <c r="K427" s="15" t="n">
        <f aca="false">LEN(J427)</f>
        <v>56</v>
      </c>
      <c r="L427" s="3" t="s">
        <v>2767</v>
      </c>
      <c r="M427" s="15" t="n">
        <f aca="false">LEN(L427)</f>
        <v>131</v>
      </c>
      <c r="N427" s="3" t="s">
        <v>2768</v>
      </c>
      <c r="O427" s="15" t="s">
        <v>2769</v>
      </c>
      <c r="P427" s="16" t="n">
        <v>640</v>
      </c>
      <c r="Q427" s="15" t="s">
        <v>104</v>
      </c>
      <c r="R427" s="15"/>
      <c r="S427" s="15" t="n">
        <f aca="false">COUNTIF('Page-Keyword Map'!$A$2:$A$668,B427)</f>
        <v>3</v>
      </c>
      <c r="T427" s="16" t="n">
        <f aca="false">SUMIF('Page-Keyword Map'!$A$2:$A$668,B427,'Page-Keyword Map'!$H$2:$H$668)</f>
        <v>990</v>
      </c>
      <c r="U427" s="15" t="n">
        <f aca="false">COUNTIFS('Page-Keyword Map'!$A$2:$A$668,B427,'Page-Keyword Map'!$E$2:$E$668,"Nationwide")</f>
        <v>0</v>
      </c>
      <c r="V427" s="15" t="n">
        <f aca="false">COUNTIFS('Page-Keyword Map'!$A$2:$A$668,B427,'Page-Keyword Map'!$E$2:$E$668,"Provincial")</f>
        <v>0</v>
      </c>
      <c r="W427" s="15" t="n">
        <f aca="false">COUNTIFS('Page-Keyword Map'!$A$2:$A$668,B427,'Page-Keyword Map'!$E$2:$E$668,"City")</f>
        <v>3</v>
      </c>
      <c r="X427" s="15" t="str">
        <f aca="false">IF(O427="","",IF(ISNUMBER(SEARCH(O427,J427)),"Yes","No"))</f>
        <v>Yes</v>
      </c>
      <c r="Y427" s="15" t="n">
        <v>0.7</v>
      </c>
      <c r="Z427" s="15" t="s">
        <v>2089</v>
      </c>
      <c r="AA427" s="15" t="s">
        <v>131</v>
      </c>
      <c r="AB427" s="17"/>
      <c r="AC427" s="17"/>
    </row>
    <row r="428" customFormat="false" ht="23.85" hidden="false" customHeight="false" outlineLevel="0" collapsed="false">
      <c r="A428" s="15" t="s">
        <v>2770</v>
      </c>
      <c r="B428" s="15" t="s">
        <v>2771</v>
      </c>
      <c r="C428" s="15" t="s">
        <v>2076</v>
      </c>
      <c r="D428" s="15" t="s">
        <v>82</v>
      </c>
      <c r="E428" s="15" t="s">
        <v>265</v>
      </c>
      <c r="F428" s="15"/>
      <c r="G428" s="15" t="s">
        <v>722</v>
      </c>
      <c r="H428" s="15" t="s">
        <v>2414</v>
      </c>
      <c r="I428" s="15" t="s">
        <v>126</v>
      </c>
      <c r="J428" s="3" t="s">
        <v>2772</v>
      </c>
      <c r="K428" s="15" t="n">
        <f aca="false">LEN(J428)</f>
        <v>62</v>
      </c>
      <c r="L428" s="3" t="s">
        <v>2773</v>
      </c>
      <c r="M428" s="15" t="n">
        <f aca="false">LEN(L428)</f>
        <v>154</v>
      </c>
      <c r="N428" s="3" t="s">
        <v>2774</v>
      </c>
      <c r="O428" s="15" t="s">
        <v>2775</v>
      </c>
      <c r="P428" s="16" t="n">
        <v>150</v>
      </c>
      <c r="Q428" s="15" t="s">
        <v>104</v>
      </c>
      <c r="R428" s="15"/>
      <c r="S428" s="15" t="n">
        <f aca="false">COUNTIF('Page-Keyword Map'!$A$2:$A$668,B428)</f>
        <v>1</v>
      </c>
      <c r="T428" s="16" t="n">
        <f aca="false">SUMIF('Page-Keyword Map'!$A$2:$A$668,B428,'Page-Keyword Map'!$H$2:$H$668)</f>
        <v>150</v>
      </c>
      <c r="U428" s="15" t="n">
        <f aca="false">COUNTIFS('Page-Keyword Map'!$A$2:$A$668,B428,'Page-Keyword Map'!$E$2:$E$668,"Nationwide")</f>
        <v>0</v>
      </c>
      <c r="V428" s="15" t="n">
        <f aca="false">COUNTIFS('Page-Keyword Map'!$A$2:$A$668,B428,'Page-Keyword Map'!$E$2:$E$668,"Provincial")</f>
        <v>0</v>
      </c>
      <c r="W428" s="15" t="n">
        <f aca="false">COUNTIFS('Page-Keyword Map'!$A$2:$A$668,B428,'Page-Keyword Map'!$E$2:$E$668,"City")</f>
        <v>1</v>
      </c>
      <c r="X428" s="15" t="str">
        <f aca="false">IF(O428="","",IF(ISNUMBER(SEARCH(O428,J428)),"Yes","No"))</f>
        <v>Yes</v>
      </c>
      <c r="Y428" s="15" t="n">
        <v>0.5</v>
      </c>
      <c r="Z428" s="15" t="s">
        <v>2089</v>
      </c>
      <c r="AA428" s="15" t="s">
        <v>131</v>
      </c>
      <c r="AB428" s="17"/>
      <c r="AC428" s="17"/>
    </row>
    <row r="429" customFormat="false" ht="23.85" hidden="false" customHeight="false" outlineLevel="0" collapsed="false">
      <c r="A429" s="15" t="s">
        <v>2776</v>
      </c>
      <c r="B429" s="15" t="s">
        <v>2777</v>
      </c>
      <c r="C429" s="15" t="s">
        <v>2076</v>
      </c>
      <c r="D429" s="15" t="s">
        <v>82</v>
      </c>
      <c r="E429" s="15" t="s">
        <v>265</v>
      </c>
      <c r="F429" s="15"/>
      <c r="G429" s="15" t="s">
        <v>729</v>
      </c>
      <c r="H429" s="15" t="s">
        <v>2421</v>
      </c>
      <c r="I429" s="15" t="s">
        <v>126</v>
      </c>
      <c r="J429" s="3" t="s">
        <v>2778</v>
      </c>
      <c r="K429" s="15" t="n">
        <f aca="false">LEN(J429)</f>
        <v>57</v>
      </c>
      <c r="L429" s="3" t="s">
        <v>2779</v>
      </c>
      <c r="M429" s="15" t="n">
        <f aca="false">LEN(L429)</f>
        <v>148</v>
      </c>
      <c r="N429" s="3" t="s">
        <v>2780</v>
      </c>
      <c r="O429" s="15" t="s">
        <v>2781</v>
      </c>
      <c r="P429" s="16" t="n">
        <v>210</v>
      </c>
      <c r="Q429" s="15" t="s">
        <v>104</v>
      </c>
      <c r="R429" s="15"/>
      <c r="S429" s="15" t="n">
        <f aca="false">COUNTIF('Page-Keyword Map'!$A$2:$A$668,B429)</f>
        <v>1</v>
      </c>
      <c r="T429" s="16" t="n">
        <f aca="false">SUMIF('Page-Keyword Map'!$A$2:$A$668,B429,'Page-Keyword Map'!$H$2:$H$668)</f>
        <v>210</v>
      </c>
      <c r="U429" s="15" t="n">
        <f aca="false">COUNTIFS('Page-Keyword Map'!$A$2:$A$668,B429,'Page-Keyword Map'!$E$2:$E$668,"Nationwide")</f>
        <v>0</v>
      </c>
      <c r="V429" s="15" t="n">
        <f aca="false">COUNTIFS('Page-Keyword Map'!$A$2:$A$668,B429,'Page-Keyword Map'!$E$2:$E$668,"Provincial")</f>
        <v>0</v>
      </c>
      <c r="W429" s="15" t="n">
        <f aca="false">COUNTIFS('Page-Keyword Map'!$A$2:$A$668,B429,'Page-Keyword Map'!$E$2:$E$668,"City")</f>
        <v>1</v>
      </c>
      <c r="X429" s="15" t="str">
        <f aca="false">IF(O429="","",IF(ISNUMBER(SEARCH(O429,J429)),"Yes","No"))</f>
        <v>Yes</v>
      </c>
      <c r="Y429" s="15" t="n">
        <v>0.5</v>
      </c>
      <c r="Z429" s="15" t="s">
        <v>2089</v>
      </c>
      <c r="AA429" s="15" t="s">
        <v>131</v>
      </c>
      <c r="AB429" s="17"/>
      <c r="AC429" s="17"/>
    </row>
    <row r="430" customFormat="false" ht="23.85" hidden="false" customHeight="false" outlineLevel="0" collapsed="false">
      <c r="A430" s="15" t="s">
        <v>2782</v>
      </c>
      <c r="B430" s="15" t="s">
        <v>2783</v>
      </c>
      <c r="C430" s="15" t="s">
        <v>2076</v>
      </c>
      <c r="D430" s="15" t="s">
        <v>82</v>
      </c>
      <c r="E430" s="15" t="s">
        <v>265</v>
      </c>
      <c r="F430" s="15"/>
      <c r="G430" s="15" t="s">
        <v>729</v>
      </c>
      <c r="H430" s="15" t="s">
        <v>2428</v>
      </c>
      <c r="I430" s="15" t="s">
        <v>126</v>
      </c>
      <c r="J430" s="3" t="s">
        <v>2784</v>
      </c>
      <c r="K430" s="15" t="n">
        <f aca="false">LEN(J430)</f>
        <v>54</v>
      </c>
      <c r="L430" s="3" t="s">
        <v>2785</v>
      </c>
      <c r="M430" s="15" t="n">
        <f aca="false">LEN(L430)</f>
        <v>143</v>
      </c>
      <c r="N430" s="3" t="s">
        <v>2786</v>
      </c>
      <c r="O430" s="15" t="s">
        <v>2787</v>
      </c>
      <c r="P430" s="16" t="n">
        <v>370</v>
      </c>
      <c r="Q430" s="15" t="s">
        <v>104</v>
      </c>
      <c r="R430" s="15"/>
      <c r="S430" s="15" t="n">
        <f aca="false">COUNTIF('Page-Keyword Map'!$A$2:$A$668,B430)</f>
        <v>1</v>
      </c>
      <c r="T430" s="16" t="n">
        <f aca="false">SUMIF('Page-Keyword Map'!$A$2:$A$668,B430,'Page-Keyword Map'!$H$2:$H$668)</f>
        <v>370</v>
      </c>
      <c r="U430" s="15" t="n">
        <f aca="false">COUNTIFS('Page-Keyword Map'!$A$2:$A$668,B430,'Page-Keyword Map'!$E$2:$E$668,"Nationwide")</f>
        <v>0</v>
      </c>
      <c r="V430" s="15" t="n">
        <f aca="false">COUNTIFS('Page-Keyword Map'!$A$2:$A$668,B430,'Page-Keyword Map'!$E$2:$E$668,"Provincial")</f>
        <v>0</v>
      </c>
      <c r="W430" s="15" t="n">
        <f aca="false">COUNTIFS('Page-Keyword Map'!$A$2:$A$668,B430,'Page-Keyword Map'!$E$2:$E$668,"City")</f>
        <v>1</v>
      </c>
      <c r="X430" s="15" t="str">
        <f aca="false">IF(O430="","",IF(ISNUMBER(SEARCH(O430,J430)),"Yes","No"))</f>
        <v>Yes</v>
      </c>
      <c r="Y430" s="15" t="n">
        <v>0.7</v>
      </c>
      <c r="Z430" s="15" t="s">
        <v>2089</v>
      </c>
      <c r="AA430" s="15" t="s">
        <v>131</v>
      </c>
      <c r="AB430" s="17"/>
      <c r="AC430" s="17"/>
    </row>
    <row r="431" customFormat="false" ht="23.85" hidden="false" customHeight="false" outlineLevel="0" collapsed="false">
      <c r="A431" s="15" t="s">
        <v>2788</v>
      </c>
      <c r="B431" s="15" t="s">
        <v>2789</v>
      </c>
      <c r="C431" s="15" t="s">
        <v>2076</v>
      </c>
      <c r="D431" s="15" t="s">
        <v>82</v>
      </c>
      <c r="E431" s="15" t="s">
        <v>265</v>
      </c>
      <c r="F431" s="15"/>
      <c r="G431" s="15" t="s">
        <v>729</v>
      </c>
      <c r="H431" s="15" t="s">
        <v>2435</v>
      </c>
      <c r="I431" s="15" t="s">
        <v>126</v>
      </c>
      <c r="J431" s="3" t="s">
        <v>2790</v>
      </c>
      <c r="K431" s="15" t="n">
        <f aca="false">LEN(J431)</f>
        <v>58</v>
      </c>
      <c r="L431" s="3" t="s">
        <v>2791</v>
      </c>
      <c r="M431" s="15" t="n">
        <f aca="false">LEN(L431)</f>
        <v>149</v>
      </c>
      <c r="N431" s="3" t="s">
        <v>2792</v>
      </c>
      <c r="O431" s="15" t="s">
        <v>2793</v>
      </c>
      <c r="P431" s="16" t="n">
        <v>220</v>
      </c>
      <c r="Q431" s="15" t="s">
        <v>104</v>
      </c>
      <c r="R431" s="15"/>
      <c r="S431" s="15" t="n">
        <f aca="false">COUNTIF('Page-Keyword Map'!$A$2:$A$668,B431)</f>
        <v>1</v>
      </c>
      <c r="T431" s="16" t="n">
        <f aca="false">SUMIF('Page-Keyword Map'!$A$2:$A$668,B431,'Page-Keyword Map'!$H$2:$H$668)</f>
        <v>220</v>
      </c>
      <c r="U431" s="15" t="n">
        <f aca="false">COUNTIFS('Page-Keyword Map'!$A$2:$A$668,B431,'Page-Keyword Map'!$E$2:$E$668,"Nationwide")</f>
        <v>0</v>
      </c>
      <c r="V431" s="15" t="n">
        <f aca="false">COUNTIFS('Page-Keyword Map'!$A$2:$A$668,B431,'Page-Keyword Map'!$E$2:$E$668,"Provincial")</f>
        <v>0</v>
      </c>
      <c r="W431" s="15" t="n">
        <f aca="false">COUNTIFS('Page-Keyword Map'!$A$2:$A$668,B431,'Page-Keyword Map'!$E$2:$E$668,"City")</f>
        <v>1</v>
      </c>
      <c r="X431" s="15" t="str">
        <f aca="false">IF(O431="","",IF(ISNUMBER(SEARCH(O431,J431)),"Yes","No"))</f>
        <v>Yes</v>
      </c>
      <c r="Y431" s="15" t="n">
        <v>0.5</v>
      </c>
      <c r="Z431" s="15" t="s">
        <v>2089</v>
      </c>
      <c r="AA431" s="15" t="s">
        <v>131</v>
      </c>
      <c r="AB431" s="17"/>
      <c r="AC431" s="17"/>
    </row>
    <row r="432" customFormat="false" ht="23.85" hidden="false" customHeight="false" outlineLevel="0" collapsed="false">
      <c r="A432" s="15" t="s">
        <v>2794</v>
      </c>
      <c r="B432" s="15" t="s">
        <v>2795</v>
      </c>
      <c r="C432" s="15" t="s">
        <v>2076</v>
      </c>
      <c r="D432" s="15" t="s">
        <v>82</v>
      </c>
      <c r="E432" s="15" t="s">
        <v>265</v>
      </c>
      <c r="F432" s="15"/>
      <c r="G432" s="15" t="s">
        <v>729</v>
      </c>
      <c r="H432" s="15" t="s">
        <v>2442</v>
      </c>
      <c r="I432" s="15" t="s">
        <v>126</v>
      </c>
      <c r="J432" s="3" t="s">
        <v>2796</v>
      </c>
      <c r="K432" s="15" t="n">
        <f aca="false">LEN(J432)</f>
        <v>57</v>
      </c>
      <c r="L432" s="3" t="s">
        <v>2797</v>
      </c>
      <c r="M432" s="15" t="n">
        <f aca="false">LEN(L432)</f>
        <v>146</v>
      </c>
      <c r="N432" s="3" t="s">
        <v>2798</v>
      </c>
      <c r="O432" s="15" t="s">
        <v>2799</v>
      </c>
      <c r="P432" s="16" t="n">
        <v>1200</v>
      </c>
      <c r="Q432" s="15" t="s">
        <v>104</v>
      </c>
      <c r="R432" s="15"/>
      <c r="S432" s="15" t="n">
        <f aca="false">COUNTIF('Page-Keyword Map'!$A$2:$A$668,B432)</f>
        <v>1</v>
      </c>
      <c r="T432" s="16" t="n">
        <f aca="false">SUMIF('Page-Keyword Map'!$A$2:$A$668,B432,'Page-Keyword Map'!$H$2:$H$668)</f>
        <v>1200</v>
      </c>
      <c r="U432" s="15" t="n">
        <f aca="false">COUNTIFS('Page-Keyword Map'!$A$2:$A$668,B432,'Page-Keyword Map'!$E$2:$E$668,"Nationwide")</f>
        <v>0</v>
      </c>
      <c r="V432" s="15" t="n">
        <f aca="false">COUNTIFS('Page-Keyword Map'!$A$2:$A$668,B432,'Page-Keyword Map'!$E$2:$E$668,"Provincial")</f>
        <v>0</v>
      </c>
      <c r="W432" s="15" t="n">
        <f aca="false">COUNTIFS('Page-Keyword Map'!$A$2:$A$668,B432,'Page-Keyword Map'!$E$2:$E$668,"City")</f>
        <v>1</v>
      </c>
      <c r="X432" s="15" t="str">
        <f aca="false">IF(O432="","",IF(ISNUMBER(SEARCH(O432,J432)),"Yes","No"))</f>
        <v>Yes</v>
      </c>
      <c r="Y432" s="15" t="n">
        <v>0.7</v>
      </c>
      <c r="Z432" s="15" t="s">
        <v>2089</v>
      </c>
      <c r="AA432" s="15" t="s">
        <v>131</v>
      </c>
      <c r="AB432" s="17"/>
      <c r="AC432" s="17"/>
    </row>
    <row r="433" customFormat="false" ht="23.85" hidden="false" customHeight="false" outlineLevel="0" collapsed="false">
      <c r="A433" s="15" t="s">
        <v>2800</v>
      </c>
      <c r="B433" s="15" t="s">
        <v>2801</v>
      </c>
      <c r="C433" s="15" t="s">
        <v>2076</v>
      </c>
      <c r="D433" s="15" t="s">
        <v>82</v>
      </c>
      <c r="E433" s="15" t="s">
        <v>265</v>
      </c>
      <c r="F433" s="15"/>
      <c r="G433" s="15" t="s">
        <v>729</v>
      </c>
      <c r="H433" s="15" t="s">
        <v>2449</v>
      </c>
      <c r="I433" s="15" t="s">
        <v>126</v>
      </c>
      <c r="J433" s="3" t="s">
        <v>2802</v>
      </c>
      <c r="K433" s="15" t="n">
        <f aca="false">LEN(J433)</f>
        <v>60</v>
      </c>
      <c r="L433" s="3" t="s">
        <v>2803</v>
      </c>
      <c r="M433" s="15" t="n">
        <f aca="false">LEN(L433)</f>
        <v>151</v>
      </c>
      <c r="N433" s="3" t="s">
        <v>2804</v>
      </c>
      <c r="O433" s="15" t="s">
        <v>2805</v>
      </c>
      <c r="P433" s="16" t="n">
        <v>300</v>
      </c>
      <c r="Q433" s="15" t="s">
        <v>104</v>
      </c>
      <c r="R433" s="15"/>
      <c r="S433" s="15" t="n">
        <f aca="false">COUNTIF('Page-Keyword Map'!$A$2:$A$668,B433)</f>
        <v>1</v>
      </c>
      <c r="T433" s="16" t="n">
        <f aca="false">SUMIF('Page-Keyword Map'!$A$2:$A$668,B433,'Page-Keyword Map'!$H$2:$H$668)</f>
        <v>300</v>
      </c>
      <c r="U433" s="15" t="n">
        <f aca="false">COUNTIFS('Page-Keyword Map'!$A$2:$A$668,B433,'Page-Keyword Map'!$E$2:$E$668,"Nationwide")</f>
        <v>0</v>
      </c>
      <c r="V433" s="15" t="n">
        <f aca="false">COUNTIFS('Page-Keyword Map'!$A$2:$A$668,B433,'Page-Keyword Map'!$E$2:$E$668,"Provincial")</f>
        <v>0</v>
      </c>
      <c r="W433" s="15" t="n">
        <f aca="false">COUNTIFS('Page-Keyword Map'!$A$2:$A$668,B433,'Page-Keyword Map'!$E$2:$E$668,"City")</f>
        <v>1</v>
      </c>
      <c r="X433" s="15" t="str">
        <f aca="false">IF(O433="","",IF(ISNUMBER(SEARCH(O433,J433)),"Yes","No"))</f>
        <v>Yes</v>
      </c>
      <c r="Y433" s="15" t="n">
        <v>0.7</v>
      </c>
      <c r="Z433" s="15" t="s">
        <v>2089</v>
      </c>
      <c r="AA433" s="15" t="s">
        <v>131</v>
      </c>
      <c r="AB433" s="17"/>
      <c r="AC433" s="17"/>
    </row>
    <row r="434" customFormat="false" ht="23.85" hidden="false" customHeight="false" outlineLevel="0" collapsed="false">
      <c r="A434" s="15" t="s">
        <v>2806</v>
      </c>
      <c r="B434" s="15" t="s">
        <v>2807</v>
      </c>
      <c r="C434" s="15" t="s">
        <v>2076</v>
      </c>
      <c r="D434" s="15" t="s">
        <v>82</v>
      </c>
      <c r="E434" s="15" t="s">
        <v>265</v>
      </c>
      <c r="F434" s="15"/>
      <c r="G434" s="15" t="s">
        <v>729</v>
      </c>
      <c r="H434" s="15" t="s">
        <v>2456</v>
      </c>
      <c r="I434" s="15" t="s">
        <v>211</v>
      </c>
      <c r="J434" s="3" t="s">
        <v>2808</v>
      </c>
      <c r="K434" s="15" t="n">
        <f aca="false">LEN(J434)</f>
        <v>59</v>
      </c>
      <c r="L434" s="3" t="s">
        <v>2809</v>
      </c>
      <c r="M434" s="15" t="n">
        <f aca="false">LEN(L434)</f>
        <v>150</v>
      </c>
      <c r="N434" s="3" t="s">
        <v>2810</v>
      </c>
      <c r="O434" s="15" t="s">
        <v>2811</v>
      </c>
      <c r="P434" s="16" t="n">
        <v>120</v>
      </c>
      <c r="Q434" s="15" t="s">
        <v>104</v>
      </c>
      <c r="R434" s="15"/>
      <c r="S434" s="15" t="n">
        <f aca="false">COUNTIF('Page-Keyword Map'!$A$2:$A$668,B434)</f>
        <v>1</v>
      </c>
      <c r="T434" s="16" t="n">
        <f aca="false">SUMIF('Page-Keyword Map'!$A$2:$A$668,B434,'Page-Keyword Map'!$H$2:$H$668)</f>
        <v>120</v>
      </c>
      <c r="U434" s="15" t="n">
        <f aca="false">COUNTIFS('Page-Keyword Map'!$A$2:$A$668,B434,'Page-Keyword Map'!$E$2:$E$668,"Nationwide")</f>
        <v>0</v>
      </c>
      <c r="V434" s="15" t="n">
        <f aca="false">COUNTIFS('Page-Keyword Map'!$A$2:$A$668,B434,'Page-Keyword Map'!$E$2:$E$668,"Provincial")</f>
        <v>0</v>
      </c>
      <c r="W434" s="15" t="n">
        <f aca="false">COUNTIFS('Page-Keyword Map'!$A$2:$A$668,B434,'Page-Keyword Map'!$E$2:$E$668,"City")</f>
        <v>1</v>
      </c>
      <c r="X434" s="15" t="str">
        <f aca="false">IF(O434="","",IF(ISNUMBER(SEARCH(O434,J434)),"Yes","No"))</f>
        <v>Yes</v>
      </c>
      <c r="Y434" s="15" t="n">
        <v>0.5</v>
      </c>
      <c r="Z434" s="15" t="s">
        <v>216</v>
      </c>
      <c r="AA434" s="15" t="s">
        <v>217</v>
      </c>
      <c r="AB434" s="17"/>
      <c r="AC434" s="17"/>
    </row>
    <row r="435" customFormat="false" ht="23.85" hidden="false" customHeight="false" outlineLevel="0" collapsed="false">
      <c r="A435" s="15" t="s">
        <v>2812</v>
      </c>
      <c r="B435" s="15" t="s">
        <v>2813</v>
      </c>
      <c r="C435" s="15" t="s">
        <v>2076</v>
      </c>
      <c r="D435" s="15" t="s">
        <v>82</v>
      </c>
      <c r="E435" s="15" t="s">
        <v>265</v>
      </c>
      <c r="F435" s="15"/>
      <c r="G435" s="15" t="s">
        <v>736</v>
      </c>
      <c r="H435" s="15" t="s">
        <v>2463</v>
      </c>
      <c r="I435" s="15" t="s">
        <v>126</v>
      </c>
      <c r="J435" s="3" t="s">
        <v>2814</v>
      </c>
      <c r="K435" s="15" t="n">
        <f aca="false">LEN(J435)</f>
        <v>55</v>
      </c>
      <c r="L435" s="3" t="s">
        <v>2815</v>
      </c>
      <c r="M435" s="15" t="n">
        <f aca="false">LEN(L435)</f>
        <v>137</v>
      </c>
      <c r="N435" s="3" t="s">
        <v>2816</v>
      </c>
      <c r="O435" s="15" t="s">
        <v>2817</v>
      </c>
      <c r="P435" s="16" t="n">
        <v>320</v>
      </c>
      <c r="Q435" s="15" t="s">
        <v>104</v>
      </c>
      <c r="R435" s="15"/>
      <c r="S435" s="15" t="n">
        <f aca="false">COUNTIF('Page-Keyword Map'!$A$2:$A$668,B435)</f>
        <v>1</v>
      </c>
      <c r="T435" s="16" t="n">
        <f aca="false">SUMIF('Page-Keyword Map'!$A$2:$A$668,B435,'Page-Keyword Map'!$H$2:$H$668)</f>
        <v>320</v>
      </c>
      <c r="U435" s="15" t="n">
        <f aca="false">COUNTIFS('Page-Keyword Map'!$A$2:$A$668,B435,'Page-Keyword Map'!$E$2:$E$668,"Nationwide")</f>
        <v>0</v>
      </c>
      <c r="V435" s="15" t="n">
        <f aca="false">COUNTIFS('Page-Keyword Map'!$A$2:$A$668,B435,'Page-Keyword Map'!$E$2:$E$668,"Provincial")</f>
        <v>0</v>
      </c>
      <c r="W435" s="15" t="n">
        <f aca="false">COUNTIFS('Page-Keyword Map'!$A$2:$A$668,B435,'Page-Keyword Map'!$E$2:$E$668,"City")</f>
        <v>1</v>
      </c>
      <c r="X435" s="15" t="str">
        <f aca="false">IF(O435="","",IF(ISNUMBER(SEARCH(O435,J435)),"Yes","No"))</f>
        <v>Yes</v>
      </c>
      <c r="Y435" s="15" t="n">
        <v>0.7</v>
      </c>
      <c r="Z435" s="15" t="s">
        <v>2089</v>
      </c>
      <c r="AA435" s="15" t="s">
        <v>131</v>
      </c>
      <c r="AB435" s="17"/>
      <c r="AC435" s="17"/>
    </row>
    <row r="436" customFormat="false" ht="23.85" hidden="false" customHeight="false" outlineLevel="0" collapsed="false">
      <c r="A436" s="15" t="s">
        <v>2818</v>
      </c>
      <c r="B436" s="15" t="s">
        <v>2819</v>
      </c>
      <c r="C436" s="15" t="s">
        <v>2076</v>
      </c>
      <c r="D436" s="15" t="s">
        <v>82</v>
      </c>
      <c r="E436" s="15" t="s">
        <v>265</v>
      </c>
      <c r="F436" s="15"/>
      <c r="G436" s="15" t="s">
        <v>736</v>
      </c>
      <c r="H436" s="15" t="s">
        <v>2470</v>
      </c>
      <c r="I436" s="15" t="s">
        <v>126</v>
      </c>
      <c r="J436" s="3" t="s">
        <v>2820</v>
      </c>
      <c r="K436" s="15" t="n">
        <f aca="false">LEN(J436)</f>
        <v>58</v>
      </c>
      <c r="L436" s="3" t="s">
        <v>2821</v>
      </c>
      <c r="M436" s="15" t="n">
        <f aca="false">LEN(L436)</f>
        <v>140</v>
      </c>
      <c r="N436" s="3" t="s">
        <v>2822</v>
      </c>
      <c r="O436" s="15" t="s">
        <v>2823</v>
      </c>
      <c r="P436" s="16" t="n">
        <v>360</v>
      </c>
      <c r="Q436" s="15" t="s">
        <v>104</v>
      </c>
      <c r="R436" s="15"/>
      <c r="S436" s="15" t="n">
        <f aca="false">COUNTIF('Page-Keyword Map'!$A$2:$A$668,B436)</f>
        <v>1</v>
      </c>
      <c r="T436" s="16" t="n">
        <f aca="false">SUMIF('Page-Keyword Map'!$A$2:$A$668,B436,'Page-Keyword Map'!$H$2:$H$668)</f>
        <v>360</v>
      </c>
      <c r="U436" s="15" t="n">
        <f aca="false">COUNTIFS('Page-Keyword Map'!$A$2:$A$668,B436,'Page-Keyword Map'!$E$2:$E$668,"Nationwide")</f>
        <v>0</v>
      </c>
      <c r="V436" s="15" t="n">
        <f aca="false">COUNTIFS('Page-Keyword Map'!$A$2:$A$668,B436,'Page-Keyword Map'!$E$2:$E$668,"Provincial")</f>
        <v>0</v>
      </c>
      <c r="W436" s="15" t="n">
        <f aca="false">COUNTIFS('Page-Keyword Map'!$A$2:$A$668,B436,'Page-Keyword Map'!$E$2:$E$668,"City")</f>
        <v>1</v>
      </c>
      <c r="X436" s="15" t="str">
        <f aca="false">IF(O436="","",IF(ISNUMBER(SEARCH(O436,J436)),"Yes","No"))</f>
        <v>Yes</v>
      </c>
      <c r="Y436" s="15" t="n">
        <v>0.7</v>
      </c>
      <c r="Z436" s="15" t="s">
        <v>2089</v>
      </c>
      <c r="AA436" s="15" t="s">
        <v>131</v>
      </c>
      <c r="AB436" s="17"/>
      <c r="AC436" s="17"/>
    </row>
    <row r="437" customFormat="false" ht="23.85" hidden="false" customHeight="false" outlineLevel="0" collapsed="false">
      <c r="A437" s="15" t="s">
        <v>2824</v>
      </c>
      <c r="B437" s="15" t="s">
        <v>2825</v>
      </c>
      <c r="C437" s="15" t="s">
        <v>2076</v>
      </c>
      <c r="D437" s="15" t="s">
        <v>82</v>
      </c>
      <c r="E437" s="15" t="s">
        <v>265</v>
      </c>
      <c r="F437" s="15"/>
      <c r="G437" s="15" t="s">
        <v>743</v>
      </c>
      <c r="H437" s="15" t="s">
        <v>2477</v>
      </c>
      <c r="I437" s="15" t="s">
        <v>211</v>
      </c>
      <c r="J437" s="3" t="s">
        <v>2826</v>
      </c>
      <c r="K437" s="15" t="n">
        <f aca="false">LEN(J437)</f>
        <v>59</v>
      </c>
      <c r="L437" s="3" t="s">
        <v>2827</v>
      </c>
      <c r="M437" s="15" t="n">
        <f aca="false">LEN(L437)</f>
        <v>147</v>
      </c>
      <c r="N437" s="3" t="s">
        <v>2828</v>
      </c>
      <c r="O437" s="15"/>
      <c r="P437" s="16"/>
      <c r="Q437" s="15"/>
      <c r="R437" s="15" t="s">
        <v>2829</v>
      </c>
      <c r="S437" s="15" t="n">
        <f aca="false">COUNTIF('Page-Keyword Map'!$A$2:$A$668,B437)</f>
        <v>0</v>
      </c>
      <c r="T437" s="16" t="n">
        <f aca="false">SUMIF('Page-Keyword Map'!$A$2:$A$668,B437,'Page-Keyword Map'!$H$2:$H$668)</f>
        <v>0</v>
      </c>
      <c r="U437" s="15" t="n">
        <f aca="false">COUNTIFS('Page-Keyword Map'!$A$2:$A$668,B437,'Page-Keyword Map'!$E$2:$E$668,"Nationwide")</f>
        <v>0</v>
      </c>
      <c r="V437" s="15" t="n">
        <f aca="false">COUNTIFS('Page-Keyword Map'!$A$2:$A$668,B437,'Page-Keyword Map'!$E$2:$E$668,"Provincial")</f>
        <v>0</v>
      </c>
      <c r="W437" s="15" t="n">
        <f aca="false">COUNTIFS('Page-Keyword Map'!$A$2:$A$668,B437,'Page-Keyword Map'!$E$2:$E$668,"City")</f>
        <v>0</v>
      </c>
      <c r="X437" s="15" t="str">
        <f aca="false">IF(O437="","",IF(ISNUMBER(SEARCH(O437,J437)),"Yes","No"))</f>
        <v/>
      </c>
      <c r="Y437" s="15" t="n">
        <v>0.5</v>
      </c>
      <c r="Z437" s="15" t="s">
        <v>216</v>
      </c>
      <c r="AA437" s="15" t="s">
        <v>217</v>
      </c>
      <c r="AB437" s="17"/>
      <c r="AC437" s="17"/>
    </row>
    <row r="438" customFormat="false" ht="23.85" hidden="false" customHeight="false" outlineLevel="0" collapsed="false">
      <c r="A438" s="15" t="s">
        <v>2830</v>
      </c>
      <c r="B438" s="15" t="s">
        <v>2831</v>
      </c>
      <c r="C438" s="15" t="s">
        <v>2076</v>
      </c>
      <c r="D438" s="15" t="s">
        <v>85</v>
      </c>
      <c r="E438" s="15" t="s">
        <v>272</v>
      </c>
      <c r="F438" s="15"/>
      <c r="G438" s="15" t="s">
        <v>657</v>
      </c>
      <c r="H438" s="15" t="s">
        <v>2077</v>
      </c>
      <c r="I438" s="15" t="s">
        <v>211</v>
      </c>
      <c r="J438" s="3" t="s">
        <v>2832</v>
      </c>
      <c r="K438" s="15" t="n">
        <f aca="false">LEN(J438)</f>
        <v>58</v>
      </c>
      <c r="L438" s="3" t="s">
        <v>2833</v>
      </c>
      <c r="M438" s="15" t="n">
        <f aca="false">LEN(L438)</f>
        <v>137</v>
      </c>
      <c r="N438" s="3" t="s">
        <v>2834</v>
      </c>
      <c r="O438" s="15" t="s">
        <v>2835</v>
      </c>
      <c r="P438" s="16" t="n">
        <v>32</v>
      </c>
      <c r="Q438" s="15" t="s">
        <v>104</v>
      </c>
      <c r="R438" s="15"/>
      <c r="S438" s="15" t="n">
        <f aca="false">COUNTIF('Page-Keyword Map'!$A$2:$A$668,B438)</f>
        <v>1</v>
      </c>
      <c r="T438" s="16" t="n">
        <f aca="false">SUMIF('Page-Keyword Map'!$A$2:$A$668,B438,'Page-Keyword Map'!$H$2:$H$668)</f>
        <v>32</v>
      </c>
      <c r="U438" s="15" t="n">
        <f aca="false">COUNTIFS('Page-Keyword Map'!$A$2:$A$668,B438,'Page-Keyword Map'!$E$2:$E$668,"Nationwide")</f>
        <v>0</v>
      </c>
      <c r="V438" s="15" t="n">
        <f aca="false">COUNTIFS('Page-Keyword Map'!$A$2:$A$668,B438,'Page-Keyword Map'!$E$2:$E$668,"Provincial")</f>
        <v>0</v>
      </c>
      <c r="W438" s="15" t="n">
        <f aca="false">COUNTIFS('Page-Keyword Map'!$A$2:$A$668,B438,'Page-Keyword Map'!$E$2:$E$668,"City")</f>
        <v>1</v>
      </c>
      <c r="X438" s="15" t="str">
        <f aca="false">IF(O438="","",IF(ISNUMBER(SEARCH(O438,J438)),"Yes","No"))</f>
        <v>Yes</v>
      </c>
      <c r="Y438" s="15" t="n">
        <v>0.5</v>
      </c>
      <c r="Z438" s="15" t="s">
        <v>216</v>
      </c>
      <c r="AA438" s="15" t="s">
        <v>217</v>
      </c>
      <c r="AB438" s="17"/>
      <c r="AC438" s="17"/>
    </row>
    <row r="439" customFormat="false" ht="23.85" hidden="false" customHeight="false" outlineLevel="0" collapsed="false">
      <c r="A439" s="15" t="s">
        <v>2836</v>
      </c>
      <c r="B439" s="15" t="s">
        <v>2837</v>
      </c>
      <c r="C439" s="15" t="s">
        <v>2076</v>
      </c>
      <c r="D439" s="15" t="s">
        <v>85</v>
      </c>
      <c r="E439" s="15" t="s">
        <v>272</v>
      </c>
      <c r="F439" s="15"/>
      <c r="G439" s="15" t="s">
        <v>657</v>
      </c>
      <c r="H439" s="15" t="s">
        <v>2084</v>
      </c>
      <c r="I439" s="15" t="s">
        <v>126</v>
      </c>
      <c r="J439" s="3" t="s">
        <v>2838</v>
      </c>
      <c r="K439" s="15" t="n">
        <f aca="false">LEN(J439)</f>
        <v>58</v>
      </c>
      <c r="L439" s="3" t="s">
        <v>2839</v>
      </c>
      <c r="M439" s="15" t="n">
        <f aca="false">LEN(L439)</f>
        <v>137</v>
      </c>
      <c r="N439" s="3" t="s">
        <v>2840</v>
      </c>
      <c r="O439" s="15" t="s">
        <v>2841</v>
      </c>
      <c r="P439" s="16" t="n">
        <v>320</v>
      </c>
      <c r="Q439" s="15" t="s">
        <v>104</v>
      </c>
      <c r="R439" s="15"/>
      <c r="S439" s="15" t="n">
        <f aca="false">COUNTIF('Page-Keyword Map'!$A$2:$A$668,B439)</f>
        <v>1</v>
      </c>
      <c r="T439" s="16" t="n">
        <f aca="false">SUMIF('Page-Keyword Map'!$A$2:$A$668,B439,'Page-Keyword Map'!$H$2:$H$668)</f>
        <v>320</v>
      </c>
      <c r="U439" s="15" t="n">
        <f aca="false">COUNTIFS('Page-Keyword Map'!$A$2:$A$668,B439,'Page-Keyword Map'!$E$2:$E$668,"Nationwide")</f>
        <v>0</v>
      </c>
      <c r="V439" s="15" t="n">
        <f aca="false">COUNTIFS('Page-Keyword Map'!$A$2:$A$668,B439,'Page-Keyword Map'!$E$2:$E$668,"Provincial")</f>
        <v>0</v>
      </c>
      <c r="W439" s="15" t="n">
        <f aca="false">COUNTIFS('Page-Keyword Map'!$A$2:$A$668,B439,'Page-Keyword Map'!$E$2:$E$668,"City")</f>
        <v>1</v>
      </c>
      <c r="X439" s="15" t="str">
        <f aca="false">IF(O439="","",IF(ISNUMBER(SEARCH(O439,J439)),"Yes","No"))</f>
        <v>Yes</v>
      </c>
      <c r="Y439" s="15" t="n">
        <v>0.7</v>
      </c>
      <c r="Z439" s="15" t="s">
        <v>2089</v>
      </c>
      <c r="AA439" s="15" t="s">
        <v>131</v>
      </c>
      <c r="AB439" s="17"/>
      <c r="AC439" s="17"/>
    </row>
    <row r="440" customFormat="false" ht="23.85" hidden="false" customHeight="false" outlineLevel="0" collapsed="false">
      <c r="A440" s="15" t="s">
        <v>2842</v>
      </c>
      <c r="B440" s="15" t="s">
        <v>2843</v>
      </c>
      <c r="C440" s="15" t="s">
        <v>2076</v>
      </c>
      <c r="D440" s="15" t="s">
        <v>85</v>
      </c>
      <c r="E440" s="15" t="s">
        <v>272</v>
      </c>
      <c r="F440" s="15"/>
      <c r="G440" s="15" t="s">
        <v>657</v>
      </c>
      <c r="H440" s="15" t="s">
        <v>2092</v>
      </c>
      <c r="I440" s="15" t="s">
        <v>126</v>
      </c>
      <c r="J440" s="3" t="s">
        <v>2844</v>
      </c>
      <c r="K440" s="15" t="n">
        <f aca="false">LEN(J440)</f>
        <v>59</v>
      </c>
      <c r="L440" s="3" t="s">
        <v>2845</v>
      </c>
      <c r="M440" s="15" t="n">
        <f aca="false">LEN(L440)</f>
        <v>138</v>
      </c>
      <c r="N440" s="3" t="s">
        <v>2846</v>
      </c>
      <c r="O440" s="15" t="s">
        <v>2847</v>
      </c>
      <c r="P440" s="16" t="n">
        <v>260</v>
      </c>
      <c r="Q440" s="15" t="s">
        <v>104</v>
      </c>
      <c r="R440" s="15"/>
      <c r="S440" s="15" t="n">
        <f aca="false">COUNTIF('Page-Keyword Map'!$A$2:$A$668,B440)</f>
        <v>1</v>
      </c>
      <c r="T440" s="16" t="n">
        <f aca="false">SUMIF('Page-Keyword Map'!$A$2:$A$668,B440,'Page-Keyword Map'!$H$2:$H$668)</f>
        <v>260</v>
      </c>
      <c r="U440" s="15" t="n">
        <f aca="false">COUNTIFS('Page-Keyword Map'!$A$2:$A$668,B440,'Page-Keyword Map'!$E$2:$E$668,"Nationwide")</f>
        <v>0</v>
      </c>
      <c r="V440" s="15" t="n">
        <f aca="false">COUNTIFS('Page-Keyword Map'!$A$2:$A$668,B440,'Page-Keyword Map'!$E$2:$E$668,"Provincial")</f>
        <v>0</v>
      </c>
      <c r="W440" s="15" t="n">
        <f aca="false">COUNTIFS('Page-Keyword Map'!$A$2:$A$668,B440,'Page-Keyword Map'!$E$2:$E$668,"City")</f>
        <v>1</v>
      </c>
      <c r="X440" s="15" t="str">
        <f aca="false">IF(O440="","",IF(ISNUMBER(SEARCH(O440,J440)),"Yes","No"))</f>
        <v>Yes</v>
      </c>
      <c r="Y440" s="15" t="n">
        <v>0.7</v>
      </c>
      <c r="Z440" s="15" t="s">
        <v>2089</v>
      </c>
      <c r="AA440" s="15" t="s">
        <v>131</v>
      </c>
      <c r="AB440" s="17"/>
      <c r="AC440" s="17"/>
    </row>
    <row r="441" customFormat="false" ht="23.85" hidden="false" customHeight="false" outlineLevel="0" collapsed="false">
      <c r="A441" s="15" t="s">
        <v>2848</v>
      </c>
      <c r="B441" s="15" t="s">
        <v>2849</v>
      </c>
      <c r="C441" s="15" t="s">
        <v>2076</v>
      </c>
      <c r="D441" s="15" t="s">
        <v>85</v>
      </c>
      <c r="E441" s="15" t="s">
        <v>272</v>
      </c>
      <c r="F441" s="15"/>
      <c r="G441" s="15" t="s">
        <v>657</v>
      </c>
      <c r="H441" s="15" t="s">
        <v>2099</v>
      </c>
      <c r="I441" s="15" t="s">
        <v>126</v>
      </c>
      <c r="J441" s="3" t="s">
        <v>2850</v>
      </c>
      <c r="K441" s="15" t="n">
        <f aca="false">LEN(J441)</f>
        <v>61</v>
      </c>
      <c r="L441" s="3" t="s">
        <v>2851</v>
      </c>
      <c r="M441" s="15" t="n">
        <f aca="false">LEN(L441)</f>
        <v>140</v>
      </c>
      <c r="N441" s="3" t="s">
        <v>2852</v>
      </c>
      <c r="O441" s="15" t="s">
        <v>2853</v>
      </c>
      <c r="P441" s="16" t="n">
        <v>41</v>
      </c>
      <c r="Q441" s="15" t="s">
        <v>104</v>
      </c>
      <c r="R441" s="15"/>
      <c r="S441" s="15" t="n">
        <f aca="false">COUNTIF('Page-Keyword Map'!$A$2:$A$668,B441)</f>
        <v>1</v>
      </c>
      <c r="T441" s="16" t="n">
        <f aca="false">SUMIF('Page-Keyword Map'!$A$2:$A$668,B441,'Page-Keyword Map'!$H$2:$H$668)</f>
        <v>41</v>
      </c>
      <c r="U441" s="15" t="n">
        <f aca="false">COUNTIFS('Page-Keyword Map'!$A$2:$A$668,B441,'Page-Keyword Map'!$E$2:$E$668,"Nationwide")</f>
        <v>0</v>
      </c>
      <c r="V441" s="15" t="n">
        <f aca="false">COUNTIFS('Page-Keyword Map'!$A$2:$A$668,B441,'Page-Keyword Map'!$E$2:$E$668,"Provincial")</f>
        <v>0</v>
      </c>
      <c r="W441" s="15" t="n">
        <f aca="false">COUNTIFS('Page-Keyword Map'!$A$2:$A$668,B441,'Page-Keyword Map'!$E$2:$E$668,"City")</f>
        <v>1</v>
      </c>
      <c r="X441" s="15" t="str">
        <f aca="false">IF(O441="","",IF(ISNUMBER(SEARCH(O441,J441)),"Yes","No"))</f>
        <v>Yes</v>
      </c>
      <c r="Y441" s="15" t="n">
        <v>0.5</v>
      </c>
      <c r="Z441" s="15" t="s">
        <v>2089</v>
      </c>
      <c r="AA441" s="15" t="s">
        <v>131</v>
      </c>
      <c r="AB441" s="17"/>
      <c r="AC441" s="17"/>
    </row>
    <row r="442" customFormat="false" ht="23.85" hidden="false" customHeight="false" outlineLevel="0" collapsed="false">
      <c r="A442" s="15" t="s">
        <v>2854</v>
      </c>
      <c r="B442" s="15" t="s">
        <v>2855</v>
      </c>
      <c r="C442" s="15" t="s">
        <v>2076</v>
      </c>
      <c r="D442" s="15" t="s">
        <v>85</v>
      </c>
      <c r="E442" s="15" t="s">
        <v>272</v>
      </c>
      <c r="F442" s="15"/>
      <c r="G442" s="15" t="s">
        <v>657</v>
      </c>
      <c r="H442" s="15" t="s">
        <v>2106</v>
      </c>
      <c r="I442" s="15" t="s">
        <v>126</v>
      </c>
      <c r="J442" s="3" t="s">
        <v>2856</v>
      </c>
      <c r="K442" s="15" t="n">
        <f aca="false">LEN(J442)</f>
        <v>59</v>
      </c>
      <c r="L442" s="3" t="s">
        <v>2857</v>
      </c>
      <c r="M442" s="15" t="n">
        <f aca="false">LEN(L442)</f>
        <v>138</v>
      </c>
      <c r="N442" s="3" t="s">
        <v>2858</v>
      </c>
      <c r="O442" s="15" t="s">
        <v>2859</v>
      </c>
      <c r="P442" s="16" t="n">
        <v>41</v>
      </c>
      <c r="Q442" s="15" t="s">
        <v>104</v>
      </c>
      <c r="R442" s="15"/>
      <c r="S442" s="15" t="n">
        <f aca="false">COUNTIF('Page-Keyword Map'!$A$2:$A$668,B442)</f>
        <v>1</v>
      </c>
      <c r="T442" s="16" t="n">
        <f aca="false">SUMIF('Page-Keyword Map'!$A$2:$A$668,B442,'Page-Keyword Map'!$H$2:$H$668)</f>
        <v>41</v>
      </c>
      <c r="U442" s="15" t="n">
        <f aca="false">COUNTIFS('Page-Keyword Map'!$A$2:$A$668,B442,'Page-Keyword Map'!$E$2:$E$668,"Nationwide")</f>
        <v>0</v>
      </c>
      <c r="V442" s="15" t="n">
        <f aca="false">COUNTIFS('Page-Keyword Map'!$A$2:$A$668,B442,'Page-Keyword Map'!$E$2:$E$668,"Provincial")</f>
        <v>0</v>
      </c>
      <c r="W442" s="15" t="n">
        <f aca="false">COUNTIFS('Page-Keyword Map'!$A$2:$A$668,B442,'Page-Keyword Map'!$E$2:$E$668,"City")</f>
        <v>1</v>
      </c>
      <c r="X442" s="15" t="str">
        <f aca="false">IF(O442="","",IF(ISNUMBER(SEARCH(O442,J442)),"Yes","No"))</f>
        <v>Yes</v>
      </c>
      <c r="Y442" s="15" t="n">
        <v>0.5</v>
      </c>
      <c r="Z442" s="15" t="s">
        <v>2089</v>
      </c>
      <c r="AA442" s="15" t="s">
        <v>131</v>
      </c>
      <c r="AB442" s="17"/>
      <c r="AC442" s="17"/>
    </row>
    <row r="443" customFormat="false" ht="23.85" hidden="false" customHeight="false" outlineLevel="0" collapsed="false">
      <c r="A443" s="15" t="s">
        <v>2860</v>
      </c>
      <c r="B443" s="15" t="s">
        <v>2861</v>
      </c>
      <c r="C443" s="15" t="s">
        <v>2076</v>
      </c>
      <c r="D443" s="15" t="s">
        <v>85</v>
      </c>
      <c r="E443" s="15" t="s">
        <v>272</v>
      </c>
      <c r="F443" s="15"/>
      <c r="G443" s="15" t="s">
        <v>666</v>
      </c>
      <c r="H443" s="15" t="s">
        <v>2113</v>
      </c>
      <c r="I443" s="15" t="s">
        <v>126</v>
      </c>
      <c r="J443" s="3" t="s">
        <v>2862</v>
      </c>
      <c r="K443" s="15" t="n">
        <f aca="false">LEN(J443)</f>
        <v>61</v>
      </c>
      <c r="L443" s="3" t="s">
        <v>2863</v>
      </c>
      <c r="M443" s="15" t="n">
        <f aca="false">LEN(L443)</f>
        <v>149</v>
      </c>
      <c r="N443" s="3" t="s">
        <v>2864</v>
      </c>
      <c r="O443" s="15" t="s">
        <v>2865</v>
      </c>
      <c r="P443" s="16" t="n">
        <v>58</v>
      </c>
      <c r="Q443" s="15" t="s">
        <v>104</v>
      </c>
      <c r="R443" s="15"/>
      <c r="S443" s="15" t="n">
        <f aca="false">COUNTIF('Page-Keyword Map'!$A$2:$A$668,B443)</f>
        <v>1</v>
      </c>
      <c r="T443" s="16" t="n">
        <f aca="false">SUMIF('Page-Keyword Map'!$A$2:$A$668,B443,'Page-Keyword Map'!$H$2:$H$668)</f>
        <v>58</v>
      </c>
      <c r="U443" s="15" t="n">
        <f aca="false">COUNTIFS('Page-Keyword Map'!$A$2:$A$668,B443,'Page-Keyword Map'!$E$2:$E$668,"Nationwide")</f>
        <v>0</v>
      </c>
      <c r="V443" s="15" t="n">
        <f aca="false">COUNTIFS('Page-Keyword Map'!$A$2:$A$668,B443,'Page-Keyword Map'!$E$2:$E$668,"Provincial")</f>
        <v>0</v>
      </c>
      <c r="W443" s="15" t="n">
        <f aca="false">COUNTIFS('Page-Keyword Map'!$A$2:$A$668,B443,'Page-Keyword Map'!$E$2:$E$668,"City")</f>
        <v>1</v>
      </c>
      <c r="X443" s="15" t="str">
        <f aca="false">IF(O443="","",IF(ISNUMBER(SEARCH(O443,J443)),"Yes","No"))</f>
        <v>Yes</v>
      </c>
      <c r="Y443" s="15" t="n">
        <v>0.5</v>
      </c>
      <c r="Z443" s="15" t="s">
        <v>2089</v>
      </c>
      <c r="AA443" s="15" t="s">
        <v>131</v>
      </c>
      <c r="AB443" s="17"/>
      <c r="AC443" s="17"/>
    </row>
    <row r="444" customFormat="false" ht="23.85" hidden="false" customHeight="false" outlineLevel="0" collapsed="false">
      <c r="A444" s="15" t="s">
        <v>2866</v>
      </c>
      <c r="B444" s="15" t="s">
        <v>2867</v>
      </c>
      <c r="C444" s="15" t="s">
        <v>2076</v>
      </c>
      <c r="D444" s="15" t="s">
        <v>85</v>
      </c>
      <c r="E444" s="15" t="s">
        <v>272</v>
      </c>
      <c r="F444" s="15"/>
      <c r="G444" s="15" t="s">
        <v>666</v>
      </c>
      <c r="H444" s="15" t="s">
        <v>2120</v>
      </c>
      <c r="I444" s="15" t="s">
        <v>126</v>
      </c>
      <c r="J444" s="3" t="s">
        <v>2868</v>
      </c>
      <c r="K444" s="15" t="n">
        <f aca="false">LEN(J444)</f>
        <v>58</v>
      </c>
      <c r="L444" s="3" t="s">
        <v>2869</v>
      </c>
      <c r="M444" s="15" t="n">
        <f aca="false">LEN(L444)</f>
        <v>146</v>
      </c>
      <c r="N444" s="3" t="s">
        <v>2870</v>
      </c>
      <c r="O444" s="15" t="s">
        <v>2871</v>
      </c>
      <c r="P444" s="16" t="n">
        <v>86</v>
      </c>
      <c r="Q444" s="15" t="s">
        <v>104</v>
      </c>
      <c r="R444" s="15"/>
      <c r="S444" s="15" t="n">
        <f aca="false">COUNTIF('Page-Keyword Map'!$A$2:$A$668,B444)</f>
        <v>1</v>
      </c>
      <c r="T444" s="16" t="n">
        <f aca="false">SUMIF('Page-Keyword Map'!$A$2:$A$668,B444,'Page-Keyword Map'!$H$2:$H$668)</f>
        <v>86</v>
      </c>
      <c r="U444" s="15" t="n">
        <f aca="false">COUNTIFS('Page-Keyword Map'!$A$2:$A$668,B444,'Page-Keyword Map'!$E$2:$E$668,"Nationwide")</f>
        <v>0</v>
      </c>
      <c r="V444" s="15" t="n">
        <f aca="false">COUNTIFS('Page-Keyword Map'!$A$2:$A$668,B444,'Page-Keyword Map'!$E$2:$E$668,"Provincial")</f>
        <v>0</v>
      </c>
      <c r="W444" s="15" t="n">
        <f aca="false">COUNTIFS('Page-Keyword Map'!$A$2:$A$668,B444,'Page-Keyword Map'!$E$2:$E$668,"City")</f>
        <v>1</v>
      </c>
      <c r="X444" s="15" t="str">
        <f aca="false">IF(O444="","",IF(ISNUMBER(SEARCH(O444,J444)),"Yes","No"))</f>
        <v>Yes</v>
      </c>
      <c r="Y444" s="15" t="n">
        <v>0.7</v>
      </c>
      <c r="Z444" s="15" t="s">
        <v>2089</v>
      </c>
      <c r="AA444" s="15" t="s">
        <v>131</v>
      </c>
      <c r="AB444" s="17"/>
      <c r="AC444" s="17"/>
    </row>
    <row r="445" customFormat="false" ht="23.85" hidden="false" customHeight="false" outlineLevel="0" collapsed="false">
      <c r="A445" s="15" t="s">
        <v>2872</v>
      </c>
      <c r="B445" s="15" t="s">
        <v>2873</v>
      </c>
      <c r="C445" s="15" t="s">
        <v>2076</v>
      </c>
      <c r="D445" s="15" t="s">
        <v>85</v>
      </c>
      <c r="E445" s="15" t="s">
        <v>272</v>
      </c>
      <c r="F445" s="15"/>
      <c r="G445" s="15" t="s">
        <v>666</v>
      </c>
      <c r="H445" s="15" t="s">
        <v>2127</v>
      </c>
      <c r="I445" s="15" t="s">
        <v>126</v>
      </c>
      <c r="J445" s="3" t="s">
        <v>2874</v>
      </c>
      <c r="K445" s="15" t="n">
        <f aca="false">LEN(J445)</f>
        <v>60</v>
      </c>
      <c r="L445" s="3" t="s">
        <v>2875</v>
      </c>
      <c r="M445" s="15" t="n">
        <f aca="false">LEN(L445)</f>
        <v>148</v>
      </c>
      <c r="N445" s="3" t="s">
        <v>2876</v>
      </c>
      <c r="O445" s="15" t="s">
        <v>2877</v>
      </c>
      <c r="P445" s="16" t="n">
        <v>57</v>
      </c>
      <c r="Q445" s="15" t="s">
        <v>104</v>
      </c>
      <c r="R445" s="15"/>
      <c r="S445" s="15" t="n">
        <f aca="false">COUNTIF('Page-Keyword Map'!$A$2:$A$668,B445)</f>
        <v>1</v>
      </c>
      <c r="T445" s="16" t="n">
        <f aca="false">SUMIF('Page-Keyword Map'!$A$2:$A$668,B445,'Page-Keyword Map'!$H$2:$H$668)</f>
        <v>57</v>
      </c>
      <c r="U445" s="15" t="n">
        <f aca="false">COUNTIFS('Page-Keyword Map'!$A$2:$A$668,B445,'Page-Keyword Map'!$E$2:$E$668,"Nationwide")</f>
        <v>0</v>
      </c>
      <c r="V445" s="15" t="n">
        <f aca="false">COUNTIFS('Page-Keyword Map'!$A$2:$A$668,B445,'Page-Keyword Map'!$E$2:$E$668,"Provincial")</f>
        <v>0</v>
      </c>
      <c r="W445" s="15" t="n">
        <f aca="false">COUNTIFS('Page-Keyword Map'!$A$2:$A$668,B445,'Page-Keyword Map'!$E$2:$E$668,"City")</f>
        <v>1</v>
      </c>
      <c r="X445" s="15" t="str">
        <f aca="false">IF(O445="","",IF(ISNUMBER(SEARCH(O445,J445)),"Yes","No"))</f>
        <v>Yes</v>
      </c>
      <c r="Y445" s="15" t="n">
        <v>0.5</v>
      </c>
      <c r="Z445" s="15" t="s">
        <v>2089</v>
      </c>
      <c r="AA445" s="15" t="s">
        <v>131</v>
      </c>
      <c r="AB445" s="17"/>
      <c r="AC445" s="17"/>
    </row>
    <row r="446" customFormat="false" ht="23.85" hidden="false" customHeight="false" outlineLevel="0" collapsed="false">
      <c r="A446" s="15" t="s">
        <v>2878</v>
      </c>
      <c r="B446" s="15" t="s">
        <v>2879</v>
      </c>
      <c r="C446" s="15" t="s">
        <v>2076</v>
      </c>
      <c r="D446" s="15" t="s">
        <v>85</v>
      </c>
      <c r="E446" s="15" t="s">
        <v>272</v>
      </c>
      <c r="F446" s="15"/>
      <c r="G446" s="15" t="s">
        <v>666</v>
      </c>
      <c r="H446" s="15" t="s">
        <v>2134</v>
      </c>
      <c r="I446" s="15" t="s">
        <v>126</v>
      </c>
      <c r="J446" s="3" t="s">
        <v>2880</v>
      </c>
      <c r="K446" s="15" t="n">
        <f aca="false">LEN(J446)</f>
        <v>58</v>
      </c>
      <c r="L446" s="3" t="s">
        <v>2881</v>
      </c>
      <c r="M446" s="15" t="n">
        <f aca="false">LEN(L446)</f>
        <v>146</v>
      </c>
      <c r="N446" s="3" t="s">
        <v>2882</v>
      </c>
      <c r="O446" s="15" t="s">
        <v>2883</v>
      </c>
      <c r="P446" s="16" t="n">
        <v>55</v>
      </c>
      <c r="Q446" s="15" t="s">
        <v>104</v>
      </c>
      <c r="R446" s="15"/>
      <c r="S446" s="15" t="n">
        <f aca="false">COUNTIF('Page-Keyword Map'!$A$2:$A$668,B446)</f>
        <v>1</v>
      </c>
      <c r="T446" s="16" t="n">
        <f aca="false">SUMIF('Page-Keyword Map'!$A$2:$A$668,B446,'Page-Keyword Map'!$H$2:$H$668)</f>
        <v>55</v>
      </c>
      <c r="U446" s="15" t="n">
        <f aca="false">COUNTIFS('Page-Keyword Map'!$A$2:$A$668,B446,'Page-Keyword Map'!$E$2:$E$668,"Nationwide")</f>
        <v>0</v>
      </c>
      <c r="V446" s="15" t="n">
        <f aca="false">COUNTIFS('Page-Keyword Map'!$A$2:$A$668,B446,'Page-Keyword Map'!$E$2:$E$668,"Provincial")</f>
        <v>0</v>
      </c>
      <c r="W446" s="15" t="n">
        <f aca="false">COUNTIFS('Page-Keyword Map'!$A$2:$A$668,B446,'Page-Keyword Map'!$E$2:$E$668,"City")</f>
        <v>1</v>
      </c>
      <c r="X446" s="15" t="str">
        <f aca="false">IF(O446="","",IF(ISNUMBER(SEARCH(O446,J446)),"Yes","No"))</f>
        <v>Yes</v>
      </c>
      <c r="Y446" s="15" t="n">
        <v>0.7</v>
      </c>
      <c r="Z446" s="15" t="s">
        <v>2089</v>
      </c>
      <c r="AA446" s="15" t="s">
        <v>131</v>
      </c>
      <c r="AB446" s="17"/>
      <c r="AC446" s="17"/>
    </row>
    <row r="447" customFormat="false" ht="23.85" hidden="false" customHeight="false" outlineLevel="0" collapsed="false">
      <c r="A447" s="15" t="s">
        <v>2884</v>
      </c>
      <c r="B447" s="15" t="s">
        <v>2885</v>
      </c>
      <c r="C447" s="15" t="s">
        <v>2076</v>
      </c>
      <c r="D447" s="15" t="s">
        <v>85</v>
      </c>
      <c r="E447" s="15" t="s">
        <v>272</v>
      </c>
      <c r="F447" s="15"/>
      <c r="G447" s="15" t="s">
        <v>666</v>
      </c>
      <c r="H447" s="15" t="s">
        <v>2141</v>
      </c>
      <c r="I447" s="15" t="s">
        <v>211</v>
      </c>
      <c r="J447" s="3" t="s">
        <v>2886</v>
      </c>
      <c r="K447" s="15" t="n">
        <f aca="false">LEN(J447)</f>
        <v>58</v>
      </c>
      <c r="L447" s="3" t="s">
        <v>2887</v>
      </c>
      <c r="M447" s="15" t="n">
        <f aca="false">LEN(L447)</f>
        <v>146</v>
      </c>
      <c r="N447" s="3" t="s">
        <v>2888</v>
      </c>
      <c r="O447" s="15" t="s">
        <v>2889</v>
      </c>
      <c r="P447" s="16" t="n">
        <v>52</v>
      </c>
      <c r="Q447" s="15" t="s">
        <v>104</v>
      </c>
      <c r="R447" s="15"/>
      <c r="S447" s="15" t="n">
        <f aca="false">COUNTIF('Page-Keyword Map'!$A$2:$A$668,B447)</f>
        <v>1</v>
      </c>
      <c r="T447" s="16" t="n">
        <f aca="false">SUMIF('Page-Keyword Map'!$A$2:$A$668,B447,'Page-Keyword Map'!$H$2:$H$668)</f>
        <v>52</v>
      </c>
      <c r="U447" s="15" t="n">
        <f aca="false">COUNTIFS('Page-Keyword Map'!$A$2:$A$668,B447,'Page-Keyword Map'!$E$2:$E$668,"Nationwide")</f>
        <v>0</v>
      </c>
      <c r="V447" s="15" t="n">
        <f aca="false">COUNTIFS('Page-Keyword Map'!$A$2:$A$668,B447,'Page-Keyword Map'!$E$2:$E$668,"Provincial")</f>
        <v>0</v>
      </c>
      <c r="W447" s="15" t="n">
        <f aca="false">COUNTIFS('Page-Keyword Map'!$A$2:$A$668,B447,'Page-Keyword Map'!$E$2:$E$668,"City")</f>
        <v>1</v>
      </c>
      <c r="X447" s="15" t="str">
        <f aca="false">IF(O447="","",IF(ISNUMBER(SEARCH(O447,J447)),"Yes","No"))</f>
        <v>Yes</v>
      </c>
      <c r="Y447" s="15" t="n">
        <v>0.5</v>
      </c>
      <c r="Z447" s="15" t="s">
        <v>216</v>
      </c>
      <c r="AA447" s="15" t="s">
        <v>217</v>
      </c>
      <c r="AB447" s="17"/>
      <c r="AC447" s="17"/>
    </row>
    <row r="448" customFormat="false" ht="23.85" hidden="false" customHeight="false" outlineLevel="0" collapsed="false">
      <c r="A448" s="15" t="s">
        <v>2890</v>
      </c>
      <c r="B448" s="15" t="s">
        <v>2891</v>
      </c>
      <c r="C448" s="15" t="s">
        <v>2076</v>
      </c>
      <c r="D448" s="15" t="s">
        <v>85</v>
      </c>
      <c r="E448" s="15" t="s">
        <v>272</v>
      </c>
      <c r="F448" s="15"/>
      <c r="G448" s="15" t="s">
        <v>666</v>
      </c>
      <c r="H448" s="15" t="s">
        <v>2148</v>
      </c>
      <c r="I448" s="15" t="s">
        <v>126</v>
      </c>
      <c r="J448" s="3" t="s">
        <v>2892</v>
      </c>
      <c r="K448" s="15" t="n">
        <f aca="false">LEN(J448)</f>
        <v>59</v>
      </c>
      <c r="L448" s="3" t="s">
        <v>2893</v>
      </c>
      <c r="M448" s="15" t="n">
        <f aca="false">LEN(L448)</f>
        <v>147</v>
      </c>
      <c r="N448" s="3" t="s">
        <v>2894</v>
      </c>
      <c r="O448" s="15" t="s">
        <v>2895</v>
      </c>
      <c r="P448" s="16" t="n">
        <v>75</v>
      </c>
      <c r="Q448" s="15" t="s">
        <v>104</v>
      </c>
      <c r="R448" s="15"/>
      <c r="S448" s="15" t="n">
        <f aca="false">COUNTIF('Page-Keyword Map'!$A$2:$A$668,B448)</f>
        <v>1</v>
      </c>
      <c r="T448" s="16" t="n">
        <f aca="false">SUMIF('Page-Keyword Map'!$A$2:$A$668,B448,'Page-Keyword Map'!$H$2:$H$668)</f>
        <v>75</v>
      </c>
      <c r="U448" s="15" t="n">
        <f aca="false">COUNTIFS('Page-Keyword Map'!$A$2:$A$668,B448,'Page-Keyword Map'!$E$2:$E$668,"Nationwide")</f>
        <v>0</v>
      </c>
      <c r="V448" s="15" t="n">
        <f aca="false">COUNTIFS('Page-Keyword Map'!$A$2:$A$668,B448,'Page-Keyword Map'!$E$2:$E$668,"Provincial")</f>
        <v>0</v>
      </c>
      <c r="W448" s="15" t="n">
        <f aca="false">COUNTIFS('Page-Keyword Map'!$A$2:$A$668,B448,'Page-Keyword Map'!$E$2:$E$668,"City")</f>
        <v>1</v>
      </c>
      <c r="X448" s="15" t="str">
        <f aca="false">IF(O448="","",IF(ISNUMBER(SEARCH(O448,J448)),"Yes","No"))</f>
        <v>No</v>
      </c>
      <c r="Y448" s="15" t="n">
        <v>0.5</v>
      </c>
      <c r="Z448" s="15" t="s">
        <v>2089</v>
      </c>
      <c r="AA448" s="15" t="s">
        <v>131</v>
      </c>
      <c r="AB448" s="17"/>
      <c r="AC448" s="17"/>
    </row>
    <row r="449" customFormat="false" ht="23.85" hidden="false" customHeight="false" outlineLevel="0" collapsed="false">
      <c r="A449" s="15" t="s">
        <v>2896</v>
      </c>
      <c r="B449" s="15" t="s">
        <v>2897</v>
      </c>
      <c r="C449" s="15" t="s">
        <v>2076</v>
      </c>
      <c r="D449" s="15" t="s">
        <v>85</v>
      </c>
      <c r="E449" s="15" t="s">
        <v>272</v>
      </c>
      <c r="F449" s="15"/>
      <c r="G449" s="15" t="s">
        <v>666</v>
      </c>
      <c r="H449" s="15" t="s">
        <v>2155</v>
      </c>
      <c r="I449" s="15" t="s">
        <v>126</v>
      </c>
      <c r="J449" s="3" t="s">
        <v>2898</v>
      </c>
      <c r="K449" s="15" t="n">
        <f aca="false">LEN(J449)</f>
        <v>57</v>
      </c>
      <c r="L449" s="3" t="s">
        <v>2899</v>
      </c>
      <c r="M449" s="15" t="n">
        <f aca="false">LEN(L449)</f>
        <v>145</v>
      </c>
      <c r="N449" s="3" t="s">
        <v>2900</v>
      </c>
      <c r="O449" s="15" t="s">
        <v>2901</v>
      </c>
      <c r="P449" s="16" t="n">
        <v>170</v>
      </c>
      <c r="Q449" s="15" t="s">
        <v>104</v>
      </c>
      <c r="R449" s="15"/>
      <c r="S449" s="15" t="n">
        <f aca="false">COUNTIF('Page-Keyword Map'!$A$2:$A$668,B449)</f>
        <v>1</v>
      </c>
      <c r="T449" s="16" t="n">
        <f aca="false">SUMIF('Page-Keyword Map'!$A$2:$A$668,B449,'Page-Keyword Map'!$H$2:$H$668)</f>
        <v>170</v>
      </c>
      <c r="U449" s="15" t="n">
        <f aca="false">COUNTIFS('Page-Keyword Map'!$A$2:$A$668,B449,'Page-Keyword Map'!$E$2:$E$668,"Nationwide")</f>
        <v>0</v>
      </c>
      <c r="V449" s="15" t="n">
        <f aca="false">COUNTIFS('Page-Keyword Map'!$A$2:$A$668,B449,'Page-Keyword Map'!$E$2:$E$668,"Provincial")</f>
        <v>0</v>
      </c>
      <c r="W449" s="15" t="n">
        <f aca="false">COUNTIFS('Page-Keyword Map'!$A$2:$A$668,B449,'Page-Keyword Map'!$E$2:$E$668,"City")</f>
        <v>1</v>
      </c>
      <c r="X449" s="15" t="str">
        <f aca="false">IF(O449="","",IF(ISNUMBER(SEARCH(O449,J449)),"Yes","No"))</f>
        <v>Yes</v>
      </c>
      <c r="Y449" s="15" t="n">
        <v>0.7</v>
      </c>
      <c r="Z449" s="15" t="s">
        <v>2089</v>
      </c>
      <c r="AA449" s="15" t="s">
        <v>131</v>
      </c>
      <c r="AB449" s="17"/>
      <c r="AC449" s="17"/>
    </row>
    <row r="450" customFormat="false" ht="23.85" hidden="false" customHeight="false" outlineLevel="0" collapsed="false">
      <c r="A450" s="15" t="s">
        <v>2902</v>
      </c>
      <c r="B450" s="15" t="s">
        <v>2903</v>
      </c>
      <c r="C450" s="15" t="s">
        <v>2076</v>
      </c>
      <c r="D450" s="15" t="s">
        <v>85</v>
      </c>
      <c r="E450" s="15" t="s">
        <v>272</v>
      </c>
      <c r="F450" s="15"/>
      <c r="G450" s="15" t="s">
        <v>666</v>
      </c>
      <c r="H450" s="15" t="s">
        <v>2162</v>
      </c>
      <c r="I450" s="15" t="s">
        <v>126</v>
      </c>
      <c r="J450" s="3" t="s">
        <v>2904</v>
      </c>
      <c r="K450" s="15" t="n">
        <f aca="false">LEN(J450)</f>
        <v>60</v>
      </c>
      <c r="L450" s="3" t="s">
        <v>2905</v>
      </c>
      <c r="M450" s="15" t="n">
        <f aca="false">LEN(L450)</f>
        <v>148</v>
      </c>
      <c r="N450" s="3" t="s">
        <v>2906</v>
      </c>
      <c r="O450" s="15" t="s">
        <v>2907</v>
      </c>
      <c r="P450" s="16" t="n">
        <v>190</v>
      </c>
      <c r="Q450" s="15" t="s">
        <v>104</v>
      </c>
      <c r="R450" s="15"/>
      <c r="S450" s="15" t="n">
        <f aca="false">COUNTIF('Page-Keyword Map'!$A$2:$A$668,B450)</f>
        <v>1</v>
      </c>
      <c r="T450" s="16" t="n">
        <f aca="false">SUMIF('Page-Keyword Map'!$A$2:$A$668,B450,'Page-Keyword Map'!$H$2:$H$668)</f>
        <v>190</v>
      </c>
      <c r="U450" s="15" t="n">
        <f aca="false">COUNTIFS('Page-Keyword Map'!$A$2:$A$668,B450,'Page-Keyword Map'!$E$2:$E$668,"Nationwide")</f>
        <v>0</v>
      </c>
      <c r="V450" s="15" t="n">
        <f aca="false">COUNTIFS('Page-Keyword Map'!$A$2:$A$668,B450,'Page-Keyword Map'!$E$2:$E$668,"Provincial")</f>
        <v>0</v>
      </c>
      <c r="W450" s="15" t="n">
        <f aca="false">COUNTIFS('Page-Keyword Map'!$A$2:$A$668,B450,'Page-Keyword Map'!$E$2:$E$668,"City")</f>
        <v>1</v>
      </c>
      <c r="X450" s="15" t="str">
        <f aca="false">IF(O450="","",IF(ISNUMBER(SEARCH(O450,J450)),"Yes","No"))</f>
        <v>Yes</v>
      </c>
      <c r="Y450" s="15" t="n">
        <v>0.7</v>
      </c>
      <c r="Z450" s="15" t="s">
        <v>2089</v>
      </c>
      <c r="AA450" s="15" t="s">
        <v>131</v>
      </c>
      <c r="AB450" s="17"/>
      <c r="AC450" s="17"/>
    </row>
    <row r="451" customFormat="false" ht="23.85" hidden="false" customHeight="false" outlineLevel="0" collapsed="false">
      <c r="A451" s="15" t="s">
        <v>2908</v>
      </c>
      <c r="B451" s="15" t="s">
        <v>2909</v>
      </c>
      <c r="C451" s="15" t="s">
        <v>2076</v>
      </c>
      <c r="D451" s="15" t="s">
        <v>85</v>
      </c>
      <c r="E451" s="15" t="s">
        <v>272</v>
      </c>
      <c r="F451" s="15"/>
      <c r="G451" s="15" t="s">
        <v>666</v>
      </c>
      <c r="H451" s="15" t="s">
        <v>2169</v>
      </c>
      <c r="I451" s="15" t="s">
        <v>126</v>
      </c>
      <c r="J451" s="3" t="s">
        <v>2910</v>
      </c>
      <c r="K451" s="15" t="n">
        <f aca="false">LEN(J451)</f>
        <v>59</v>
      </c>
      <c r="L451" s="3" t="s">
        <v>2911</v>
      </c>
      <c r="M451" s="15" t="n">
        <f aca="false">LEN(L451)</f>
        <v>147</v>
      </c>
      <c r="N451" s="3" t="s">
        <v>2912</v>
      </c>
      <c r="O451" s="15" t="s">
        <v>2913</v>
      </c>
      <c r="P451" s="16" t="n">
        <v>39</v>
      </c>
      <c r="Q451" s="15" t="s">
        <v>104</v>
      </c>
      <c r="R451" s="15"/>
      <c r="S451" s="15" t="n">
        <f aca="false">COUNTIF('Page-Keyword Map'!$A$2:$A$668,B451)</f>
        <v>1</v>
      </c>
      <c r="T451" s="16" t="n">
        <f aca="false">SUMIF('Page-Keyword Map'!$A$2:$A$668,B451,'Page-Keyword Map'!$H$2:$H$668)</f>
        <v>39</v>
      </c>
      <c r="U451" s="15" t="n">
        <f aca="false">COUNTIFS('Page-Keyword Map'!$A$2:$A$668,B451,'Page-Keyword Map'!$E$2:$E$668,"Nationwide")</f>
        <v>0</v>
      </c>
      <c r="V451" s="15" t="n">
        <f aca="false">COUNTIFS('Page-Keyword Map'!$A$2:$A$668,B451,'Page-Keyword Map'!$E$2:$E$668,"Provincial")</f>
        <v>0</v>
      </c>
      <c r="W451" s="15" t="n">
        <f aca="false">COUNTIFS('Page-Keyword Map'!$A$2:$A$668,B451,'Page-Keyword Map'!$E$2:$E$668,"City")</f>
        <v>1</v>
      </c>
      <c r="X451" s="15" t="str">
        <f aca="false">IF(O451="","",IF(ISNUMBER(SEARCH(O451,J451)),"Yes","No"))</f>
        <v>Yes</v>
      </c>
      <c r="Y451" s="15" t="n">
        <v>0.7</v>
      </c>
      <c r="Z451" s="15" t="s">
        <v>2089</v>
      </c>
      <c r="AA451" s="15" t="s">
        <v>131</v>
      </c>
      <c r="AB451" s="17"/>
      <c r="AC451" s="17"/>
    </row>
    <row r="452" customFormat="false" ht="23.85" hidden="false" customHeight="false" outlineLevel="0" collapsed="false">
      <c r="A452" s="15" t="s">
        <v>2914</v>
      </c>
      <c r="B452" s="15" t="s">
        <v>2915</v>
      </c>
      <c r="C452" s="15" t="s">
        <v>2076</v>
      </c>
      <c r="D452" s="15" t="s">
        <v>85</v>
      </c>
      <c r="E452" s="15" t="s">
        <v>272</v>
      </c>
      <c r="F452" s="15"/>
      <c r="G452" s="15" t="s">
        <v>673</v>
      </c>
      <c r="H452" s="15" t="s">
        <v>2176</v>
      </c>
      <c r="I452" s="15" t="s">
        <v>211</v>
      </c>
      <c r="J452" s="3" t="s">
        <v>2916</v>
      </c>
      <c r="K452" s="15" t="n">
        <f aca="false">LEN(J452)</f>
        <v>58</v>
      </c>
      <c r="L452" s="3" t="s">
        <v>2917</v>
      </c>
      <c r="M452" s="15" t="n">
        <f aca="false">LEN(L452)</f>
        <v>138</v>
      </c>
      <c r="N452" s="3" t="s">
        <v>2918</v>
      </c>
      <c r="O452" s="15" t="s">
        <v>2919</v>
      </c>
      <c r="P452" s="16" t="n">
        <v>24</v>
      </c>
      <c r="Q452" s="15" t="s">
        <v>104</v>
      </c>
      <c r="R452" s="15"/>
      <c r="S452" s="15" t="n">
        <f aca="false">COUNTIF('Page-Keyword Map'!$A$2:$A$668,B452)</f>
        <v>1</v>
      </c>
      <c r="T452" s="16" t="n">
        <f aca="false">SUMIF('Page-Keyword Map'!$A$2:$A$668,B452,'Page-Keyword Map'!$H$2:$H$668)</f>
        <v>24</v>
      </c>
      <c r="U452" s="15" t="n">
        <f aca="false">COUNTIFS('Page-Keyword Map'!$A$2:$A$668,B452,'Page-Keyword Map'!$E$2:$E$668,"Nationwide")</f>
        <v>0</v>
      </c>
      <c r="V452" s="15" t="n">
        <f aca="false">COUNTIFS('Page-Keyword Map'!$A$2:$A$668,B452,'Page-Keyword Map'!$E$2:$E$668,"Provincial")</f>
        <v>0</v>
      </c>
      <c r="W452" s="15" t="n">
        <f aca="false">COUNTIFS('Page-Keyword Map'!$A$2:$A$668,B452,'Page-Keyword Map'!$E$2:$E$668,"City")</f>
        <v>1</v>
      </c>
      <c r="X452" s="15" t="str">
        <f aca="false">IF(O452="","",IF(ISNUMBER(SEARCH(O452,J452)),"Yes","No"))</f>
        <v>Yes</v>
      </c>
      <c r="Y452" s="15" t="n">
        <v>0.5</v>
      </c>
      <c r="Z452" s="15" t="s">
        <v>216</v>
      </c>
      <c r="AA452" s="15" t="s">
        <v>217</v>
      </c>
      <c r="AB452" s="17"/>
      <c r="AC452" s="17"/>
    </row>
    <row r="453" customFormat="false" ht="23.85" hidden="false" customHeight="false" outlineLevel="0" collapsed="false">
      <c r="A453" s="15" t="s">
        <v>2920</v>
      </c>
      <c r="B453" s="15" t="s">
        <v>2921</v>
      </c>
      <c r="C453" s="15" t="s">
        <v>2076</v>
      </c>
      <c r="D453" s="15" t="s">
        <v>85</v>
      </c>
      <c r="E453" s="15" t="s">
        <v>272</v>
      </c>
      <c r="F453" s="15"/>
      <c r="G453" s="15" t="s">
        <v>673</v>
      </c>
      <c r="H453" s="15" t="s">
        <v>2183</v>
      </c>
      <c r="I453" s="15" t="s">
        <v>126</v>
      </c>
      <c r="J453" s="3" t="s">
        <v>2922</v>
      </c>
      <c r="K453" s="15" t="n">
        <f aca="false">LEN(J453)</f>
        <v>59</v>
      </c>
      <c r="L453" s="3" t="s">
        <v>2923</v>
      </c>
      <c r="M453" s="15" t="n">
        <f aca="false">LEN(L453)</f>
        <v>139</v>
      </c>
      <c r="N453" s="3" t="s">
        <v>2924</v>
      </c>
      <c r="O453" s="15" t="s">
        <v>2925</v>
      </c>
      <c r="P453" s="16" t="n">
        <v>210</v>
      </c>
      <c r="Q453" s="15" t="s">
        <v>104</v>
      </c>
      <c r="R453" s="15"/>
      <c r="S453" s="15" t="n">
        <f aca="false">COUNTIF('Page-Keyword Map'!$A$2:$A$668,B453)</f>
        <v>1</v>
      </c>
      <c r="T453" s="16" t="n">
        <f aca="false">SUMIF('Page-Keyword Map'!$A$2:$A$668,B453,'Page-Keyword Map'!$H$2:$H$668)</f>
        <v>210</v>
      </c>
      <c r="U453" s="15" t="n">
        <f aca="false">COUNTIFS('Page-Keyword Map'!$A$2:$A$668,B453,'Page-Keyword Map'!$E$2:$E$668,"Nationwide")</f>
        <v>0</v>
      </c>
      <c r="V453" s="15" t="n">
        <f aca="false">COUNTIFS('Page-Keyword Map'!$A$2:$A$668,B453,'Page-Keyword Map'!$E$2:$E$668,"Provincial")</f>
        <v>0</v>
      </c>
      <c r="W453" s="15" t="n">
        <f aca="false">COUNTIFS('Page-Keyword Map'!$A$2:$A$668,B453,'Page-Keyword Map'!$E$2:$E$668,"City")</f>
        <v>1</v>
      </c>
      <c r="X453" s="15" t="str">
        <f aca="false">IF(O453="","",IF(ISNUMBER(SEARCH(O453,J453)),"Yes","No"))</f>
        <v>Yes</v>
      </c>
      <c r="Y453" s="15" t="n">
        <v>0.7</v>
      </c>
      <c r="Z453" s="15" t="s">
        <v>2089</v>
      </c>
      <c r="AA453" s="15" t="s">
        <v>131</v>
      </c>
      <c r="AB453" s="17"/>
      <c r="AC453" s="17"/>
    </row>
    <row r="454" customFormat="false" ht="23.85" hidden="false" customHeight="false" outlineLevel="0" collapsed="false">
      <c r="A454" s="15" t="s">
        <v>2926</v>
      </c>
      <c r="B454" s="15" t="s">
        <v>2927</v>
      </c>
      <c r="C454" s="15" t="s">
        <v>2076</v>
      </c>
      <c r="D454" s="15" t="s">
        <v>85</v>
      </c>
      <c r="E454" s="15" t="s">
        <v>272</v>
      </c>
      <c r="F454" s="15"/>
      <c r="G454" s="15" t="s">
        <v>680</v>
      </c>
      <c r="H454" s="15" t="s">
        <v>2190</v>
      </c>
      <c r="I454" s="15" t="s">
        <v>126</v>
      </c>
      <c r="J454" s="3" t="s">
        <v>2928</v>
      </c>
      <c r="K454" s="15" t="n">
        <f aca="false">LEN(J454)</f>
        <v>62</v>
      </c>
      <c r="L454" s="3" t="s">
        <v>2929</v>
      </c>
      <c r="M454" s="15" t="n">
        <f aca="false">LEN(L454)</f>
        <v>147</v>
      </c>
      <c r="N454" s="3" t="s">
        <v>2930</v>
      </c>
      <c r="O454" s="15" t="s">
        <v>2931</v>
      </c>
      <c r="P454" s="16" t="n">
        <v>29</v>
      </c>
      <c r="Q454" s="15" t="s">
        <v>104</v>
      </c>
      <c r="R454" s="15"/>
      <c r="S454" s="15" t="n">
        <f aca="false">COUNTIF('Page-Keyword Map'!$A$2:$A$668,B454)</f>
        <v>1</v>
      </c>
      <c r="T454" s="16" t="n">
        <f aca="false">SUMIF('Page-Keyword Map'!$A$2:$A$668,B454,'Page-Keyword Map'!$H$2:$H$668)</f>
        <v>29</v>
      </c>
      <c r="U454" s="15" t="n">
        <f aca="false">COUNTIFS('Page-Keyword Map'!$A$2:$A$668,B454,'Page-Keyword Map'!$E$2:$E$668,"Nationwide")</f>
        <v>0</v>
      </c>
      <c r="V454" s="15" t="n">
        <f aca="false">COUNTIFS('Page-Keyword Map'!$A$2:$A$668,B454,'Page-Keyword Map'!$E$2:$E$668,"Provincial")</f>
        <v>0</v>
      </c>
      <c r="W454" s="15" t="n">
        <f aca="false">COUNTIFS('Page-Keyword Map'!$A$2:$A$668,B454,'Page-Keyword Map'!$E$2:$E$668,"City")</f>
        <v>1</v>
      </c>
      <c r="X454" s="15" t="str">
        <f aca="false">IF(O454="","",IF(ISNUMBER(SEARCH(O454,J454)),"Yes","No"))</f>
        <v>Yes</v>
      </c>
      <c r="Y454" s="15" t="n">
        <v>0.5</v>
      </c>
      <c r="Z454" s="15" t="s">
        <v>2089</v>
      </c>
      <c r="AA454" s="15" t="s">
        <v>131</v>
      </c>
      <c r="AB454" s="17"/>
      <c r="AC454" s="17"/>
    </row>
    <row r="455" customFormat="false" ht="23.85" hidden="false" customHeight="false" outlineLevel="0" collapsed="false">
      <c r="A455" s="15" t="s">
        <v>2932</v>
      </c>
      <c r="B455" s="15" t="s">
        <v>2933</v>
      </c>
      <c r="C455" s="15" t="s">
        <v>2076</v>
      </c>
      <c r="D455" s="15" t="s">
        <v>85</v>
      </c>
      <c r="E455" s="15" t="s">
        <v>272</v>
      </c>
      <c r="F455" s="15"/>
      <c r="G455" s="15" t="s">
        <v>680</v>
      </c>
      <c r="H455" s="15" t="s">
        <v>2197</v>
      </c>
      <c r="I455" s="15" t="s">
        <v>126</v>
      </c>
      <c r="J455" s="3" t="s">
        <v>2934</v>
      </c>
      <c r="K455" s="15" t="n">
        <f aca="false">LEN(J455)</f>
        <v>58</v>
      </c>
      <c r="L455" s="3" t="s">
        <v>2935</v>
      </c>
      <c r="M455" s="15" t="n">
        <f aca="false">LEN(L455)</f>
        <v>143</v>
      </c>
      <c r="N455" s="3" t="s">
        <v>2936</v>
      </c>
      <c r="O455" s="15" t="s">
        <v>2937</v>
      </c>
      <c r="P455" s="16" t="n">
        <v>34</v>
      </c>
      <c r="Q455" s="15" t="s">
        <v>104</v>
      </c>
      <c r="R455" s="15"/>
      <c r="S455" s="15" t="n">
        <f aca="false">COUNTIF('Page-Keyword Map'!$A$2:$A$668,B455)</f>
        <v>1</v>
      </c>
      <c r="T455" s="16" t="n">
        <f aca="false">SUMIF('Page-Keyword Map'!$A$2:$A$668,B455,'Page-Keyword Map'!$H$2:$H$668)</f>
        <v>34</v>
      </c>
      <c r="U455" s="15" t="n">
        <f aca="false">COUNTIFS('Page-Keyword Map'!$A$2:$A$668,B455,'Page-Keyword Map'!$E$2:$E$668,"Nationwide")</f>
        <v>0</v>
      </c>
      <c r="V455" s="15" t="n">
        <f aca="false">COUNTIFS('Page-Keyword Map'!$A$2:$A$668,B455,'Page-Keyword Map'!$E$2:$E$668,"Provincial")</f>
        <v>0</v>
      </c>
      <c r="W455" s="15" t="n">
        <f aca="false">COUNTIFS('Page-Keyword Map'!$A$2:$A$668,B455,'Page-Keyword Map'!$E$2:$E$668,"City")</f>
        <v>1</v>
      </c>
      <c r="X455" s="15" t="str">
        <f aca="false">IF(O455="","",IF(ISNUMBER(SEARCH(O455,J455)),"Yes","No"))</f>
        <v>Yes</v>
      </c>
      <c r="Y455" s="15" t="n">
        <v>0.5</v>
      </c>
      <c r="Z455" s="15" t="s">
        <v>2089</v>
      </c>
      <c r="AA455" s="15" t="s">
        <v>131</v>
      </c>
      <c r="AB455" s="17"/>
      <c r="AC455" s="17"/>
    </row>
    <row r="456" customFormat="false" ht="23.85" hidden="false" customHeight="false" outlineLevel="0" collapsed="false">
      <c r="A456" s="15" t="s">
        <v>2938</v>
      </c>
      <c r="B456" s="15" t="s">
        <v>2939</v>
      </c>
      <c r="C456" s="15" t="s">
        <v>2076</v>
      </c>
      <c r="D456" s="15" t="s">
        <v>85</v>
      </c>
      <c r="E456" s="15" t="s">
        <v>272</v>
      </c>
      <c r="F456" s="15"/>
      <c r="G456" s="15" t="s">
        <v>680</v>
      </c>
      <c r="H456" s="15" t="s">
        <v>2204</v>
      </c>
      <c r="I456" s="15" t="s">
        <v>126</v>
      </c>
      <c r="J456" s="3" t="s">
        <v>2940</v>
      </c>
      <c r="K456" s="15" t="n">
        <f aca="false">LEN(J456)</f>
        <v>61</v>
      </c>
      <c r="L456" s="3" t="s">
        <v>2941</v>
      </c>
      <c r="M456" s="15" t="n">
        <f aca="false">LEN(L456)</f>
        <v>146</v>
      </c>
      <c r="N456" s="3" t="s">
        <v>2942</v>
      </c>
      <c r="O456" s="15" t="s">
        <v>2943</v>
      </c>
      <c r="P456" s="16" t="n">
        <v>31</v>
      </c>
      <c r="Q456" s="15" t="s">
        <v>104</v>
      </c>
      <c r="R456" s="15"/>
      <c r="S456" s="15" t="n">
        <f aca="false">COUNTIF('Page-Keyword Map'!$A$2:$A$668,B456)</f>
        <v>1</v>
      </c>
      <c r="T456" s="16" t="n">
        <f aca="false">SUMIF('Page-Keyword Map'!$A$2:$A$668,B456,'Page-Keyword Map'!$H$2:$H$668)</f>
        <v>31</v>
      </c>
      <c r="U456" s="15" t="n">
        <f aca="false">COUNTIFS('Page-Keyword Map'!$A$2:$A$668,B456,'Page-Keyword Map'!$E$2:$E$668,"Nationwide")</f>
        <v>0</v>
      </c>
      <c r="V456" s="15" t="n">
        <f aca="false">COUNTIFS('Page-Keyword Map'!$A$2:$A$668,B456,'Page-Keyword Map'!$E$2:$E$668,"Provincial")</f>
        <v>0</v>
      </c>
      <c r="W456" s="15" t="n">
        <f aca="false">COUNTIFS('Page-Keyword Map'!$A$2:$A$668,B456,'Page-Keyword Map'!$E$2:$E$668,"City")</f>
        <v>1</v>
      </c>
      <c r="X456" s="15" t="str">
        <f aca="false">IF(O456="","",IF(ISNUMBER(SEARCH(O456,J456)),"Yes","No"))</f>
        <v>Yes</v>
      </c>
      <c r="Y456" s="15" t="n">
        <v>0.5</v>
      </c>
      <c r="Z456" s="15" t="s">
        <v>2089</v>
      </c>
      <c r="AA456" s="15" t="s">
        <v>131</v>
      </c>
      <c r="AB456" s="17"/>
      <c r="AC456" s="17"/>
    </row>
    <row r="457" customFormat="false" ht="23.85" hidden="false" customHeight="false" outlineLevel="0" collapsed="false">
      <c r="A457" s="15" t="s">
        <v>2944</v>
      </c>
      <c r="B457" s="15" t="s">
        <v>2945</v>
      </c>
      <c r="C457" s="15" t="s">
        <v>2076</v>
      </c>
      <c r="D457" s="15" t="s">
        <v>85</v>
      </c>
      <c r="E457" s="15" t="s">
        <v>272</v>
      </c>
      <c r="F457" s="15"/>
      <c r="G457" s="15" t="s">
        <v>687</v>
      </c>
      <c r="H457" s="15" t="s">
        <v>2211</v>
      </c>
      <c r="I457" s="15" t="s">
        <v>126</v>
      </c>
      <c r="J457" s="3" t="s">
        <v>2946</v>
      </c>
      <c r="K457" s="15" t="n">
        <f aca="false">LEN(J457)</f>
        <v>61</v>
      </c>
      <c r="L457" s="3" t="s">
        <v>2947</v>
      </c>
      <c r="M457" s="15" t="n">
        <f aca="false">LEN(L457)</f>
        <v>158</v>
      </c>
      <c r="N457" s="3" t="s">
        <v>2948</v>
      </c>
      <c r="O457" s="15" t="s">
        <v>2949</v>
      </c>
      <c r="P457" s="16" t="n">
        <v>45</v>
      </c>
      <c r="Q457" s="15" t="s">
        <v>104</v>
      </c>
      <c r="R457" s="15"/>
      <c r="S457" s="15" t="n">
        <f aca="false">COUNTIF('Page-Keyword Map'!$A$2:$A$668,B457)</f>
        <v>1</v>
      </c>
      <c r="T457" s="16" t="n">
        <f aca="false">SUMIF('Page-Keyword Map'!$A$2:$A$668,B457,'Page-Keyword Map'!$H$2:$H$668)</f>
        <v>45</v>
      </c>
      <c r="U457" s="15" t="n">
        <f aca="false">COUNTIFS('Page-Keyword Map'!$A$2:$A$668,B457,'Page-Keyword Map'!$E$2:$E$668,"Nationwide")</f>
        <v>0</v>
      </c>
      <c r="V457" s="15" t="n">
        <f aca="false">COUNTIFS('Page-Keyword Map'!$A$2:$A$668,B457,'Page-Keyword Map'!$E$2:$E$668,"Provincial")</f>
        <v>0</v>
      </c>
      <c r="W457" s="15" t="n">
        <f aca="false">COUNTIFS('Page-Keyword Map'!$A$2:$A$668,B457,'Page-Keyword Map'!$E$2:$E$668,"City")</f>
        <v>1</v>
      </c>
      <c r="X457" s="15" t="str">
        <f aca="false">IF(O457="","",IF(ISNUMBER(SEARCH(O457,J457)),"Yes","No"))</f>
        <v>No</v>
      </c>
      <c r="Y457" s="15" t="n">
        <v>0.7</v>
      </c>
      <c r="Z457" s="15" t="s">
        <v>2089</v>
      </c>
      <c r="AA457" s="15" t="s">
        <v>131</v>
      </c>
      <c r="AB457" s="17"/>
      <c r="AC457" s="17"/>
    </row>
    <row r="458" customFormat="false" ht="23.85" hidden="false" customHeight="false" outlineLevel="0" collapsed="false">
      <c r="A458" s="15" t="s">
        <v>2950</v>
      </c>
      <c r="B458" s="15" t="s">
        <v>2951</v>
      </c>
      <c r="C458" s="15" t="s">
        <v>2076</v>
      </c>
      <c r="D458" s="15" t="s">
        <v>85</v>
      </c>
      <c r="E458" s="15" t="s">
        <v>272</v>
      </c>
      <c r="F458" s="15"/>
      <c r="G458" s="15" t="s">
        <v>694</v>
      </c>
      <c r="H458" s="15" t="s">
        <v>2218</v>
      </c>
      <c r="I458" s="15" t="s">
        <v>211</v>
      </c>
      <c r="J458" s="3" t="s">
        <v>2952</v>
      </c>
      <c r="K458" s="15" t="n">
        <f aca="false">LEN(J458)</f>
        <v>62</v>
      </c>
      <c r="L458" s="3" t="s">
        <v>2953</v>
      </c>
      <c r="M458" s="15" t="n">
        <f aca="false">LEN(L458)</f>
        <v>156</v>
      </c>
      <c r="N458" s="3" t="s">
        <v>2954</v>
      </c>
      <c r="O458" s="15"/>
      <c r="P458" s="16"/>
      <c r="Q458" s="15"/>
      <c r="R458" s="15" t="s">
        <v>2955</v>
      </c>
      <c r="S458" s="15" t="n">
        <f aca="false">COUNTIF('Page-Keyword Map'!$A$2:$A$668,B458)</f>
        <v>0</v>
      </c>
      <c r="T458" s="16" t="n">
        <f aca="false">SUMIF('Page-Keyword Map'!$A$2:$A$668,B458,'Page-Keyword Map'!$H$2:$H$668)</f>
        <v>0</v>
      </c>
      <c r="U458" s="15" t="n">
        <f aca="false">COUNTIFS('Page-Keyword Map'!$A$2:$A$668,B458,'Page-Keyword Map'!$E$2:$E$668,"Nationwide")</f>
        <v>0</v>
      </c>
      <c r="V458" s="15" t="n">
        <f aca="false">COUNTIFS('Page-Keyword Map'!$A$2:$A$668,B458,'Page-Keyword Map'!$E$2:$E$668,"Provincial")</f>
        <v>0</v>
      </c>
      <c r="W458" s="15" t="n">
        <f aca="false">COUNTIFS('Page-Keyword Map'!$A$2:$A$668,B458,'Page-Keyword Map'!$E$2:$E$668,"City")</f>
        <v>0</v>
      </c>
      <c r="X458" s="15" t="str">
        <f aca="false">IF(O458="","",IF(ISNUMBER(SEARCH(O458,J458)),"Yes","No"))</f>
        <v/>
      </c>
      <c r="Y458" s="15" t="n">
        <v>0.5</v>
      </c>
      <c r="Z458" s="15" t="s">
        <v>216</v>
      </c>
      <c r="AA458" s="15" t="s">
        <v>217</v>
      </c>
      <c r="AB458" s="17"/>
      <c r="AC458" s="17"/>
    </row>
    <row r="459" customFormat="false" ht="23.85" hidden="false" customHeight="false" outlineLevel="0" collapsed="false">
      <c r="A459" s="15" t="s">
        <v>2956</v>
      </c>
      <c r="B459" s="15" t="s">
        <v>2957</v>
      </c>
      <c r="C459" s="15" t="s">
        <v>2076</v>
      </c>
      <c r="D459" s="15" t="s">
        <v>85</v>
      </c>
      <c r="E459" s="15" t="s">
        <v>272</v>
      </c>
      <c r="F459" s="15"/>
      <c r="G459" s="15" t="s">
        <v>701</v>
      </c>
      <c r="H459" s="15" t="s">
        <v>2225</v>
      </c>
      <c r="I459" s="15" t="s">
        <v>126</v>
      </c>
      <c r="J459" s="3" t="s">
        <v>2958</v>
      </c>
      <c r="K459" s="15" t="n">
        <f aca="false">LEN(J459)</f>
        <v>58</v>
      </c>
      <c r="L459" s="3" t="s">
        <v>2959</v>
      </c>
      <c r="M459" s="15" t="n">
        <f aca="false">LEN(L459)</f>
        <v>141</v>
      </c>
      <c r="N459" s="3" t="s">
        <v>2960</v>
      </c>
      <c r="O459" s="15" t="s">
        <v>2961</v>
      </c>
      <c r="P459" s="16" t="n">
        <v>130</v>
      </c>
      <c r="Q459" s="15" t="s">
        <v>104</v>
      </c>
      <c r="R459" s="15"/>
      <c r="S459" s="15" t="n">
        <f aca="false">COUNTIF('Page-Keyword Map'!$A$2:$A$668,B459)</f>
        <v>1</v>
      </c>
      <c r="T459" s="16" t="n">
        <f aca="false">SUMIF('Page-Keyword Map'!$A$2:$A$668,B459,'Page-Keyword Map'!$H$2:$H$668)</f>
        <v>130</v>
      </c>
      <c r="U459" s="15" t="n">
        <f aca="false">COUNTIFS('Page-Keyword Map'!$A$2:$A$668,B459,'Page-Keyword Map'!$E$2:$E$668,"Nationwide")</f>
        <v>0</v>
      </c>
      <c r="V459" s="15" t="n">
        <f aca="false">COUNTIFS('Page-Keyword Map'!$A$2:$A$668,B459,'Page-Keyword Map'!$E$2:$E$668,"Provincial")</f>
        <v>0</v>
      </c>
      <c r="W459" s="15" t="n">
        <f aca="false">COUNTIFS('Page-Keyword Map'!$A$2:$A$668,B459,'Page-Keyword Map'!$E$2:$E$668,"City")</f>
        <v>1</v>
      </c>
      <c r="X459" s="15" t="str">
        <f aca="false">IF(O459="","",IF(ISNUMBER(SEARCH(O459,J459)),"Yes","No"))</f>
        <v>Yes</v>
      </c>
      <c r="Y459" s="15" t="n">
        <v>0.7</v>
      </c>
      <c r="Z459" s="15" t="s">
        <v>2089</v>
      </c>
      <c r="AA459" s="15" t="s">
        <v>131</v>
      </c>
      <c r="AB459" s="17"/>
      <c r="AC459" s="17"/>
    </row>
    <row r="460" customFormat="false" ht="23.85" hidden="false" customHeight="false" outlineLevel="0" collapsed="false">
      <c r="A460" s="15" t="s">
        <v>2962</v>
      </c>
      <c r="B460" s="15" t="s">
        <v>2963</v>
      </c>
      <c r="C460" s="15" t="s">
        <v>2076</v>
      </c>
      <c r="D460" s="15" t="s">
        <v>85</v>
      </c>
      <c r="E460" s="15" t="s">
        <v>272</v>
      </c>
      <c r="F460" s="15"/>
      <c r="G460" s="15" t="s">
        <v>715</v>
      </c>
      <c r="H460" s="15" t="s">
        <v>2232</v>
      </c>
      <c r="I460" s="15" t="s">
        <v>211</v>
      </c>
      <c r="J460" s="3" t="s">
        <v>2964</v>
      </c>
      <c r="K460" s="15" t="n">
        <f aca="false">LEN(J460)</f>
        <v>55</v>
      </c>
      <c r="L460" s="3" t="s">
        <v>2965</v>
      </c>
      <c r="M460" s="15" t="n">
        <f aca="false">LEN(L460)</f>
        <v>134</v>
      </c>
      <c r="N460" s="3" t="s">
        <v>2966</v>
      </c>
      <c r="O460" s="15" t="s">
        <v>2967</v>
      </c>
      <c r="P460" s="16" t="n">
        <v>50</v>
      </c>
      <c r="Q460" s="15" t="s">
        <v>104</v>
      </c>
      <c r="R460" s="15"/>
      <c r="S460" s="15" t="n">
        <f aca="false">COUNTIF('Page-Keyword Map'!$A$2:$A$668,B460)</f>
        <v>1</v>
      </c>
      <c r="T460" s="16" t="n">
        <f aca="false">SUMIF('Page-Keyword Map'!$A$2:$A$668,B460,'Page-Keyword Map'!$H$2:$H$668)</f>
        <v>50</v>
      </c>
      <c r="U460" s="15" t="n">
        <f aca="false">COUNTIFS('Page-Keyword Map'!$A$2:$A$668,B460,'Page-Keyword Map'!$E$2:$E$668,"Nationwide")</f>
        <v>0</v>
      </c>
      <c r="V460" s="15" t="n">
        <f aca="false">COUNTIFS('Page-Keyword Map'!$A$2:$A$668,B460,'Page-Keyword Map'!$E$2:$E$668,"Provincial")</f>
        <v>0</v>
      </c>
      <c r="W460" s="15" t="n">
        <f aca="false">COUNTIFS('Page-Keyword Map'!$A$2:$A$668,B460,'Page-Keyword Map'!$E$2:$E$668,"City")</f>
        <v>1</v>
      </c>
      <c r="X460" s="15" t="str">
        <f aca="false">IF(O460="","",IF(ISNUMBER(SEARCH(O460,J460)),"Yes","No"))</f>
        <v>Yes</v>
      </c>
      <c r="Y460" s="15" t="n">
        <v>0.5</v>
      </c>
      <c r="Z460" s="15" t="s">
        <v>216</v>
      </c>
      <c r="AA460" s="15" t="s">
        <v>217</v>
      </c>
      <c r="AB460" s="17"/>
      <c r="AC460" s="17"/>
    </row>
    <row r="461" customFormat="false" ht="23.85" hidden="false" customHeight="false" outlineLevel="0" collapsed="false">
      <c r="A461" s="15" t="s">
        <v>2968</v>
      </c>
      <c r="B461" s="15" t="s">
        <v>2969</v>
      </c>
      <c r="C461" s="15" t="s">
        <v>2076</v>
      </c>
      <c r="D461" s="15" t="s">
        <v>85</v>
      </c>
      <c r="E461" s="15" t="s">
        <v>272</v>
      </c>
      <c r="F461" s="15"/>
      <c r="G461" s="15" t="s">
        <v>715</v>
      </c>
      <c r="H461" s="15" t="s">
        <v>2239</v>
      </c>
      <c r="I461" s="15" t="s">
        <v>126</v>
      </c>
      <c r="J461" s="3" t="s">
        <v>2970</v>
      </c>
      <c r="K461" s="15" t="n">
        <f aca="false">LEN(J461)</f>
        <v>57</v>
      </c>
      <c r="L461" s="3" t="s">
        <v>2971</v>
      </c>
      <c r="M461" s="15" t="n">
        <f aca="false">LEN(L461)</f>
        <v>136</v>
      </c>
      <c r="N461" s="3" t="s">
        <v>2972</v>
      </c>
      <c r="O461" s="15" t="s">
        <v>2973</v>
      </c>
      <c r="P461" s="16" t="n">
        <v>56</v>
      </c>
      <c r="Q461" s="15" t="s">
        <v>104</v>
      </c>
      <c r="R461" s="15"/>
      <c r="S461" s="15" t="n">
        <f aca="false">COUNTIF('Page-Keyword Map'!$A$2:$A$668,B461)</f>
        <v>1</v>
      </c>
      <c r="T461" s="16" t="n">
        <f aca="false">SUMIF('Page-Keyword Map'!$A$2:$A$668,B461,'Page-Keyword Map'!$H$2:$H$668)</f>
        <v>56</v>
      </c>
      <c r="U461" s="15" t="n">
        <f aca="false">COUNTIFS('Page-Keyword Map'!$A$2:$A$668,B461,'Page-Keyword Map'!$E$2:$E$668,"Nationwide")</f>
        <v>0</v>
      </c>
      <c r="V461" s="15" t="n">
        <f aca="false">COUNTIFS('Page-Keyword Map'!$A$2:$A$668,B461,'Page-Keyword Map'!$E$2:$E$668,"Provincial")</f>
        <v>0</v>
      </c>
      <c r="W461" s="15" t="n">
        <f aca="false">COUNTIFS('Page-Keyword Map'!$A$2:$A$668,B461,'Page-Keyword Map'!$E$2:$E$668,"City")</f>
        <v>1</v>
      </c>
      <c r="X461" s="15" t="str">
        <f aca="false">IF(O461="","",IF(ISNUMBER(SEARCH(O461,J461)),"Yes","No"))</f>
        <v>Yes</v>
      </c>
      <c r="Y461" s="15" t="n">
        <v>0.5</v>
      </c>
      <c r="Z461" s="15" t="s">
        <v>2089</v>
      </c>
      <c r="AA461" s="15" t="s">
        <v>131</v>
      </c>
      <c r="AB461" s="17"/>
      <c r="AC461" s="17"/>
    </row>
    <row r="462" customFormat="false" ht="23.85" hidden="false" customHeight="false" outlineLevel="0" collapsed="false">
      <c r="A462" s="15" t="s">
        <v>2974</v>
      </c>
      <c r="B462" s="15" t="s">
        <v>2975</v>
      </c>
      <c r="C462" s="15" t="s">
        <v>2076</v>
      </c>
      <c r="D462" s="15" t="s">
        <v>85</v>
      </c>
      <c r="E462" s="15" t="s">
        <v>272</v>
      </c>
      <c r="F462" s="15"/>
      <c r="G462" s="15" t="s">
        <v>715</v>
      </c>
      <c r="H462" s="15" t="s">
        <v>2246</v>
      </c>
      <c r="I462" s="15" t="s">
        <v>126</v>
      </c>
      <c r="J462" s="3" t="s">
        <v>2976</v>
      </c>
      <c r="K462" s="15" t="n">
        <f aca="false">LEN(J462)</f>
        <v>59</v>
      </c>
      <c r="L462" s="3" t="s">
        <v>2977</v>
      </c>
      <c r="M462" s="15" t="n">
        <f aca="false">LEN(L462)</f>
        <v>138</v>
      </c>
      <c r="N462" s="3" t="s">
        <v>2978</v>
      </c>
      <c r="O462" s="15" t="s">
        <v>2979</v>
      </c>
      <c r="P462" s="16" t="n">
        <v>190</v>
      </c>
      <c r="Q462" s="15" t="s">
        <v>104</v>
      </c>
      <c r="R462" s="15"/>
      <c r="S462" s="15" t="n">
        <f aca="false">COUNTIF('Page-Keyword Map'!$A$2:$A$668,B462)</f>
        <v>1</v>
      </c>
      <c r="T462" s="16" t="n">
        <f aca="false">SUMIF('Page-Keyword Map'!$A$2:$A$668,B462,'Page-Keyword Map'!$H$2:$H$668)</f>
        <v>190</v>
      </c>
      <c r="U462" s="15" t="n">
        <f aca="false">COUNTIFS('Page-Keyword Map'!$A$2:$A$668,B462,'Page-Keyword Map'!$E$2:$E$668,"Nationwide")</f>
        <v>0</v>
      </c>
      <c r="V462" s="15" t="n">
        <f aca="false">COUNTIFS('Page-Keyword Map'!$A$2:$A$668,B462,'Page-Keyword Map'!$E$2:$E$668,"Provincial")</f>
        <v>0</v>
      </c>
      <c r="W462" s="15" t="n">
        <f aca="false">COUNTIFS('Page-Keyword Map'!$A$2:$A$668,B462,'Page-Keyword Map'!$E$2:$E$668,"City")</f>
        <v>1</v>
      </c>
      <c r="X462" s="15" t="str">
        <f aca="false">IF(O462="","",IF(ISNUMBER(SEARCH(O462,J462)),"Yes","No"))</f>
        <v>Yes</v>
      </c>
      <c r="Y462" s="15" t="n">
        <v>0.7</v>
      </c>
      <c r="Z462" s="15" t="s">
        <v>2089</v>
      </c>
      <c r="AA462" s="15" t="s">
        <v>131</v>
      </c>
      <c r="AB462" s="17"/>
      <c r="AC462" s="17"/>
    </row>
    <row r="463" customFormat="false" ht="23.85" hidden="false" customHeight="false" outlineLevel="0" collapsed="false">
      <c r="A463" s="15" t="s">
        <v>2980</v>
      </c>
      <c r="B463" s="15" t="s">
        <v>2981</v>
      </c>
      <c r="C463" s="15" t="s">
        <v>2076</v>
      </c>
      <c r="D463" s="15" t="s">
        <v>85</v>
      </c>
      <c r="E463" s="15" t="s">
        <v>272</v>
      </c>
      <c r="F463" s="15"/>
      <c r="G463" s="15" t="s">
        <v>715</v>
      </c>
      <c r="H463" s="15" t="s">
        <v>2253</v>
      </c>
      <c r="I463" s="15" t="s">
        <v>126</v>
      </c>
      <c r="J463" s="3" t="s">
        <v>2982</v>
      </c>
      <c r="K463" s="15" t="n">
        <f aca="false">LEN(J463)</f>
        <v>61</v>
      </c>
      <c r="L463" s="3" t="s">
        <v>2983</v>
      </c>
      <c r="M463" s="15" t="n">
        <f aca="false">LEN(L463)</f>
        <v>140</v>
      </c>
      <c r="N463" s="3" t="s">
        <v>2984</v>
      </c>
      <c r="O463" s="15" t="s">
        <v>2985</v>
      </c>
      <c r="P463" s="16" t="n">
        <v>68</v>
      </c>
      <c r="Q463" s="15" t="s">
        <v>104</v>
      </c>
      <c r="R463" s="15"/>
      <c r="S463" s="15" t="n">
        <f aca="false">COUNTIF('Page-Keyword Map'!$A$2:$A$668,B463)</f>
        <v>1</v>
      </c>
      <c r="T463" s="16" t="n">
        <f aca="false">SUMIF('Page-Keyword Map'!$A$2:$A$668,B463,'Page-Keyword Map'!$H$2:$H$668)</f>
        <v>68</v>
      </c>
      <c r="U463" s="15" t="n">
        <f aca="false">COUNTIFS('Page-Keyword Map'!$A$2:$A$668,B463,'Page-Keyword Map'!$E$2:$E$668,"Nationwide")</f>
        <v>0</v>
      </c>
      <c r="V463" s="15" t="n">
        <f aca="false">COUNTIFS('Page-Keyword Map'!$A$2:$A$668,B463,'Page-Keyword Map'!$E$2:$E$668,"Provincial")</f>
        <v>0</v>
      </c>
      <c r="W463" s="15" t="n">
        <f aca="false">COUNTIFS('Page-Keyword Map'!$A$2:$A$668,B463,'Page-Keyword Map'!$E$2:$E$668,"City")</f>
        <v>1</v>
      </c>
      <c r="X463" s="15" t="str">
        <f aca="false">IF(O463="","",IF(ISNUMBER(SEARCH(O463,J463)),"Yes","No"))</f>
        <v>Yes</v>
      </c>
      <c r="Y463" s="15" t="n">
        <v>0.5</v>
      </c>
      <c r="Z463" s="15" t="s">
        <v>2089</v>
      </c>
      <c r="AA463" s="15" t="s">
        <v>131</v>
      </c>
      <c r="AB463" s="17"/>
      <c r="AC463" s="17"/>
    </row>
    <row r="464" customFormat="false" ht="23.85" hidden="false" customHeight="false" outlineLevel="0" collapsed="false">
      <c r="A464" s="15" t="s">
        <v>2986</v>
      </c>
      <c r="B464" s="15" t="s">
        <v>2987</v>
      </c>
      <c r="C464" s="15" t="s">
        <v>2076</v>
      </c>
      <c r="D464" s="15" t="s">
        <v>85</v>
      </c>
      <c r="E464" s="15" t="s">
        <v>272</v>
      </c>
      <c r="F464" s="15"/>
      <c r="G464" s="15" t="s">
        <v>715</v>
      </c>
      <c r="H464" s="15" t="s">
        <v>2260</v>
      </c>
      <c r="I464" s="15" t="s">
        <v>211</v>
      </c>
      <c r="J464" s="3" t="s">
        <v>2988</v>
      </c>
      <c r="K464" s="15" t="n">
        <f aca="false">LEN(J464)</f>
        <v>60</v>
      </c>
      <c r="L464" s="3" t="s">
        <v>2989</v>
      </c>
      <c r="M464" s="15" t="n">
        <f aca="false">LEN(L464)</f>
        <v>139</v>
      </c>
      <c r="N464" s="3" t="s">
        <v>2990</v>
      </c>
      <c r="O464" s="15" t="s">
        <v>2991</v>
      </c>
      <c r="P464" s="16" t="n">
        <v>53</v>
      </c>
      <c r="Q464" s="15" t="s">
        <v>104</v>
      </c>
      <c r="R464" s="15"/>
      <c r="S464" s="15" t="n">
        <f aca="false">COUNTIF('Page-Keyword Map'!$A$2:$A$668,B464)</f>
        <v>1</v>
      </c>
      <c r="T464" s="16" t="n">
        <f aca="false">SUMIF('Page-Keyword Map'!$A$2:$A$668,B464,'Page-Keyword Map'!$H$2:$H$668)</f>
        <v>53</v>
      </c>
      <c r="U464" s="15" t="n">
        <f aca="false">COUNTIFS('Page-Keyword Map'!$A$2:$A$668,B464,'Page-Keyword Map'!$E$2:$E$668,"Nationwide")</f>
        <v>0</v>
      </c>
      <c r="V464" s="15" t="n">
        <f aca="false">COUNTIFS('Page-Keyword Map'!$A$2:$A$668,B464,'Page-Keyword Map'!$E$2:$E$668,"Provincial")</f>
        <v>0</v>
      </c>
      <c r="W464" s="15" t="n">
        <f aca="false">COUNTIFS('Page-Keyword Map'!$A$2:$A$668,B464,'Page-Keyword Map'!$E$2:$E$668,"City")</f>
        <v>1</v>
      </c>
      <c r="X464" s="15" t="str">
        <f aca="false">IF(O464="","",IF(ISNUMBER(SEARCH(O464,J464)),"Yes","No"))</f>
        <v>Yes</v>
      </c>
      <c r="Y464" s="15" t="n">
        <v>0.5</v>
      </c>
      <c r="Z464" s="15" t="s">
        <v>216</v>
      </c>
      <c r="AA464" s="15" t="s">
        <v>217</v>
      </c>
      <c r="AB464" s="17"/>
      <c r="AC464" s="17"/>
    </row>
    <row r="465" customFormat="false" ht="23.85" hidden="false" customHeight="false" outlineLevel="0" collapsed="false">
      <c r="A465" s="15" t="s">
        <v>2992</v>
      </c>
      <c r="B465" s="15" t="s">
        <v>2993</v>
      </c>
      <c r="C465" s="15" t="s">
        <v>2076</v>
      </c>
      <c r="D465" s="15" t="s">
        <v>85</v>
      </c>
      <c r="E465" s="15" t="s">
        <v>272</v>
      </c>
      <c r="F465" s="15"/>
      <c r="G465" s="15" t="s">
        <v>715</v>
      </c>
      <c r="H465" s="15" t="s">
        <v>2267</v>
      </c>
      <c r="I465" s="15" t="s">
        <v>126</v>
      </c>
      <c r="J465" s="3" t="s">
        <v>2994</v>
      </c>
      <c r="K465" s="15" t="n">
        <f aca="false">LEN(J465)</f>
        <v>57</v>
      </c>
      <c r="L465" s="3" t="s">
        <v>2995</v>
      </c>
      <c r="M465" s="15" t="n">
        <f aca="false">LEN(L465)</f>
        <v>136</v>
      </c>
      <c r="N465" s="3" t="s">
        <v>2996</v>
      </c>
      <c r="O465" s="15" t="s">
        <v>2997</v>
      </c>
      <c r="P465" s="16" t="n">
        <v>55</v>
      </c>
      <c r="Q465" s="15" t="s">
        <v>104</v>
      </c>
      <c r="R465" s="15"/>
      <c r="S465" s="15" t="n">
        <f aca="false">COUNTIF('Page-Keyword Map'!$A$2:$A$668,B465)</f>
        <v>1</v>
      </c>
      <c r="T465" s="16" t="n">
        <f aca="false">SUMIF('Page-Keyword Map'!$A$2:$A$668,B465,'Page-Keyword Map'!$H$2:$H$668)</f>
        <v>55</v>
      </c>
      <c r="U465" s="15" t="n">
        <f aca="false">COUNTIFS('Page-Keyword Map'!$A$2:$A$668,B465,'Page-Keyword Map'!$E$2:$E$668,"Nationwide")</f>
        <v>0</v>
      </c>
      <c r="V465" s="15" t="n">
        <f aca="false">COUNTIFS('Page-Keyword Map'!$A$2:$A$668,B465,'Page-Keyword Map'!$E$2:$E$668,"Provincial")</f>
        <v>0</v>
      </c>
      <c r="W465" s="15" t="n">
        <f aca="false">COUNTIFS('Page-Keyword Map'!$A$2:$A$668,B465,'Page-Keyword Map'!$E$2:$E$668,"City")</f>
        <v>1</v>
      </c>
      <c r="X465" s="15" t="str">
        <f aca="false">IF(O465="","",IF(ISNUMBER(SEARCH(O465,J465)),"Yes","No"))</f>
        <v>Yes</v>
      </c>
      <c r="Y465" s="15" t="n">
        <v>0.5</v>
      </c>
      <c r="Z465" s="15" t="s">
        <v>2089</v>
      </c>
      <c r="AA465" s="15" t="s">
        <v>131</v>
      </c>
      <c r="AB465" s="17"/>
      <c r="AC465" s="17"/>
    </row>
    <row r="466" customFormat="false" ht="23.85" hidden="false" customHeight="false" outlineLevel="0" collapsed="false">
      <c r="A466" s="15" t="s">
        <v>2998</v>
      </c>
      <c r="B466" s="15" t="s">
        <v>2999</v>
      </c>
      <c r="C466" s="15" t="s">
        <v>2076</v>
      </c>
      <c r="D466" s="15" t="s">
        <v>85</v>
      </c>
      <c r="E466" s="15" t="s">
        <v>272</v>
      </c>
      <c r="F466" s="15"/>
      <c r="G466" s="15" t="s">
        <v>715</v>
      </c>
      <c r="H466" s="15" t="s">
        <v>2274</v>
      </c>
      <c r="I466" s="15" t="s">
        <v>126</v>
      </c>
      <c r="J466" s="3" t="s">
        <v>3000</v>
      </c>
      <c r="K466" s="15" t="n">
        <f aca="false">LEN(J466)</f>
        <v>59</v>
      </c>
      <c r="L466" s="3" t="s">
        <v>3001</v>
      </c>
      <c r="M466" s="15" t="n">
        <f aca="false">LEN(L466)</f>
        <v>138</v>
      </c>
      <c r="N466" s="3" t="s">
        <v>3002</v>
      </c>
      <c r="O466" s="15" t="s">
        <v>3003</v>
      </c>
      <c r="P466" s="16" t="n">
        <v>170</v>
      </c>
      <c r="Q466" s="15" t="s">
        <v>104</v>
      </c>
      <c r="R466" s="15"/>
      <c r="S466" s="15" t="n">
        <f aca="false">COUNTIF('Page-Keyword Map'!$A$2:$A$668,B466)</f>
        <v>1</v>
      </c>
      <c r="T466" s="16" t="n">
        <f aca="false">SUMIF('Page-Keyword Map'!$A$2:$A$668,B466,'Page-Keyword Map'!$H$2:$H$668)</f>
        <v>170</v>
      </c>
      <c r="U466" s="15" t="n">
        <f aca="false">COUNTIFS('Page-Keyword Map'!$A$2:$A$668,B466,'Page-Keyword Map'!$E$2:$E$668,"Nationwide")</f>
        <v>0</v>
      </c>
      <c r="V466" s="15" t="n">
        <f aca="false">COUNTIFS('Page-Keyword Map'!$A$2:$A$668,B466,'Page-Keyword Map'!$E$2:$E$668,"Provincial")</f>
        <v>0</v>
      </c>
      <c r="W466" s="15" t="n">
        <f aca="false">COUNTIFS('Page-Keyword Map'!$A$2:$A$668,B466,'Page-Keyword Map'!$E$2:$E$668,"City")</f>
        <v>1</v>
      </c>
      <c r="X466" s="15" t="str">
        <f aca="false">IF(O466="","",IF(ISNUMBER(SEARCH(O466,J466)),"Yes","No"))</f>
        <v>Yes</v>
      </c>
      <c r="Y466" s="15" t="n">
        <v>0.7</v>
      </c>
      <c r="Z466" s="15" t="s">
        <v>2089</v>
      </c>
      <c r="AA466" s="15" t="s">
        <v>131</v>
      </c>
      <c r="AB466" s="17"/>
      <c r="AC466" s="17"/>
    </row>
    <row r="467" customFormat="false" ht="23.85" hidden="false" customHeight="false" outlineLevel="0" collapsed="false">
      <c r="A467" s="15" t="s">
        <v>3004</v>
      </c>
      <c r="B467" s="15" t="s">
        <v>3005</v>
      </c>
      <c r="C467" s="15" t="s">
        <v>2076</v>
      </c>
      <c r="D467" s="15" t="s">
        <v>85</v>
      </c>
      <c r="E467" s="15" t="s">
        <v>272</v>
      </c>
      <c r="F467" s="15"/>
      <c r="G467" s="15" t="s">
        <v>715</v>
      </c>
      <c r="H467" s="15" t="s">
        <v>2281</v>
      </c>
      <c r="I467" s="15" t="s">
        <v>126</v>
      </c>
      <c r="J467" s="3" t="s">
        <v>3006</v>
      </c>
      <c r="K467" s="15" t="n">
        <f aca="false">LEN(J467)</f>
        <v>59</v>
      </c>
      <c r="L467" s="3" t="s">
        <v>3007</v>
      </c>
      <c r="M467" s="15" t="n">
        <f aca="false">LEN(L467)</f>
        <v>138</v>
      </c>
      <c r="N467" s="3" t="s">
        <v>3008</v>
      </c>
      <c r="O467" s="15" t="s">
        <v>3009</v>
      </c>
      <c r="P467" s="16" t="n">
        <v>52</v>
      </c>
      <c r="Q467" s="15" t="s">
        <v>104</v>
      </c>
      <c r="R467" s="15"/>
      <c r="S467" s="15" t="n">
        <f aca="false">COUNTIF('Page-Keyword Map'!$A$2:$A$668,B467)</f>
        <v>1</v>
      </c>
      <c r="T467" s="16" t="n">
        <f aca="false">SUMIF('Page-Keyword Map'!$A$2:$A$668,B467,'Page-Keyword Map'!$H$2:$H$668)</f>
        <v>52</v>
      </c>
      <c r="U467" s="15" t="n">
        <f aca="false">COUNTIFS('Page-Keyword Map'!$A$2:$A$668,B467,'Page-Keyword Map'!$E$2:$E$668,"Nationwide")</f>
        <v>0</v>
      </c>
      <c r="V467" s="15" t="n">
        <f aca="false">COUNTIFS('Page-Keyword Map'!$A$2:$A$668,B467,'Page-Keyword Map'!$E$2:$E$668,"Provincial")</f>
        <v>0</v>
      </c>
      <c r="W467" s="15" t="n">
        <f aca="false">COUNTIFS('Page-Keyword Map'!$A$2:$A$668,B467,'Page-Keyword Map'!$E$2:$E$668,"City")</f>
        <v>1</v>
      </c>
      <c r="X467" s="15" t="str">
        <f aca="false">IF(O467="","",IF(ISNUMBER(SEARCH(O467,J467)),"Yes","No"))</f>
        <v>Yes</v>
      </c>
      <c r="Y467" s="15" t="n">
        <v>0.5</v>
      </c>
      <c r="Z467" s="15" t="s">
        <v>2089</v>
      </c>
      <c r="AA467" s="15" t="s">
        <v>131</v>
      </c>
      <c r="AB467" s="17"/>
      <c r="AC467" s="17"/>
    </row>
    <row r="468" customFormat="false" ht="23.85" hidden="false" customHeight="false" outlineLevel="0" collapsed="false">
      <c r="A468" s="15" t="s">
        <v>3010</v>
      </c>
      <c r="B468" s="15" t="s">
        <v>3011</v>
      </c>
      <c r="C468" s="15" t="s">
        <v>2076</v>
      </c>
      <c r="D468" s="15" t="s">
        <v>85</v>
      </c>
      <c r="E468" s="15" t="s">
        <v>272</v>
      </c>
      <c r="F468" s="15"/>
      <c r="G468" s="15" t="s">
        <v>715</v>
      </c>
      <c r="H468" s="15" t="s">
        <v>2288</v>
      </c>
      <c r="I468" s="15" t="s">
        <v>126</v>
      </c>
      <c r="J468" s="3" t="s">
        <v>3012</v>
      </c>
      <c r="K468" s="15" t="n">
        <f aca="false">LEN(J468)</f>
        <v>60</v>
      </c>
      <c r="L468" s="3" t="s">
        <v>3013</v>
      </c>
      <c r="M468" s="15" t="n">
        <f aca="false">LEN(L468)</f>
        <v>139</v>
      </c>
      <c r="N468" s="3" t="s">
        <v>3014</v>
      </c>
      <c r="O468" s="15" t="s">
        <v>3015</v>
      </c>
      <c r="P468" s="16" t="n">
        <v>88</v>
      </c>
      <c r="Q468" s="15" t="s">
        <v>104</v>
      </c>
      <c r="R468" s="15"/>
      <c r="S468" s="15" t="n">
        <f aca="false">COUNTIF('Page-Keyword Map'!$A$2:$A$668,B468)</f>
        <v>1</v>
      </c>
      <c r="T468" s="16" t="n">
        <f aca="false">SUMIF('Page-Keyword Map'!$A$2:$A$668,B468,'Page-Keyword Map'!$H$2:$H$668)</f>
        <v>88</v>
      </c>
      <c r="U468" s="15" t="n">
        <f aca="false">COUNTIFS('Page-Keyword Map'!$A$2:$A$668,B468,'Page-Keyword Map'!$E$2:$E$668,"Nationwide")</f>
        <v>0</v>
      </c>
      <c r="V468" s="15" t="n">
        <f aca="false">COUNTIFS('Page-Keyword Map'!$A$2:$A$668,B468,'Page-Keyword Map'!$E$2:$E$668,"Provincial")</f>
        <v>0</v>
      </c>
      <c r="W468" s="15" t="n">
        <f aca="false">COUNTIFS('Page-Keyword Map'!$A$2:$A$668,B468,'Page-Keyword Map'!$E$2:$E$668,"City")</f>
        <v>1</v>
      </c>
      <c r="X468" s="15" t="str">
        <f aca="false">IF(O468="","",IF(ISNUMBER(SEARCH(O468,J468)),"Yes","No"))</f>
        <v>Yes</v>
      </c>
      <c r="Y468" s="15" t="n">
        <v>0.7</v>
      </c>
      <c r="Z468" s="15" t="s">
        <v>2089</v>
      </c>
      <c r="AA468" s="15" t="s">
        <v>131</v>
      </c>
      <c r="AB468" s="17"/>
      <c r="AC468" s="17"/>
    </row>
    <row r="469" customFormat="false" ht="23.85" hidden="false" customHeight="false" outlineLevel="0" collapsed="false">
      <c r="A469" s="15" t="s">
        <v>3016</v>
      </c>
      <c r="B469" s="15" t="s">
        <v>3017</v>
      </c>
      <c r="C469" s="15" t="s">
        <v>2076</v>
      </c>
      <c r="D469" s="15" t="s">
        <v>85</v>
      </c>
      <c r="E469" s="15" t="s">
        <v>272</v>
      </c>
      <c r="F469" s="15"/>
      <c r="G469" s="15" t="s">
        <v>715</v>
      </c>
      <c r="H469" s="15" t="s">
        <v>2295</v>
      </c>
      <c r="I469" s="15" t="s">
        <v>126</v>
      </c>
      <c r="J469" s="3" t="s">
        <v>3018</v>
      </c>
      <c r="K469" s="15" t="n">
        <f aca="false">LEN(J469)</f>
        <v>57</v>
      </c>
      <c r="L469" s="3" t="s">
        <v>3019</v>
      </c>
      <c r="M469" s="15" t="n">
        <f aca="false">LEN(L469)</f>
        <v>136</v>
      </c>
      <c r="N469" s="3" t="s">
        <v>3020</v>
      </c>
      <c r="O469" s="15" t="s">
        <v>3021</v>
      </c>
      <c r="P469" s="16" t="n">
        <v>130</v>
      </c>
      <c r="Q469" s="15" t="s">
        <v>104</v>
      </c>
      <c r="R469" s="15"/>
      <c r="S469" s="15" t="n">
        <f aca="false">COUNTIF('Page-Keyword Map'!$A$2:$A$668,B469)</f>
        <v>1</v>
      </c>
      <c r="T469" s="16" t="n">
        <f aca="false">SUMIF('Page-Keyword Map'!$A$2:$A$668,B469,'Page-Keyword Map'!$H$2:$H$668)</f>
        <v>130</v>
      </c>
      <c r="U469" s="15" t="n">
        <f aca="false">COUNTIFS('Page-Keyword Map'!$A$2:$A$668,B469,'Page-Keyword Map'!$E$2:$E$668,"Nationwide")</f>
        <v>0</v>
      </c>
      <c r="V469" s="15" t="n">
        <f aca="false">COUNTIFS('Page-Keyword Map'!$A$2:$A$668,B469,'Page-Keyword Map'!$E$2:$E$668,"Provincial")</f>
        <v>0</v>
      </c>
      <c r="W469" s="15" t="n">
        <f aca="false">COUNTIFS('Page-Keyword Map'!$A$2:$A$668,B469,'Page-Keyword Map'!$E$2:$E$668,"City")</f>
        <v>1</v>
      </c>
      <c r="X469" s="15" t="str">
        <f aca="false">IF(O469="","",IF(ISNUMBER(SEARCH(O469,J469)),"Yes","No"))</f>
        <v>No</v>
      </c>
      <c r="Y469" s="15" t="n">
        <v>0.7</v>
      </c>
      <c r="Z469" s="15" t="s">
        <v>2089</v>
      </c>
      <c r="AA469" s="15" t="s">
        <v>131</v>
      </c>
      <c r="AB469" s="17"/>
      <c r="AC469" s="17"/>
    </row>
    <row r="470" customFormat="false" ht="23.85" hidden="false" customHeight="false" outlineLevel="0" collapsed="false">
      <c r="A470" s="15" t="s">
        <v>3022</v>
      </c>
      <c r="B470" s="15" t="s">
        <v>3023</v>
      </c>
      <c r="C470" s="15" t="s">
        <v>2076</v>
      </c>
      <c r="D470" s="15" t="s">
        <v>85</v>
      </c>
      <c r="E470" s="15" t="s">
        <v>272</v>
      </c>
      <c r="F470" s="15"/>
      <c r="G470" s="15" t="s">
        <v>715</v>
      </c>
      <c r="H470" s="15" t="s">
        <v>2302</v>
      </c>
      <c r="I470" s="15" t="s">
        <v>126</v>
      </c>
      <c r="J470" s="3" t="s">
        <v>3024</v>
      </c>
      <c r="K470" s="15" t="n">
        <f aca="false">LEN(J470)</f>
        <v>58</v>
      </c>
      <c r="L470" s="3" t="s">
        <v>3025</v>
      </c>
      <c r="M470" s="15" t="n">
        <f aca="false">LEN(L470)</f>
        <v>137</v>
      </c>
      <c r="N470" s="3" t="s">
        <v>3026</v>
      </c>
      <c r="O470" s="15" t="s">
        <v>3027</v>
      </c>
      <c r="P470" s="16" t="n">
        <v>110</v>
      </c>
      <c r="Q470" s="15" t="s">
        <v>104</v>
      </c>
      <c r="R470" s="15"/>
      <c r="S470" s="15" t="n">
        <f aca="false">COUNTIF('Page-Keyword Map'!$A$2:$A$668,B470)</f>
        <v>1</v>
      </c>
      <c r="T470" s="16" t="n">
        <f aca="false">SUMIF('Page-Keyword Map'!$A$2:$A$668,B470,'Page-Keyword Map'!$H$2:$H$668)</f>
        <v>110</v>
      </c>
      <c r="U470" s="15" t="n">
        <f aca="false">COUNTIFS('Page-Keyword Map'!$A$2:$A$668,B470,'Page-Keyword Map'!$E$2:$E$668,"Nationwide")</f>
        <v>0</v>
      </c>
      <c r="V470" s="15" t="n">
        <f aca="false">COUNTIFS('Page-Keyword Map'!$A$2:$A$668,B470,'Page-Keyword Map'!$E$2:$E$668,"Provincial")</f>
        <v>0</v>
      </c>
      <c r="W470" s="15" t="n">
        <f aca="false">COUNTIFS('Page-Keyword Map'!$A$2:$A$668,B470,'Page-Keyword Map'!$E$2:$E$668,"City")</f>
        <v>1</v>
      </c>
      <c r="X470" s="15" t="str">
        <f aca="false">IF(O470="","",IF(ISNUMBER(SEARCH(O470,J470)),"Yes","No"))</f>
        <v>Yes</v>
      </c>
      <c r="Y470" s="15" t="n">
        <v>0.7</v>
      </c>
      <c r="Z470" s="15" t="s">
        <v>2089</v>
      </c>
      <c r="AA470" s="15" t="s">
        <v>131</v>
      </c>
      <c r="AB470" s="17"/>
      <c r="AC470" s="17"/>
    </row>
    <row r="471" customFormat="false" ht="23.85" hidden="false" customHeight="false" outlineLevel="0" collapsed="false">
      <c r="A471" s="15" t="s">
        <v>3028</v>
      </c>
      <c r="B471" s="15" t="s">
        <v>3029</v>
      </c>
      <c r="C471" s="15" t="s">
        <v>2076</v>
      </c>
      <c r="D471" s="15" t="s">
        <v>85</v>
      </c>
      <c r="E471" s="15" t="s">
        <v>272</v>
      </c>
      <c r="F471" s="15"/>
      <c r="G471" s="15" t="s">
        <v>715</v>
      </c>
      <c r="H471" s="15" t="s">
        <v>2309</v>
      </c>
      <c r="I471" s="15" t="s">
        <v>211</v>
      </c>
      <c r="J471" s="3" t="s">
        <v>3030</v>
      </c>
      <c r="K471" s="15" t="n">
        <f aca="false">LEN(J471)</f>
        <v>57</v>
      </c>
      <c r="L471" s="3" t="s">
        <v>3031</v>
      </c>
      <c r="M471" s="15" t="n">
        <f aca="false">LEN(L471)</f>
        <v>136</v>
      </c>
      <c r="N471" s="3" t="s">
        <v>3032</v>
      </c>
      <c r="O471" s="15" t="s">
        <v>3033</v>
      </c>
      <c r="P471" s="16" t="n">
        <v>52</v>
      </c>
      <c r="Q471" s="15" t="s">
        <v>104</v>
      </c>
      <c r="R471" s="15"/>
      <c r="S471" s="15" t="n">
        <f aca="false">COUNTIF('Page-Keyword Map'!$A$2:$A$668,B471)</f>
        <v>1</v>
      </c>
      <c r="T471" s="16" t="n">
        <f aca="false">SUMIF('Page-Keyword Map'!$A$2:$A$668,B471,'Page-Keyword Map'!$H$2:$H$668)</f>
        <v>52</v>
      </c>
      <c r="U471" s="15" t="n">
        <f aca="false">COUNTIFS('Page-Keyword Map'!$A$2:$A$668,B471,'Page-Keyword Map'!$E$2:$E$668,"Nationwide")</f>
        <v>0</v>
      </c>
      <c r="V471" s="15" t="n">
        <f aca="false">COUNTIFS('Page-Keyword Map'!$A$2:$A$668,B471,'Page-Keyword Map'!$E$2:$E$668,"Provincial")</f>
        <v>0</v>
      </c>
      <c r="W471" s="15" t="n">
        <f aca="false">COUNTIFS('Page-Keyword Map'!$A$2:$A$668,B471,'Page-Keyword Map'!$E$2:$E$668,"City")</f>
        <v>1</v>
      </c>
      <c r="X471" s="15" t="str">
        <f aca="false">IF(O471="","",IF(ISNUMBER(SEARCH(O471,J471)),"Yes","No"))</f>
        <v>Yes</v>
      </c>
      <c r="Y471" s="15" t="n">
        <v>0.5</v>
      </c>
      <c r="Z471" s="15" t="s">
        <v>216</v>
      </c>
      <c r="AA471" s="15" t="s">
        <v>217</v>
      </c>
      <c r="AB471" s="17"/>
      <c r="AC471" s="17"/>
    </row>
    <row r="472" customFormat="false" ht="23.85" hidden="false" customHeight="false" outlineLevel="0" collapsed="false">
      <c r="A472" s="15" t="s">
        <v>3034</v>
      </c>
      <c r="B472" s="15" t="s">
        <v>3035</v>
      </c>
      <c r="C472" s="15" t="s">
        <v>2076</v>
      </c>
      <c r="D472" s="15" t="s">
        <v>85</v>
      </c>
      <c r="E472" s="15" t="s">
        <v>272</v>
      </c>
      <c r="F472" s="15"/>
      <c r="G472" s="15" t="s">
        <v>715</v>
      </c>
      <c r="H472" s="15" t="s">
        <v>2316</v>
      </c>
      <c r="I472" s="15" t="s">
        <v>126</v>
      </c>
      <c r="J472" s="3" t="s">
        <v>3036</v>
      </c>
      <c r="K472" s="15" t="n">
        <f aca="false">LEN(J472)</f>
        <v>62</v>
      </c>
      <c r="L472" s="3" t="s">
        <v>3037</v>
      </c>
      <c r="M472" s="15" t="n">
        <f aca="false">LEN(L472)</f>
        <v>141</v>
      </c>
      <c r="N472" s="3" t="s">
        <v>3038</v>
      </c>
      <c r="O472" s="15" t="s">
        <v>3039</v>
      </c>
      <c r="P472" s="16" t="n">
        <v>200</v>
      </c>
      <c r="Q472" s="15" t="s">
        <v>104</v>
      </c>
      <c r="R472" s="15"/>
      <c r="S472" s="15" t="n">
        <f aca="false">COUNTIF('Page-Keyword Map'!$A$2:$A$668,B472)</f>
        <v>1</v>
      </c>
      <c r="T472" s="16" t="n">
        <f aca="false">SUMIF('Page-Keyword Map'!$A$2:$A$668,B472,'Page-Keyword Map'!$H$2:$H$668)</f>
        <v>200</v>
      </c>
      <c r="U472" s="15" t="n">
        <f aca="false">COUNTIFS('Page-Keyword Map'!$A$2:$A$668,B472,'Page-Keyword Map'!$E$2:$E$668,"Nationwide")</f>
        <v>0</v>
      </c>
      <c r="V472" s="15" t="n">
        <f aca="false">COUNTIFS('Page-Keyword Map'!$A$2:$A$668,B472,'Page-Keyword Map'!$E$2:$E$668,"Provincial")</f>
        <v>0</v>
      </c>
      <c r="W472" s="15" t="n">
        <f aca="false">COUNTIFS('Page-Keyword Map'!$A$2:$A$668,B472,'Page-Keyword Map'!$E$2:$E$668,"City")</f>
        <v>1</v>
      </c>
      <c r="X472" s="15" t="str">
        <f aca="false">IF(O472="","",IF(ISNUMBER(SEARCH(O472,J472)),"Yes","No"))</f>
        <v>Yes</v>
      </c>
      <c r="Y472" s="15" t="n">
        <v>0.7</v>
      </c>
      <c r="Z472" s="15" t="s">
        <v>2089</v>
      </c>
      <c r="AA472" s="15" t="s">
        <v>131</v>
      </c>
      <c r="AB472" s="17"/>
      <c r="AC472" s="17"/>
    </row>
    <row r="473" customFormat="false" ht="23.85" hidden="false" customHeight="false" outlineLevel="0" collapsed="false">
      <c r="A473" s="15" t="s">
        <v>3040</v>
      </c>
      <c r="B473" s="15" t="s">
        <v>3041</v>
      </c>
      <c r="C473" s="15" t="s">
        <v>2076</v>
      </c>
      <c r="D473" s="15" t="s">
        <v>85</v>
      </c>
      <c r="E473" s="15" t="s">
        <v>272</v>
      </c>
      <c r="F473" s="15"/>
      <c r="G473" s="15" t="s">
        <v>715</v>
      </c>
      <c r="H473" s="15" t="s">
        <v>2323</v>
      </c>
      <c r="I473" s="15" t="s">
        <v>126</v>
      </c>
      <c r="J473" s="3" t="s">
        <v>3042</v>
      </c>
      <c r="K473" s="15" t="n">
        <f aca="false">LEN(J473)</f>
        <v>59</v>
      </c>
      <c r="L473" s="3" t="s">
        <v>3043</v>
      </c>
      <c r="M473" s="15" t="n">
        <f aca="false">LEN(L473)</f>
        <v>138</v>
      </c>
      <c r="N473" s="3" t="s">
        <v>3044</v>
      </c>
      <c r="O473" s="15" t="s">
        <v>3045</v>
      </c>
      <c r="P473" s="16" t="n">
        <v>76</v>
      </c>
      <c r="Q473" s="15" t="s">
        <v>104</v>
      </c>
      <c r="R473" s="15"/>
      <c r="S473" s="15" t="n">
        <f aca="false">COUNTIF('Page-Keyword Map'!$A$2:$A$668,B473)</f>
        <v>1</v>
      </c>
      <c r="T473" s="16" t="n">
        <f aca="false">SUMIF('Page-Keyword Map'!$A$2:$A$668,B473,'Page-Keyword Map'!$H$2:$H$668)</f>
        <v>76</v>
      </c>
      <c r="U473" s="15" t="n">
        <f aca="false">COUNTIFS('Page-Keyword Map'!$A$2:$A$668,B473,'Page-Keyword Map'!$E$2:$E$668,"Nationwide")</f>
        <v>0</v>
      </c>
      <c r="V473" s="15" t="n">
        <f aca="false">COUNTIFS('Page-Keyword Map'!$A$2:$A$668,B473,'Page-Keyword Map'!$E$2:$E$668,"Provincial")</f>
        <v>0</v>
      </c>
      <c r="W473" s="15" t="n">
        <f aca="false">COUNTIFS('Page-Keyword Map'!$A$2:$A$668,B473,'Page-Keyword Map'!$E$2:$E$668,"City")</f>
        <v>1</v>
      </c>
      <c r="X473" s="15" t="str">
        <f aca="false">IF(O473="","",IF(ISNUMBER(SEARCH(O473,J473)),"Yes","No"))</f>
        <v>Yes</v>
      </c>
      <c r="Y473" s="15" t="n">
        <v>0.5</v>
      </c>
      <c r="Z473" s="15" t="s">
        <v>2089</v>
      </c>
      <c r="AA473" s="15" t="s">
        <v>131</v>
      </c>
      <c r="AB473" s="17"/>
      <c r="AC473" s="17"/>
    </row>
    <row r="474" customFormat="false" ht="23.85" hidden="false" customHeight="false" outlineLevel="0" collapsed="false">
      <c r="A474" s="15" t="s">
        <v>3046</v>
      </c>
      <c r="B474" s="15" t="s">
        <v>3047</v>
      </c>
      <c r="C474" s="15" t="s">
        <v>2076</v>
      </c>
      <c r="D474" s="15" t="s">
        <v>85</v>
      </c>
      <c r="E474" s="15" t="s">
        <v>272</v>
      </c>
      <c r="F474" s="15"/>
      <c r="G474" s="15" t="s">
        <v>715</v>
      </c>
      <c r="H474" s="15" t="s">
        <v>2330</v>
      </c>
      <c r="I474" s="15" t="s">
        <v>126</v>
      </c>
      <c r="J474" s="3" t="s">
        <v>3048</v>
      </c>
      <c r="K474" s="15" t="n">
        <f aca="false">LEN(J474)</f>
        <v>57</v>
      </c>
      <c r="L474" s="3" t="s">
        <v>3049</v>
      </c>
      <c r="M474" s="15" t="n">
        <f aca="false">LEN(L474)</f>
        <v>136</v>
      </c>
      <c r="N474" s="3" t="s">
        <v>3050</v>
      </c>
      <c r="O474" s="15" t="s">
        <v>3051</v>
      </c>
      <c r="P474" s="16" t="n">
        <v>65</v>
      </c>
      <c r="Q474" s="15" t="s">
        <v>104</v>
      </c>
      <c r="R474" s="15"/>
      <c r="S474" s="15" t="n">
        <f aca="false">COUNTIF('Page-Keyword Map'!$A$2:$A$668,B474)</f>
        <v>1</v>
      </c>
      <c r="T474" s="16" t="n">
        <f aca="false">SUMIF('Page-Keyword Map'!$A$2:$A$668,B474,'Page-Keyword Map'!$H$2:$H$668)</f>
        <v>65</v>
      </c>
      <c r="U474" s="15" t="n">
        <f aca="false">COUNTIFS('Page-Keyword Map'!$A$2:$A$668,B474,'Page-Keyword Map'!$E$2:$E$668,"Nationwide")</f>
        <v>0</v>
      </c>
      <c r="V474" s="15" t="n">
        <f aca="false">COUNTIFS('Page-Keyword Map'!$A$2:$A$668,B474,'Page-Keyword Map'!$E$2:$E$668,"Provincial")</f>
        <v>0</v>
      </c>
      <c r="W474" s="15" t="n">
        <f aca="false">COUNTIFS('Page-Keyword Map'!$A$2:$A$668,B474,'Page-Keyword Map'!$E$2:$E$668,"City")</f>
        <v>1</v>
      </c>
      <c r="X474" s="15" t="str">
        <f aca="false">IF(O474="","",IF(ISNUMBER(SEARCH(O474,J474)),"Yes","No"))</f>
        <v>Yes</v>
      </c>
      <c r="Y474" s="15" t="n">
        <v>0.5</v>
      </c>
      <c r="Z474" s="15" t="s">
        <v>2089</v>
      </c>
      <c r="AA474" s="15" t="s">
        <v>131</v>
      </c>
      <c r="AB474" s="17"/>
      <c r="AC474" s="17"/>
    </row>
    <row r="475" customFormat="false" ht="23.85" hidden="false" customHeight="false" outlineLevel="0" collapsed="false">
      <c r="A475" s="15" t="s">
        <v>3052</v>
      </c>
      <c r="B475" s="15" t="s">
        <v>3053</v>
      </c>
      <c r="C475" s="15" t="s">
        <v>2076</v>
      </c>
      <c r="D475" s="15" t="s">
        <v>85</v>
      </c>
      <c r="E475" s="15" t="s">
        <v>272</v>
      </c>
      <c r="F475" s="15"/>
      <c r="G475" s="15" t="s">
        <v>715</v>
      </c>
      <c r="H475" s="15" t="s">
        <v>2337</v>
      </c>
      <c r="I475" s="15" t="s">
        <v>126</v>
      </c>
      <c r="J475" s="3" t="s">
        <v>3054</v>
      </c>
      <c r="K475" s="15" t="n">
        <f aca="false">LEN(J475)</f>
        <v>57</v>
      </c>
      <c r="L475" s="3" t="s">
        <v>3055</v>
      </c>
      <c r="M475" s="15" t="n">
        <f aca="false">LEN(L475)</f>
        <v>136</v>
      </c>
      <c r="N475" s="3" t="s">
        <v>3056</v>
      </c>
      <c r="O475" s="15" t="s">
        <v>3057</v>
      </c>
      <c r="P475" s="16" t="n">
        <v>260</v>
      </c>
      <c r="Q475" s="15" t="s">
        <v>104</v>
      </c>
      <c r="R475" s="15"/>
      <c r="S475" s="15" t="n">
        <f aca="false">COUNTIF('Page-Keyword Map'!$A$2:$A$668,B475)</f>
        <v>1</v>
      </c>
      <c r="T475" s="16" t="n">
        <f aca="false">SUMIF('Page-Keyword Map'!$A$2:$A$668,B475,'Page-Keyword Map'!$H$2:$H$668)</f>
        <v>260</v>
      </c>
      <c r="U475" s="15" t="n">
        <f aca="false">COUNTIFS('Page-Keyword Map'!$A$2:$A$668,B475,'Page-Keyword Map'!$E$2:$E$668,"Nationwide")</f>
        <v>0</v>
      </c>
      <c r="V475" s="15" t="n">
        <f aca="false">COUNTIFS('Page-Keyword Map'!$A$2:$A$668,B475,'Page-Keyword Map'!$E$2:$E$668,"Provincial")</f>
        <v>0</v>
      </c>
      <c r="W475" s="15" t="n">
        <f aca="false">COUNTIFS('Page-Keyword Map'!$A$2:$A$668,B475,'Page-Keyword Map'!$E$2:$E$668,"City")</f>
        <v>1</v>
      </c>
      <c r="X475" s="15" t="str">
        <f aca="false">IF(O475="","",IF(ISNUMBER(SEARCH(O475,J475)),"Yes","No"))</f>
        <v>Yes</v>
      </c>
      <c r="Y475" s="15" t="n">
        <v>0.7</v>
      </c>
      <c r="Z475" s="15" t="s">
        <v>2089</v>
      </c>
      <c r="AA475" s="15" t="s">
        <v>131</v>
      </c>
      <c r="AB475" s="17"/>
      <c r="AC475" s="17"/>
    </row>
    <row r="476" customFormat="false" ht="23.85" hidden="false" customHeight="false" outlineLevel="0" collapsed="false">
      <c r="A476" s="15" t="s">
        <v>3058</v>
      </c>
      <c r="B476" s="15" t="s">
        <v>3059</v>
      </c>
      <c r="C476" s="15" t="s">
        <v>2076</v>
      </c>
      <c r="D476" s="15" t="s">
        <v>85</v>
      </c>
      <c r="E476" s="15" t="s">
        <v>272</v>
      </c>
      <c r="F476" s="15"/>
      <c r="G476" s="15" t="s">
        <v>715</v>
      </c>
      <c r="H476" s="15" t="s">
        <v>2344</v>
      </c>
      <c r="I476" s="15" t="s">
        <v>211</v>
      </c>
      <c r="J476" s="3" t="s">
        <v>3060</v>
      </c>
      <c r="K476" s="15" t="n">
        <f aca="false">LEN(J476)</f>
        <v>60</v>
      </c>
      <c r="L476" s="3" t="s">
        <v>3061</v>
      </c>
      <c r="M476" s="15" t="n">
        <f aca="false">LEN(L476)</f>
        <v>139</v>
      </c>
      <c r="N476" s="3" t="s">
        <v>3062</v>
      </c>
      <c r="O476" s="15" t="s">
        <v>3063</v>
      </c>
      <c r="P476" s="16" t="n">
        <v>41</v>
      </c>
      <c r="Q476" s="15" t="s">
        <v>104</v>
      </c>
      <c r="R476" s="15"/>
      <c r="S476" s="15" t="n">
        <f aca="false">COUNTIF('Page-Keyword Map'!$A$2:$A$668,B476)</f>
        <v>1</v>
      </c>
      <c r="T476" s="16" t="n">
        <f aca="false">SUMIF('Page-Keyword Map'!$A$2:$A$668,B476,'Page-Keyword Map'!$H$2:$H$668)</f>
        <v>41</v>
      </c>
      <c r="U476" s="15" t="n">
        <f aca="false">COUNTIFS('Page-Keyword Map'!$A$2:$A$668,B476,'Page-Keyword Map'!$E$2:$E$668,"Nationwide")</f>
        <v>0</v>
      </c>
      <c r="V476" s="15" t="n">
        <f aca="false">COUNTIFS('Page-Keyword Map'!$A$2:$A$668,B476,'Page-Keyword Map'!$E$2:$E$668,"Provincial")</f>
        <v>0</v>
      </c>
      <c r="W476" s="15" t="n">
        <f aca="false">COUNTIFS('Page-Keyword Map'!$A$2:$A$668,B476,'Page-Keyword Map'!$E$2:$E$668,"City")</f>
        <v>1</v>
      </c>
      <c r="X476" s="15" t="str">
        <f aca="false">IF(O476="","",IF(ISNUMBER(SEARCH(O476,J476)),"Yes","No"))</f>
        <v>Yes</v>
      </c>
      <c r="Y476" s="15" t="n">
        <v>0.5</v>
      </c>
      <c r="Z476" s="15" t="s">
        <v>216</v>
      </c>
      <c r="AA476" s="15" t="s">
        <v>217</v>
      </c>
      <c r="AB476" s="17"/>
      <c r="AC476" s="17"/>
    </row>
    <row r="477" customFormat="false" ht="23.85" hidden="false" customHeight="false" outlineLevel="0" collapsed="false">
      <c r="A477" s="15" t="s">
        <v>3064</v>
      </c>
      <c r="B477" s="15" t="s">
        <v>3065</v>
      </c>
      <c r="C477" s="15" t="s">
        <v>2076</v>
      </c>
      <c r="D477" s="15" t="s">
        <v>85</v>
      </c>
      <c r="E477" s="15" t="s">
        <v>272</v>
      </c>
      <c r="F477" s="15"/>
      <c r="G477" s="15" t="s">
        <v>715</v>
      </c>
      <c r="H477" s="15" t="s">
        <v>2351</v>
      </c>
      <c r="I477" s="15" t="s">
        <v>126</v>
      </c>
      <c r="J477" s="3" t="s">
        <v>3066</v>
      </c>
      <c r="K477" s="15" t="n">
        <f aca="false">LEN(J477)</f>
        <v>64</v>
      </c>
      <c r="L477" s="3" t="s">
        <v>3067</v>
      </c>
      <c r="M477" s="15" t="n">
        <f aca="false">LEN(L477)</f>
        <v>143</v>
      </c>
      <c r="N477" s="3" t="s">
        <v>3068</v>
      </c>
      <c r="O477" s="15" t="s">
        <v>3069</v>
      </c>
      <c r="P477" s="16" t="n">
        <v>72</v>
      </c>
      <c r="Q477" s="15" t="s">
        <v>104</v>
      </c>
      <c r="R477" s="15"/>
      <c r="S477" s="15" t="n">
        <f aca="false">COUNTIF('Page-Keyword Map'!$A$2:$A$668,B477)</f>
        <v>1</v>
      </c>
      <c r="T477" s="16" t="n">
        <f aca="false">SUMIF('Page-Keyword Map'!$A$2:$A$668,B477,'Page-Keyword Map'!$H$2:$H$668)</f>
        <v>72</v>
      </c>
      <c r="U477" s="15" t="n">
        <f aca="false">COUNTIFS('Page-Keyword Map'!$A$2:$A$668,B477,'Page-Keyword Map'!$E$2:$E$668,"Nationwide")</f>
        <v>0</v>
      </c>
      <c r="V477" s="15" t="n">
        <f aca="false">COUNTIFS('Page-Keyword Map'!$A$2:$A$668,B477,'Page-Keyword Map'!$E$2:$E$668,"Provincial")</f>
        <v>0</v>
      </c>
      <c r="W477" s="15" t="n">
        <f aca="false">COUNTIFS('Page-Keyword Map'!$A$2:$A$668,B477,'Page-Keyword Map'!$E$2:$E$668,"City")</f>
        <v>1</v>
      </c>
      <c r="X477" s="15" t="str">
        <f aca="false">IF(O477="","",IF(ISNUMBER(SEARCH(O477,J477)),"Yes","No"))</f>
        <v>Yes</v>
      </c>
      <c r="Y477" s="15" t="n">
        <v>0.5</v>
      </c>
      <c r="Z477" s="15" t="s">
        <v>2089</v>
      </c>
      <c r="AA477" s="15" t="s">
        <v>131</v>
      </c>
      <c r="AB477" s="17"/>
      <c r="AC477" s="17"/>
    </row>
    <row r="478" customFormat="false" ht="23.85" hidden="false" customHeight="false" outlineLevel="0" collapsed="false">
      <c r="A478" s="15" t="s">
        <v>3070</v>
      </c>
      <c r="B478" s="15" t="s">
        <v>3071</v>
      </c>
      <c r="C478" s="15" t="s">
        <v>2076</v>
      </c>
      <c r="D478" s="15" t="s">
        <v>85</v>
      </c>
      <c r="E478" s="15" t="s">
        <v>272</v>
      </c>
      <c r="F478" s="15"/>
      <c r="G478" s="15" t="s">
        <v>715</v>
      </c>
      <c r="H478" s="15" t="s">
        <v>2358</v>
      </c>
      <c r="I478" s="15" t="s">
        <v>126</v>
      </c>
      <c r="J478" s="3" t="s">
        <v>3072</v>
      </c>
      <c r="K478" s="15" t="n">
        <f aca="false">LEN(J478)</f>
        <v>65</v>
      </c>
      <c r="L478" s="3" t="s">
        <v>3073</v>
      </c>
      <c r="M478" s="15" t="n">
        <f aca="false">LEN(L478)</f>
        <v>144</v>
      </c>
      <c r="N478" s="3" t="s">
        <v>3074</v>
      </c>
      <c r="O478" s="15" t="s">
        <v>3075</v>
      </c>
      <c r="P478" s="16" t="n">
        <v>53</v>
      </c>
      <c r="Q478" s="15" t="s">
        <v>104</v>
      </c>
      <c r="R478" s="15"/>
      <c r="S478" s="15" t="n">
        <f aca="false">COUNTIF('Page-Keyword Map'!$A$2:$A$668,B478)</f>
        <v>1</v>
      </c>
      <c r="T478" s="16" t="n">
        <f aca="false">SUMIF('Page-Keyword Map'!$A$2:$A$668,B478,'Page-Keyword Map'!$H$2:$H$668)</f>
        <v>53</v>
      </c>
      <c r="U478" s="15" t="n">
        <f aca="false">COUNTIFS('Page-Keyword Map'!$A$2:$A$668,B478,'Page-Keyword Map'!$E$2:$E$668,"Nationwide")</f>
        <v>0</v>
      </c>
      <c r="V478" s="15" t="n">
        <f aca="false">COUNTIFS('Page-Keyword Map'!$A$2:$A$668,B478,'Page-Keyword Map'!$E$2:$E$668,"Provincial")</f>
        <v>0</v>
      </c>
      <c r="W478" s="15" t="n">
        <f aca="false">COUNTIFS('Page-Keyword Map'!$A$2:$A$668,B478,'Page-Keyword Map'!$E$2:$E$668,"City")</f>
        <v>1</v>
      </c>
      <c r="X478" s="15" t="str">
        <f aca="false">IF(O478="","",IF(ISNUMBER(SEARCH(O478,J478)),"Yes","No"))</f>
        <v>No</v>
      </c>
      <c r="Y478" s="15" t="n">
        <v>0.5</v>
      </c>
      <c r="Z478" s="15" t="s">
        <v>2089</v>
      </c>
      <c r="AA478" s="15" t="s">
        <v>131</v>
      </c>
      <c r="AB478" s="17"/>
      <c r="AC478" s="17"/>
    </row>
    <row r="479" customFormat="false" ht="23.85" hidden="false" customHeight="false" outlineLevel="0" collapsed="false">
      <c r="A479" s="15" t="s">
        <v>3076</v>
      </c>
      <c r="B479" s="15" t="s">
        <v>3077</v>
      </c>
      <c r="C479" s="15" t="s">
        <v>2076</v>
      </c>
      <c r="D479" s="15" t="s">
        <v>85</v>
      </c>
      <c r="E479" s="15" t="s">
        <v>272</v>
      </c>
      <c r="F479" s="15"/>
      <c r="G479" s="15" t="s">
        <v>715</v>
      </c>
      <c r="H479" s="15" t="s">
        <v>2365</v>
      </c>
      <c r="I479" s="15" t="s">
        <v>211</v>
      </c>
      <c r="J479" s="3" t="s">
        <v>3078</v>
      </c>
      <c r="K479" s="15" t="n">
        <f aca="false">LEN(J479)</f>
        <v>58</v>
      </c>
      <c r="L479" s="3" t="s">
        <v>3079</v>
      </c>
      <c r="M479" s="15" t="n">
        <f aca="false">LEN(L479)</f>
        <v>137</v>
      </c>
      <c r="N479" s="3" t="s">
        <v>3080</v>
      </c>
      <c r="O479" s="15" t="s">
        <v>3081</v>
      </c>
      <c r="P479" s="16" t="n">
        <v>62</v>
      </c>
      <c r="Q479" s="15" t="s">
        <v>104</v>
      </c>
      <c r="R479" s="15"/>
      <c r="S479" s="15" t="n">
        <f aca="false">COUNTIF('Page-Keyword Map'!$A$2:$A$668,B479)</f>
        <v>1</v>
      </c>
      <c r="T479" s="16" t="n">
        <f aca="false">SUMIF('Page-Keyword Map'!$A$2:$A$668,B479,'Page-Keyword Map'!$H$2:$H$668)</f>
        <v>62</v>
      </c>
      <c r="U479" s="15" t="n">
        <f aca="false">COUNTIFS('Page-Keyword Map'!$A$2:$A$668,B479,'Page-Keyword Map'!$E$2:$E$668,"Nationwide")</f>
        <v>0</v>
      </c>
      <c r="V479" s="15" t="n">
        <f aca="false">COUNTIFS('Page-Keyword Map'!$A$2:$A$668,B479,'Page-Keyword Map'!$E$2:$E$668,"Provincial")</f>
        <v>0</v>
      </c>
      <c r="W479" s="15" t="n">
        <f aca="false">COUNTIFS('Page-Keyword Map'!$A$2:$A$668,B479,'Page-Keyword Map'!$E$2:$E$668,"City")</f>
        <v>1</v>
      </c>
      <c r="X479" s="15" t="str">
        <f aca="false">IF(O479="","",IF(ISNUMBER(SEARCH(O479,J479)),"Yes","No"))</f>
        <v>Yes</v>
      </c>
      <c r="Y479" s="15" t="n">
        <v>0.5</v>
      </c>
      <c r="Z479" s="15" t="s">
        <v>216</v>
      </c>
      <c r="AA479" s="15" t="s">
        <v>217</v>
      </c>
      <c r="AB479" s="17"/>
      <c r="AC479" s="17"/>
    </row>
    <row r="480" customFormat="false" ht="23.85" hidden="false" customHeight="false" outlineLevel="0" collapsed="false">
      <c r="A480" s="15" t="s">
        <v>3082</v>
      </c>
      <c r="B480" s="15" t="s">
        <v>3083</v>
      </c>
      <c r="C480" s="15" t="s">
        <v>2076</v>
      </c>
      <c r="D480" s="15" t="s">
        <v>85</v>
      </c>
      <c r="E480" s="15" t="s">
        <v>272</v>
      </c>
      <c r="F480" s="15"/>
      <c r="G480" s="15" t="s">
        <v>715</v>
      </c>
      <c r="H480" s="15" t="s">
        <v>2372</v>
      </c>
      <c r="I480" s="15" t="s">
        <v>211</v>
      </c>
      <c r="J480" s="3" t="s">
        <v>3084</v>
      </c>
      <c r="K480" s="15" t="n">
        <f aca="false">LEN(J480)</f>
        <v>62</v>
      </c>
      <c r="L480" s="3" t="s">
        <v>3085</v>
      </c>
      <c r="M480" s="15" t="n">
        <f aca="false">LEN(L480)</f>
        <v>141</v>
      </c>
      <c r="N480" s="3" t="s">
        <v>3086</v>
      </c>
      <c r="O480" s="15" t="s">
        <v>3087</v>
      </c>
      <c r="P480" s="16" t="n">
        <v>44</v>
      </c>
      <c r="Q480" s="15" t="s">
        <v>104</v>
      </c>
      <c r="R480" s="15"/>
      <c r="S480" s="15" t="n">
        <f aca="false">COUNTIF('Page-Keyword Map'!$A$2:$A$668,B480)</f>
        <v>1</v>
      </c>
      <c r="T480" s="16" t="n">
        <f aca="false">SUMIF('Page-Keyword Map'!$A$2:$A$668,B480,'Page-Keyword Map'!$H$2:$H$668)</f>
        <v>44</v>
      </c>
      <c r="U480" s="15" t="n">
        <f aca="false">COUNTIFS('Page-Keyword Map'!$A$2:$A$668,B480,'Page-Keyword Map'!$E$2:$E$668,"Nationwide")</f>
        <v>0</v>
      </c>
      <c r="V480" s="15" t="n">
        <f aca="false">COUNTIFS('Page-Keyword Map'!$A$2:$A$668,B480,'Page-Keyword Map'!$E$2:$E$668,"Provincial")</f>
        <v>0</v>
      </c>
      <c r="W480" s="15" t="n">
        <f aca="false">COUNTIFS('Page-Keyword Map'!$A$2:$A$668,B480,'Page-Keyword Map'!$E$2:$E$668,"City")</f>
        <v>1</v>
      </c>
      <c r="X480" s="15" t="str">
        <f aca="false">IF(O480="","",IF(ISNUMBER(SEARCH(O480,J480)),"Yes","No"))</f>
        <v>Yes</v>
      </c>
      <c r="Y480" s="15" t="n">
        <v>0.5</v>
      </c>
      <c r="Z480" s="15" t="s">
        <v>216</v>
      </c>
      <c r="AA480" s="15" t="s">
        <v>217</v>
      </c>
      <c r="AB480" s="17"/>
      <c r="AC480" s="17"/>
    </row>
    <row r="481" customFormat="false" ht="23.85" hidden="false" customHeight="false" outlineLevel="0" collapsed="false">
      <c r="A481" s="15" t="s">
        <v>3088</v>
      </c>
      <c r="B481" s="15" t="s">
        <v>3089</v>
      </c>
      <c r="C481" s="15" t="s">
        <v>2076</v>
      </c>
      <c r="D481" s="15" t="s">
        <v>85</v>
      </c>
      <c r="E481" s="15" t="s">
        <v>272</v>
      </c>
      <c r="F481" s="15"/>
      <c r="G481" s="15" t="s">
        <v>715</v>
      </c>
      <c r="H481" s="15" t="s">
        <v>2379</v>
      </c>
      <c r="I481" s="15" t="s">
        <v>126</v>
      </c>
      <c r="J481" s="3" t="s">
        <v>3090</v>
      </c>
      <c r="K481" s="15" t="n">
        <f aca="false">LEN(J481)</f>
        <v>58</v>
      </c>
      <c r="L481" s="3" t="s">
        <v>3091</v>
      </c>
      <c r="M481" s="15" t="n">
        <f aca="false">LEN(L481)</f>
        <v>137</v>
      </c>
      <c r="N481" s="3" t="s">
        <v>3092</v>
      </c>
      <c r="O481" s="15" t="s">
        <v>3093</v>
      </c>
      <c r="P481" s="16" t="n">
        <v>590</v>
      </c>
      <c r="Q481" s="15" t="s">
        <v>104</v>
      </c>
      <c r="R481" s="15"/>
      <c r="S481" s="15" t="n">
        <f aca="false">COUNTIF('Page-Keyword Map'!$A$2:$A$668,B481)</f>
        <v>1</v>
      </c>
      <c r="T481" s="16" t="n">
        <f aca="false">SUMIF('Page-Keyword Map'!$A$2:$A$668,B481,'Page-Keyword Map'!$H$2:$H$668)</f>
        <v>590</v>
      </c>
      <c r="U481" s="15" t="n">
        <f aca="false">COUNTIFS('Page-Keyword Map'!$A$2:$A$668,B481,'Page-Keyword Map'!$E$2:$E$668,"Nationwide")</f>
        <v>0</v>
      </c>
      <c r="V481" s="15" t="n">
        <f aca="false">COUNTIFS('Page-Keyword Map'!$A$2:$A$668,B481,'Page-Keyword Map'!$E$2:$E$668,"Provincial")</f>
        <v>0</v>
      </c>
      <c r="W481" s="15" t="n">
        <f aca="false">COUNTIFS('Page-Keyword Map'!$A$2:$A$668,B481,'Page-Keyword Map'!$E$2:$E$668,"City")</f>
        <v>1</v>
      </c>
      <c r="X481" s="15" t="str">
        <f aca="false">IF(O481="","",IF(ISNUMBER(SEARCH(O481,J481)),"Yes","No"))</f>
        <v>Yes</v>
      </c>
      <c r="Y481" s="15" t="n">
        <v>0.7</v>
      </c>
      <c r="Z481" s="15" t="s">
        <v>2089</v>
      </c>
      <c r="AA481" s="15" t="s">
        <v>131</v>
      </c>
      <c r="AB481" s="17"/>
      <c r="AC481" s="17"/>
    </row>
    <row r="482" customFormat="false" ht="23.85" hidden="false" customHeight="false" outlineLevel="0" collapsed="false">
      <c r="A482" s="15" t="s">
        <v>3094</v>
      </c>
      <c r="B482" s="15" t="s">
        <v>3095</v>
      </c>
      <c r="C482" s="15" t="s">
        <v>2076</v>
      </c>
      <c r="D482" s="15" t="s">
        <v>85</v>
      </c>
      <c r="E482" s="15" t="s">
        <v>272</v>
      </c>
      <c r="F482" s="15"/>
      <c r="G482" s="15" t="s">
        <v>715</v>
      </c>
      <c r="H482" s="15" t="s">
        <v>2386</v>
      </c>
      <c r="I482" s="15" t="s">
        <v>126</v>
      </c>
      <c r="J482" s="3" t="s">
        <v>3096</v>
      </c>
      <c r="K482" s="15" t="n">
        <f aca="false">LEN(J482)</f>
        <v>58</v>
      </c>
      <c r="L482" s="3" t="s">
        <v>3097</v>
      </c>
      <c r="M482" s="15" t="n">
        <f aca="false">LEN(L482)</f>
        <v>137</v>
      </c>
      <c r="N482" s="3" t="s">
        <v>3098</v>
      </c>
      <c r="O482" s="15" t="s">
        <v>3099</v>
      </c>
      <c r="P482" s="16" t="n">
        <v>110</v>
      </c>
      <c r="Q482" s="15" t="s">
        <v>104</v>
      </c>
      <c r="R482" s="15"/>
      <c r="S482" s="15" t="n">
        <f aca="false">COUNTIF('Page-Keyword Map'!$A$2:$A$668,B482)</f>
        <v>1</v>
      </c>
      <c r="T482" s="16" t="n">
        <f aca="false">SUMIF('Page-Keyword Map'!$A$2:$A$668,B482,'Page-Keyword Map'!$H$2:$H$668)</f>
        <v>110</v>
      </c>
      <c r="U482" s="15" t="n">
        <f aca="false">COUNTIFS('Page-Keyword Map'!$A$2:$A$668,B482,'Page-Keyword Map'!$E$2:$E$668,"Nationwide")</f>
        <v>0</v>
      </c>
      <c r="V482" s="15" t="n">
        <f aca="false">COUNTIFS('Page-Keyword Map'!$A$2:$A$668,B482,'Page-Keyword Map'!$E$2:$E$668,"Provincial")</f>
        <v>0</v>
      </c>
      <c r="W482" s="15" t="n">
        <f aca="false">COUNTIFS('Page-Keyword Map'!$A$2:$A$668,B482,'Page-Keyword Map'!$E$2:$E$668,"City")</f>
        <v>1</v>
      </c>
      <c r="X482" s="15" t="str">
        <f aca="false">IF(O482="","",IF(ISNUMBER(SEARCH(O482,J482)),"Yes","No"))</f>
        <v>Yes</v>
      </c>
      <c r="Y482" s="15" t="n">
        <v>0.7</v>
      </c>
      <c r="Z482" s="15" t="s">
        <v>2089</v>
      </c>
      <c r="AA482" s="15" t="s">
        <v>131</v>
      </c>
      <c r="AB482" s="17"/>
      <c r="AC482" s="17"/>
    </row>
    <row r="483" customFormat="false" ht="23.85" hidden="false" customHeight="false" outlineLevel="0" collapsed="false">
      <c r="A483" s="15" t="s">
        <v>3100</v>
      </c>
      <c r="B483" s="15" t="s">
        <v>3101</v>
      </c>
      <c r="C483" s="15" t="s">
        <v>2076</v>
      </c>
      <c r="D483" s="15" t="s">
        <v>85</v>
      </c>
      <c r="E483" s="15" t="s">
        <v>272</v>
      </c>
      <c r="F483" s="15"/>
      <c r="G483" s="15" t="s">
        <v>715</v>
      </c>
      <c r="H483" s="15" t="s">
        <v>2393</v>
      </c>
      <c r="I483" s="15" t="s">
        <v>126</v>
      </c>
      <c r="J483" s="3" t="s">
        <v>3102</v>
      </c>
      <c r="K483" s="15" t="n">
        <f aca="false">LEN(J483)</f>
        <v>59</v>
      </c>
      <c r="L483" s="3" t="s">
        <v>3103</v>
      </c>
      <c r="M483" s="15" t="n">
        <f aca="false">LEN(L483)</f>
        <v>138</v>
      </c>
      <c r="N483" s="3" t="s">
        <v>3104</v>
      </c>
      <c r="O483" s="15" t="s">
        <v>3105</v>
      </c>
      <c r="P483" s="16" t="n">
        <v>48</v>
      </c>
      <c r="Q483" s="15" t="s">
        <v>104</v>
      </c>
      <c r="R483" s="15"/>
      <c r="S483" s="15" t="n">
        <f aca="false">COUNTIF('Page-Keyword Map'!$A$2:$A$668,B483)</f>
        <v>1</v>
      </c>
      <c r="T483" s="16" t="n">
        <f aca="false">SUMIF('Page-Keyword Map'!$A$2:$A$668,B483,'Page-Keyword Map'!$H$2:$H$668)</f>
        <v>48</v>
      </c>
      <c r="U483" s="15" t="n">
        <f aca="false">COUNTIFS('Page-Keyword Map'!$A$2:$A$668,B483,'Page-Keyword Map'!$E$2:$E$668,"Nationwide")</f>
        <v>0</v>
      </c>
      <c r="V483" s="15" t="n">
        <f aca="false">COUNTIFS('Page-Keyword Map'!$A$2:$A$668,B483,'Page-Keyword Map'!$E$2:$E$668,"Provincial")</f>
        <v>0</v>
      </c>
      <c r="W483" s="15" t="n">
        <f aca="false">COUNTIFS('Page-Keyword Map'!$A$2:$A$668,B483,'Page-Keyword Map'!$E$2:$E$668,"City")</f>
        <v>1</v>
      </c>
      <c r="X483" s="15" t="str">
        <f aca="false">IF(O483="","",IF(ISNUMBER(SEARCH(O483,J483)),"Yes","No"))</f>
        <v>Yes</v>
      </c>
      <c r="Y483" s="15" t="n">
        <v>0.5</v>
      </c>
      <c r="Z483" s="15" t="s">
        <v>2089</v>
      </c>
      <c r="AA483" s="15" t="s">
        <v>131</v>
      </c>
      <c r="AB483" s="17"/>
      <c r="AC483" s="17"/>
    </row>
    <row r="484" customFormat="false" ht="23.85" hidden="false" customHeight="false" outlineLevel="0" collapsed="false">
      <c r="A484" s="15" t="s">
        <v>3106</v>
      </c>
      <c r="B484" s="15" t="s">
        <v>3107</v>
      </c>
      <c r="C484" s="15" t="s">
        <v>2076</v>
      </c>
      <c r="D484" s="15" t="s">
        <v>85</v>
      </c>
      <c r="E484" s="15" t="s">
        <v>272</v>
      </c>
      <c r="F484" s="15"/>
      <c r="G484" s="15" t="s">
        <v>715</v>
      </c>
      <c r="H484" s="15" t="s">
        <v>2400</v>
      </c>
      <c r="I484" s="15" t="s">
        <v>211</v>
      </c>
      <c r="J484" s="3" t="s">
        <v>3108</v>
      </c>
      <c r="K484" s="15" t="n">
        <f aca="false">LEN(J484)</f>
        <v>57</v>
      </c>
      <c r="L484" s="3" t="s">
        <v>3109</v>
      </c>
      <c r="M484" s="15" t="n">
        <f aca="false">LEN(L484)</f>
        <v>136</v>
      </c>
      <c r="N484" s="3" t="s">
        <v>3110</v>
      </c>
      <c r="O484" s="15" t="s">
        <v>3111</v>
      </c>
      <c r="P484" s="16" t="n">
        <v>53</v>
      </c>
      <c r="Q484" s="15" t="s">
        <v>104</v>
      </c>
      <c r="R484" s="15"/>
      <c r="S484" s="15" t="n">
        <f aca="false">COUNTIF('Page-Keyword Map'!$A$2:$A$668,B484)</f>
        <v>1</v>
      </c>
      <c r="T484" s="16" t="n">
        <f aca="false">SUMIF('Page-Keyword Map'!$A$2:$A$668,B484,'Page-Keyword Map'!$H$2:$H$668)</f>
        <v>53</v>
      </c>
      <c r="U484" s="15" t="n">
        <f aca="false">COUNTIFS('Page-Keyword Map'!$A$2:$A$668,B484,'Page-Keyword Map'!$E$2:$E$668,"Nationwide")</f>
        <v>0</v>
      </c>
      <c r="V484" s="15" t="n">
        <f aca="false">COUNTIFS('Page-Keyword Map'!$A$2:$A$668,B484,'Page-Keyword Map'!$E$2:$E$668,"Provincial")</f>
        <v>0</v>
      </c>
      <c r="W484" s="15" t="n">
        <f aca="false">COUNTIFS('Page-Keyword Map'!$A$2:$A$668,B484,'Page-Keyword Map'!$E$2:$E$668,"City")</f>
        <v>1</v>
      </c>
      <c r="X484" s="15" t="str">
        <f aca="false">IF(O484="","",IF(ISNUMBER(SEARCH(O484,J484)),"Yes","No"))</f>
        <v>Yes</v>
      </c>
      <c r="Y484" s="15" t="n">
        <v>0.5</v>
      </c>
      <c r="Z484" s="15" t="s">
        <v>216</v>
      </c>
      <c r="AA484" s="15" t="s">
        <v>217</v>
      </c>
      <c r="AB484" s="17"/>
      <c r="AC484" s="17"/>
    </row>
    <row r="485" customFormat="false" ht="23.85" hidden="false" customHeight="false" outlineLevel="0" collapsed="false">
      <c r="A485" s="15" t="s">
        <v>3112</v>
      </c>
      <c r="B485" s="15" t="s">
        <v>3113</v>
      </c>
      <c r="C485" s="15" t="s">
        <v>2076</v>
      </c>
      <c r="D485" s="15" t="s">
        <v>85</v>
      </c>
      <c r="E485" s="15" t="s">
        <v>272</v>
      </c>
      <c r="F485" s="15"/>
      <c r="G485" s="15" t="s">
        <v>715</v>
      </c>
      <c r="H485" s="15" t="s">
        <v>2407</v>
      </c>
      <c r="I485" s="15" t="s">
        <v>126</v>
      </c>
      <c r="J485" s="3" t="s">
        <v>3114</v>
      </c>
      <c r="K485" s="15" t="n">
        <f aca="false">LEN(J485)</f>
        <v>58</v>
      </c>
      <c r="L485" s="3" t="s">
        <v>3115</v>
      </c>
      <c r="M485" s="15" t="n">
        <f aca="false">LEN(L485)</f>
        <v>137</v>
      </c>
      <c r="N485" s="3" t="s">
        <v>3116</v>
      </c>
      <c r="O485" s="15" t="s">
        <v>3117</v>
      </c>
      <c r="P485" s="16" t="n">
        <v>80</v>
      </c>
      <c r="Q485" s="15" t="s">
        <v>104</v>
      </c>
      <c r="R485" s="15"/>
      <c r="S485" s="15" t="n">
        <f aca="false">COUNTIF('Page-Keyword Map'!$A$2:$A$668,B485)</f>
        <v>1</v>
      </c>
      <c r="T485" s="16" t="n">
        <f aca="false">SUMIF('Page-Keyword Map'!$A$2:$A$668,B485,'Page-Keyword Map'!$H$2:$H$668)</f>
        <v>80</v>
      </c>
      <c r="U485" s="15" t="n">
        <f aca="false">COUNTIFS('Page-Keyword Map'!$A$2:$A$668,B485,'Page-Keyword Map'!$E$2:$E$668,"Nationwide")</f>
        <v>0</v>
      </c>
      <c r="V485" s="15" t="n">
        <f aca="false">COUNTIFS('Page-Keyword Map'!$A$2:$A$668,B485,'Page-Keyword Map'!$E$2:$E$668,"Provincial")</f>
        <v>0</v>
      </c>
      <c r="W485" s="15" t="n">
        <f aca="false">COUNTIFS('Page-Keyword Map'!$A$2:$A$668,B485,'Page-Keyword Map'!$E$2:$E$668,"City")</f>
        <v>1</v>
      </c>
      <c r="X485" s="15" t="str">
        <f aca="false">IF(O485="","",IF(ISNUMBER(SEARCH(O485,J485)),"Yes","No"))</f>
        <v>Yes</v>
      </c>
      <c r="Y485" s="15" t="n">
        <v>0.7</v>
      </c>
      <c r="Z485" s="15" t="s">
        <v>2089</v>
      </c>
      <c r="AA485" s="15" t="s">
        <v>131</v>
      </c>
      <c r="AB485" s="17"/>
      <c r="AC485" s="17"/>
    </row>
    <row r="486" customFormat="false" ht="23.85" hidden="false" customHeight="false" outlineLevel="0" collapsed="false">
      <c r="A486" s="15" t="s">
        <v>3118</v>
      </c>
      <c r="B486" s="15" t="s">
        <v>3119</v>
      </c>
      <c r="C486" s="15" t="s">
        <v>2076</v>
      </c>
      <c r="D486" s="15" t="s">
        <v>85</v>
      </c>
      <c r="E486" s="15" t="s">
        <v>272</v>
      </c>
      <c r="F486" s="15"/>
      <c r="G486" s="15" t="s">
        <v>722</v>
      </c>
      <c r="H486" s="15" t="s">
        <v>2414</v>
      </c>
      <c r="I486" s="15" t="s">
        <v>126</v>
      </c>
      <c r="J486" s="3" t="s">
        <v>3120</v>
      </c>
      <c r="K486" s="15" t="n">
        <f aca="false">LEN(J486)</f>
        <v>64</v>
      </c>
      <c r="L486" s="3" t="s">
        <v>3121</v>
      </c>
      <c r="M486" s="15" t="n">
        <f aca="false">LEN(L486)</f>
        <v>156</v>
      </c>
      <c r="N486" s="3" t="s">
        <v>3122</v>
      </c>
      <c r="O486" s="15"/>
      <c r="P486" s="16"/>
      <c r="Q486" s="15"/>
      <c r="R486" s="15" t="s">
        <v>3123</v>
      </c>
      <c r="S486" s="15" t="n">
        <f aca="false">COUNTIF('Page-Keyword Map'!$A$2:$A$668,B486)</f>
        <v>0</v>
      </c>
      <c r="T486" s="16" t="n">
        <f aca="false">SUMIF('Page-Keyword Map'!$A$2:$A$668,B486,'Page-Keyword Map'!$H$2:$H$668)</f>
        <v>0</v>
      </c>
      <c r="U486" s="15" t="n">
        <f aca="false">COUNTIFS('Page-Keyword Map'!$A$2:$A$668,B486,'Page-Keyword Map'!$E$2:$E$668,"Nationwide")</f>
        <v>0</v>
      </c>
      <c r="V486" s="15" t="n">
        <f aca="false">COUNTIFS('Page-Keyword Map'!$A$2:$A$668,B486,'Page-Keyword Map'!$E$2:$E$668,"Provincial")</f>
        <v>0</v>
      </c>
      <c r="W486" s="15" t="n">
        <f aca="false">COUNTIFS('Page-Keyword Map'!$A$2:$A$668,B486,'Page-Keyword Map'!$E$2:$E$668,"City")</f>
        <v>0</v>
      </c>
      <c r="X486" s="15" t="str">
        <f aca="false">IF(O486="","",IF(ISNUMBER(SEARCH(O486,J486)),"Yes","No"))</f>
        <v/>
      </c>
      <c r="Y486" s="15" t="n">
        <v>0.5</v>
      </c>
      <c r="Z486" s="15" t="s">
        <v>2089</v>
      </c>
      <c r="AA486" s="15" t="s">
        <v>131</v>
      </c>
      <c r="AB486" s="17"/>
      <c r="AC486" s="17"/>
    </row>
    <row r="487" customFormat="false" ht="23.85" hidden="false" customHeight="false" outlineLevel="0" collapsed="false">
      <c r="A487" s="15" t="s">
        <v>3124</v>
      </c>
      <c r="B487" s="15" t="s">
        <v>3125</v>
      </c>
      <c r="C487" s="15" t="s">
        <v>2076</v>
      </c>
      <c r="D487" s="15" t="s">
        <v>85</v>
      </c>
      <c r="E487" s="15" t="s">
        <v>272</v>
      </c>
      <c r="F487" s="15"/>
      <c r="G487" s="15" t="s">
        <v>729</v>
      </c>
      <c r="H487" s="15" t="s">
        <v>2421</v>
      </c>
      <c r="I487" s="15" t="s">
        <v>126</v>
      </c>
      <c r="J487" s="3" t="s">
        <v>3126</v>
      </c>
      <c r="K487" s="15" t="n">
        <f aca="false">LEN(J487)</f>
        <v>59</v>
      </c>
      <c r="L487" s="3" t="s">
        <v>3127</v>
      </c>
      <c r="M487" s="15" t="n">
        <f aca="false">LEN(L487)</f>
        <v>150</v>
      </c>
      <c r="N487" s="3" t="s">
        <v>3128</v>
      </c>
      <c r="O487" s="15" t="s">
        <v>3129</v>
      </c>
      <c r="P487" s="16" t="n">
        <v>29</v>
      </c>
      <c r="Q487" s="15" t="s">
        <v>104</v>
      </c>
      <c r="R487" s="15"/>
      <c r="S487" s="15" t="n">
        <f aca="false">COUNTIF('Page-Keyword Map'!$A$2:$A$668,B487)</f>
        <v>1</v>
      </c>
      <c r="T487" s="16" t="n">
        <f aca="false">SUMIF('Page-Keyword Map'!$A$2:$A$668,B487,'Page-Keyword Map'!$H$2:$H$668)</f>
        <v>29</v>
      </c>
      <c r="U487" s="15" t="n">
        <f aca="false">COUNTIFS('Page-Keyword Map'!$A$2:$A$668,B487,'Page-Keyword Map'!$E$2:$E$668,"Nationwide")</f>
        <v>0</v>
      </c>
      <c r="V487" s="15" t="n">
        <f aca="false">COUNTIFS('Page-Keyword Map'!$A$2:$A$668,B487,'Page-Keyword Map'!$E$2:$E$668,"Provincial")</f>
        <v>0</v>
      </c>
      <c r="W487" s="15" t="n">
        <f aca="false">COUNTIFS('Page-Keyword Map'!$A$2:$A$668,B487,'Page-Keyword Map'!$E$2:$E$668,"City")</f>
        <v>1</v>
      </c>
      <c r="X487" s="15" t="str">
        <f aca="false">IF(O487="","",IF(ISNUMBER(SEARCH(O487,J487)),"Yes","No"))</f>
        <v>Yes</v>
      </c>
      <c r="Y487" s="15" t="n">
        <v>0.5</v>
      </c>
      <c r="Z487" s="15" t="s">
        <v>2089</v>
      </c>
      <c r="AA487" s="15" t="s">
        <v>131</v>
      </c>
      <c r="AB487" s="17"/>
      <c r="AC487" s="17"/>
    </row>
    <row r="488" customFormat="false" ht="23.85" hidden="false" customHeight="false" outlineLevel="0" collapsed="false">
      <c r="A488" s="15" t="s">
        <v>3130</v>
      </c>
      <c r="B488" s="15" t="s">
        <v>3131</v>
      </c>
      <c r="C488" s="15" t="s">
        <v>2076</v>
      </c>
      <c r="D488" s="15" t="s">
        <v>85</v>
      </c>
      <c r="E488" s="15" t="s">
        <v>272</v>
      </c>
      <c r="F488" s="15"/>
      <c r="G488" s="15" t="s">
        <v>729</v>
      </c>
      <c r="H488" s="15" t="s">
        <v>2428</v>
      </c>
      <c r="I488" s="15" t="s">
        <v>126</v>
      </c>
      <c r="J488" s="3" t="s">
        <v>3132</v>
      </c>
      <c r="K488" s="15" t="n">
        <f aca="false">LEN(J488)</f>
        <v>56</v>
      </c>
      <c r="L488" s="3" t="s">
        <v>3133</v>
      </c>
      <c r="M488" s="15" t="n">
        <f aca="false">LEN(L488)</f>
        <v>147</v>
      </c>
      <c r="N488" s="3" t="s">
        <v>3134</v>
      </c>
      <c r="O488" s="15" t="s">
        <v>3135</v>
      </c>
      <c r="P488" s="16" t="n">
        <v>40</v>
      </c>
      <c r="Q488" s="15" t="s">
        <v>104</v>
      </c>
      <c r="R488" s="15"/>
      <c r="S488" s="15" t="n">
        <f aca="false">COUNTIF('Page-Keyword Map'!$A$2:$A$668,B488)</f>
        <v>1</v>
      </c>
      <c r="T488" s="16" t="n">
        <f aca="false">SUMIF('Page-Keyword Map'!$A$2:$A$668,B488,'Page-Keyword Map'!$H$2:$H$668)</f>
        <v>40</v>
      </c>
      <c r="U488" s="15" t="n">
        <f aca="false">COUNTIFS('Page-Keyword Map'!$A$2:$A$668,B488,'Page-Keyword Map'!$E$2:$E$668,"Nationwide")</f>
        <v>0</v>
      </c>
      <c r="V488" s="15" t="n">
        <f aca="false">COUNTIFS('Page-Keyword Map'!$A$2:$A$668,B488,'Page-Keyword Map'!$E$2:$E$668,"Provincial")</f>
        <v>0</v>
      </c>
      <c r="W488" s="15" t="n">
        <f aca="false">COUNTIFS('Page-Keyword Map'!$A$2:$A$668,B488,'Page-Keyword Map'!$E$2:$E$668,"City")</f>
        <v>1</v>
      </c>
      <c r="X488" s="15" t="str">
        <f aca="false">IF(O488="","",IF(ISNUMBER(SEARCH(O488,J488)),"Yes","No"))</f>
        <v>Yes</v>
      </c>
      <c r="Y488" s="15" t="n">
        <v>0.7</v>
      </c>
      <c r="Z488" s="15" t="s">
        <v>2089</v>
      </c>
      <c r="AA488" s="15" t="s">
        <v>131</v>
      </c>
      <c r="AB488" s="17"/>
      <c r="AC488" s="17"/>
    </row>
    <row r="489" customFormat="false" ht="23.85" hidden="false" customHeight="false" outlineLevel="0" collapsed="false">
      <c r="A489" s="15" t="s">
        <v>3136</v>
      </c>
      <c r="B489" s="15" t="s">
        <v>3137</v>
      </c>
      <c r="C489" s="15" t="s">
        <v>2076</v>
      </c>
      <c r="D489" s="15" t="s">
        <v>85</v>
      </c>
      <c r="E489" s="15" t="s">
        <v>272</v>
      </c>
      <c r="F489" s="15"/>
      <c r="G489" s="15" t="s">
        <v>729</v>
      </c>
      <c r="H489" s="15" t="s">
        <v>2435</v>
      </c>
      <c r="I489" s="15" t="s">
        <v>126</v>
      </c>
      <c r="J489" s="3" t="s">
        <v>3138</v>
      </c>
      <c r="K489" s="15" t="n">
        <f aca="false">LEN(J489)</f>
        <v>60</v>
      </c>
      <c r="L489" s="3" t="s">
        <v>3139</v>
      </c>
      <c r="M489" s="15" t="n">
        <f aca="false">LEN(L489)</f>
        <v>151</v>
      </c>
      <c r="N489" s="3" t="s">
        <v>3140</v>
      </c>
      <c r="O489" s="15" t="s">
        <v>3141</v>
      </c>
      <c r="P489" s="16" t="n">
        <v>26</v>
      </c>
      <c r="Q489" s="15" t="s">
        <v>104</v>
      </c>
      <c r="R489" s="15"/>
      <c r="S489" s="15" t="n">
        <f aca="false">COUNTIF('Page-Keyword Map'!$A$2:$A$668,B489)</f>
        <v>1</v>
      </c>
      <c r="T489" s="16" t="n">
        <f aca="false">SUMIF('Page-Keyword Map'!$A$2:$A$668,B489,'Page-Keyword Map'!$H$2:$H$668)</f>
        <v>26</v>
      </c>
      <c r="U489" s="15" t="n">
        <f aca="false">COUNTIFS('Page-Keyword Map'!$A$2:$A$668,B489,'Page-Keyword Map'!$E$2:$E$668,"Nationwide")</f>
        <v>0</v>
      </c>
      <c r="V489" s="15" t="n">
        <f aca="false">COUNTIFS('Page-Keyword Map'!$A$2:$A$668,B489,'Page-Keyword Map'!$E$2:$E$668,"Provincial")</f>
        <v>0</v>
      </c>
      <c r="W489" s="15" t="n">
        <f aca="false">COUNTIFS('Page-Keyword Map'!$A$2:$A$668,B489,'Page-Keyword Map'!$E$2:$E$668,"City")</f>
        <v>1</v>
      </c>
      <c r="X489" s="15" t="str">
        <f aca="false">IF(O489="","",IF(ISNUMBER(SEARCH(O489,J489)),"Yes","No"))</f>
        <v>Yes</v>
      </c>
      <c r="Y489" s="15" t="n">
        <v>0.5</v>
      </c>
      <c r="Z489" s="15" t="s">
        <v>2089</v>
      </c>
      <c r="AA489" s="15" t="s">
        <v>131</v>
      </c>
      <c r="AB489" s="17"/>
      <c r="AC489" s="17"/>
    </row>
    <row r="490" customFormat="false" ht="23.85" hidden="false" customHeight="false" outlineLevel="0" collapsed="false">
      <c r="A490" s="15" t="s">
        <v>3142</v>
      </c>
      <c r="B490" s="15" t="s">
        <v>3143</v>
      </c>
      <c r="C490" s="15" t="s">
        <v>2076</v>
      </c>
      <c r="D490" s="15" t="s">
        <v>85</v>
      </c>
      <c r="E490" s="15" t="s">
        <v>272</v>
      </c>
      <c r="F490" s="15"/>
      <c r="G490" s="15" t="s">
        <v>729</v>
      </c>
      <c r="H490" s="15" t="s">
        <v>2442</v>
      </c>
      <c r="I490" s="15" t="s">
        <v>126</v>
      </c>
      <c r="J490" s="3" t="s">
        <v>3144</v>
      </c>
      <c r="K490" s="15" t="n">
        <f aca="false">LEN(J490)</f>
        <v>59</v>
      </c>
      <c r="L490" s="3" t="s">
        <v>3145</v>
      </c>
      <c r="M490" s="15" t="n">
        <f aca="false">LEN(L490)</f>
        <v>150</v>
      </c>
      <c r="N490" s="3" t="s">
        <v>3146</v>
      </c>
      <c r="O490" s="15" t="s">
        <v>3147</v>
      </c>
      <c r="P490" s="16" t="n">
        <v>120</v>
      </c>
      <c r="Q490" s="15" t="s">
        <v>104</v>
      </c>
      <c r="R490" s="15"/>
      <c r="S490" s="15" t="n">
        <f aca="false">COUNTIF('Page-Keyword Map'!$A$2:$A$668,B490)</f>
        <v>1</v>
      </c>
      <c r="T490" s="16" t="n">
        <f aca="false">SUMIF('Page-Keyword Map'!$A$2:$A$668,B490,'Page-Keyword Map'!$H$2:$H$668)</f>
        <v>120</v>
      </c>
      <c r="U490" s="15" t="n">
        <f aca="false">COUNTIFS('Page-Keyword Map'!$A$2:$A$668,B490,'Page-Keyword Map'!$E$2:$E$668,"Nationwide")</f>
        <v>0</v>
      </c>
      <c r="V490" s="15" t="n">
        <f aca="false">COUNTIFS('Page-Keyword Map'!$A$2:$A$668,B490,'Page-Keyword Map'!$E$2:$E$668,"Provincial")</f>
        <v>0</v>
      </c>
      <c r="W490" s="15" t="n">
        <f aca="false">COUNTIFS('Page-Keyword Map'!$A$2:$A$668,B490,'Page-Keyword Map'!$E$2:$E$668,"City")</f>
        <v>1</v>
      </c>
      <c r="X490" s="15" t="str">
        <f aca="false">IF(O490="","",IF(ISNUMBER(SEARCH(O490,J490)),"Yes","No"))</f>
        <v>Yes</v>
      </c>
      <c r="Y490" s="15" t="n">
        <v>0.7</v>
      </c>
      <c r="Z490" s="15" t="s">
        <v>2089</v>
      </c>
      <c r="AA490" s="15" t="s">
        <v>131</v>
      </c>
      <c r="AB490" s="17"/>
      <c r="AC490" s="17"/>
    </row>
    <row r="491" customFormat="false" ht="23.85" hidden="false" customHeight="false" outlineLevel="0" collapsed="false">
      <c r="A491" s="15" t="s">
        <v>3148</v>
      </c>
      <c r="B491" s="15" t="s">
        <v>3149</v>
      </c>
      <c r="C491" s="15" t="s">
        <v>2076</v>
      </c>
      <c r="D491" s="15" t="s">
        <v>85</v>
      </c>
      <c r="E491" s="15" t="s">
        <v>272</v>
      </c>
      <c r="F491" s="15"/>
      <c r="G491" s="15" t="s">
        <v>729</v>
      </c>
      <c r="H491" s="15" t="s">
        <v>2449</v>
      </c>
      <c r="I491" s="15" t="s">
        <v>126</v>
      </c>
      <c r="J491" s="3" t="s">
        <v>3150</v>
      </c>
      <c r="K491" s="15" t="n">
        <f aca="false">LEN(J491)</f>
        <v>62</v>
      </c>
      <c r="L491" s="3" t="s">
        <v>3151</v>
      </c>
      <c r="M491" s="15" t="n">
        <f aca="false">LEN(L491)</f>
        <v>153</v>
      </c>
      <c r="N491" s="3" t="s">
        <v>3152</v>
      </c>
      <c r="O491" s="15" t="s">
        <v>3153</v>
      </c>
      <c r="P491" s="16" t="n">
        <v>48</v>
      </c>
      <c r="Q491" s="15" t="s">
        <v>104</v>
      </c>
      <c r="R491" s="15"/>
      <c r="S491" s="15" t="n">
        <f aca="false">COUNTIF('Page-Keyword Map'!$A$2:$A$668,B491)</f>
        <v>1</v>
      </c>
      <c r="T491" s="16" t="n">
        <f aca="false">SUMIF('Page-Keyword Map'!$A$2:$A$668,B491,'Page-Keyword Map'!$H$2:$H$668)</f>
        <v>48</v>
      </c>
      <c r="U491" s="15" t="n">
        <f aca="false">COUNTIFS('Page-Keyword Map'!$A$2:$A$668,B491,'Page-Keyword Map'!$E$2:$E$668,"Nationwide")</f>
        <v>0</v>
      </c>
      <c r="V491" s="15" t="n">
        <f aca="false">COUNTIFS('Page-Keyword Map'!$A$2:$A$668,B491,'Page-Keyword Map'!$E$2:$E$668,"Provincial")</f>
        <v>0</v>
      </c>
      <c r="W491" s="15" t="n">
        <f aca="false">COUNTIFS('Page-Keyword Map'!$A$2:$A$668,B491,'Page-Keyword Map'!$E$2:$E$668,"City")</f>
        <v>1</v>
      </c>
      <c r="X491" s="15" t="str">
        <f aca="false">IF(O491="","",IF(ISNUMBER(SEARCH(O491,J491)),"Yes","No"))</f>
        <v>Yes</v>
      </c>
      <c r="Y491" s="15" t="n">
        <v>0.7</v>
      </c>
      <c r="Z491" s="15" t="s">
        <v>2089</v>
      </c>
      <c r="AA491" s="15" t="s">
        <v>131</v>
      </c>
      <c r="AB491" s="17"/>
      <c r="AC491" s="17"/>
    </row>
    <row r="492" customFormat="false" ht="23.85" hidden="false" customHeight="false" outlineLevel="0" collapsed="false">
      <c r="A492" s="15" t="s">
        <v>3154</v>
      </c>
      <c r="B492" s="15" t="s">
        <v>3155</v>
      </c>
      <c r="C492" s="15" t="s">
        <v>2076</v>
      </c>
      <c r="D492" s="15" t="s">
        <v>85</v>
      </c>
      <c r="E492" s="15" t="s">
        <v>272</v>
      </c>
      <c r="F492" s="15"/>
      <c r="G492" s="15" t="s">
        <v>729</v>
      </c>
      <c r="H492" s="15" t="s">
        <v>2456</v>
      </c>
      <c r="I492" s="15" t="s">
        <v>211</v>
      </c>
      <c r="J492" s="3" t="s">
        <v>3156</v>
      </c>
      <c r="K492" s="15" t="n">
        <f aca="false">LEN(J492)</f>
        <v>61</v>
      </c>
      <c r="L492" s="3" t="s">
        <v>3157</v>
      </c>
      <c r="M492" s="15" t="n">
        <f aca="false">LEN(L492)</f>
        <v>152</v>
      </c>
      <c r="N492" s="3" t="s">
        <v>3158</v>
      </c>
      <c r="O492" s="15"/>
      <c r="P492" s="16"/>
      <c r="Q492" s="15"/>
      <c r="R492" s="15" t="s">
        <v>3159</v>
      </c>
      <c r="S492" s="15" t="n">
        <f aca="false">COUNTIF('Page-Keyword Map'!$A$2:$A$668,B492)</f>
        <v>0</v>
      </c>
      <c r="T492" s="16" t="n">
        <f aca="false">SUMIF('Page-Keyword Map'!$A$2:$A$668,B492,'Page-Keyword Map'!$H$2:$H$668)</f>
        <v>0</v>
      </c>
      <c r="U492" s="15" t="n">
        <f aca="false">COUNTIFS('Page-Keyword Map'!$A$2:$A$668,B492,'Page-Keyword Map'!$E$2:$E$668,"Nationwide")</f>
        <v>0</v>
      </c>
      <c r="V492" s="15" t="n">
        <f aca="false">COUNTIFS('Page-Keyword Map'!$A$2:$A$668,B492,'Page-Keyword Map'!$E$2:$E$668,"Provincial")</f>
        <v>0</v>
      </c>
      <c r="W492" s="15" t="n">
        <f aca="false">COUNTIFS('Page-Keyword Map'!$A$2:$A$668,B492,'Page-Keyword Map'!$E$2:$E$668,"City")</f>
        <v>0</v>
      </c>
      <c r="X492" s="15" t="str">
        <f aca="false">IF(O492="","",IF(ISNUMBER(SEARCH(O492,J492)),"Yes","No"))</f>
        <v/>
      </c>
      <c r="Y492" s="15" t="n">
        <v>0.5</v>
      </c>
      <c r="Z492" s="15" t="s">
        <v>216</v>
      </c>
      <c r="AA492" s="15" t="s">
        <v>217</v>
      </c>
      <c r="AB492" s="17"/>
      <c r="AC492" s="17"/>
    </row>
    <row r="493" customFormat="false" ht="23.85" hidden="false" customHeight="false" outlineLevel="0" collapsed="false">
      <c r="A493" s="15" t="s">
        <v>3160</v>
      </c>
      <c r="B493" s="15" t="s">
        <v>3161</v>
      </c>
      <c r="C493" s="15" t="s">
        <v>2076</v>
      </c>
      <c r="D493" s="15" t="s">
        <v>85</v>
      </c>
      <c r="E493" s="15" t="s">
        <v>272</v>
      </c>
      <c r="F493" s="15"/>
      <c r="G493" s="15" t="s">
        <v>736</v>
      </c>
      <c r="H493" s="15" t="s">
        <v>2463</v>
      </c>
      <c r="I493" s="15" t="s">
        <v>126</v>
      </c>
      <c r="J493" s="3" t="s">
        <v>3162</v>
      </c>
      <c r="K493" s="15" t="n">
        <f aca="false">LEN(J493)</f>
        <v>57</v>
      </c>
      <c r="L493" s="3" t="s">
        <v>3163</v>
      </c>
      <c r="M493" s="15" t="n">
        <f aca="false">LEN(L493)</f>
        <v>141</v>
      </c>
      <c r="N493" s="3" t="s">
        <v>3164</v>
      </c>
      <c r="O493" s="15" t="s">
        <v>3165</v>
      </c>
      <c r="P493" s="16" t="n">
        <v>79</v>
      </c>
      <c r="Q493" s="15" t="s">
        <v>104</v>
      </c>
      <c r="R493" s="15"/>
      <c r="S493" s="15" t="n">
        <f aca="false">COUNTIF('Page-Keyword Map'!$A$2:$A$668,B493)</f>
        <v>1</v>
      </c>
      <c r="T493" s="16" t="n">
        <f aca="false">SUMIF('Page-Keyword Map'!$A$2:$A$668,B493,'Page-Keyword Map'!$H$2:$H$668)</f>
        <v>79</v>
      </c>
      <c r="U493" s="15" t="n">
        <f aca="false">COUNTIFS('Page-Keyword Map'!$A$2:$A$668,B493,'Page-Keyword Map'!$E$2:$E$668,"Nationwide")</f>
        <v>0</v>
      </c>
      <c r="V493" s="15" t="n">
        <f aca="false">COUNTIFS('Page-Keyword Map'!$A$2:$A$668,B493,'Page-Keyword Map'!$E$2:$E$668,"Provincial")</f>
        <v>0</v>
      </c>
      <c r="W493" s="15" t="n">
        <f aca="false">COUNTIFS('Page-Keyword Map'!$A$2:$A$668,B493,'Page-Keyword Map'!$E$2:$E$668,"City")</f>
        <v>1</v>
      </c>
      <c r="X493" s="15" t="str">
        <f aca="false">IF(O493="","",IF(ISNUMBER(SEARCH(O493,J493)),"Yes","No"))</f>
        <v>Yes</v>
      </c>
      <c r="Y493" s="15" t="n">
        <v>0.7</v>
      </c>
      <c r="Z493" s="15" t="s">
        <v>2089</v>
      </c>
      <c r="AA493" s="15" t="s">
        <v>131</v>
      </c>
      <c r="AB493" s="17"/>
      <c r="AC493" s="17"/>
    </row>
    <row r="494" customFormat="false" ht="23.85" hidden="false" customHeight="false" outlineLevel="0" collapsed="false">
      <c r="A494" s="15" t="s">
        <v>3166</v>
      </c>
      <c r="B494" s="15" t="s">
        <v>3167</v>
      </c>
      <c r="C494" s="15" t="s">
        <v>2076</v>
      </c>
      <c r="D494" s="15" t="s">
        <v>85</v>
      </c>
      <c r="E494" s="15" t="s">
        <v>272</v>
      </c>
      <c r="F494" s="15"/>
      <c r="G494" s="15" t="s">
        <v>736</v>
      </c>
      <c r="H494" s="15" t="s">
        <v>2470</v>
      </c>
      <c r="I494" s="15" t="s">
        <v>126</v>
      </c>
      <c r="J494" s="3" t="s">
        <v>3168</v>
      </c>
      <c r="K494" s="15" t="n">
        <f aca="false">LEN(J494)</f>
        <v>60</v>
      </c>
      <c r="L494" s="3" t="s">
        <v>3169</v>
      </c>
      <c r="M494" s="15" t="n">
        <f aca="false">LEN(L494)</f>
        <v>144</v>
      </c>
      <c r="N494" s="3" t="s">
        <v>3170</v>
      </c>
      <c r="O494" s="15" t="s">
        <v>3171</v>
      </c>
      <c r="P494" s="16" t="n">
        <v>90</v>
      </c>
      <c r="Q494" s="15" t="s">
        <v>104</v>
      </c>
      <c r="R494" s="15"/>
      <c r="S494" s="15" t="n">
        <f aca="false">COUNTIF('Page-Keyword Map'!$A$2:$A$668,B494)</f>
        <v>1</v>
      </c>
      <c r="T494" s="16" t="n">
        <f aca="false">SUMIF('Page-Keyword Map'!$A$2:$A$668,B494,'Page-Keyword Map'!$H$2:$H$668)</f>
        <v>90</v>
      </c>
      <c r="U494" s="15" t="n">
        <f aca="false">COUNTIFS('Page-Keyword Map'!$A$2:$A$668,B494,'Page-Keyword Map'!$E$2:$E$668,"Nationwide")</f>
        <v>0</v>
      </c>
      <c r="V494" s="15" t="n">
        <f aca="false">COUNTIFS('Page-Keyword Map'!$A$2:$A$668,B494,'Page-Keyword Map'!$E$2:$E$668,"Provincial")</f>
        <v>0</v>
      </c>
      <c r="W494" s="15" t="n">
        <f aca="false">COUNTIFS('Page-Keyword Map'!$A$2:$A$668,B494,'Page-Keyword Map'!$E$2:$E$668,"City")</f>
        <v>1</v>
      </c>
      <c r="X494" s="15" t="str">
        <f aca="false">IF(O494="","",IF(ISNUMBER(SEARCH(O494,J494)),"Yes","No"))</f>
        <v>Yes</v>
      </c>
      <c r="Y494" s="15" t="n">
        <v>0.7</v>
      </c>
      <c r="Z494" s="15" t="s">
        <v>2089</v>
      </c>
      <c r="AA494" s="15" t="s">
        <v>131</v>
      </c>
      <c r="AB494" s="17"/>
      <c r="AC494" s="17"/>
    </row>
    <row r="495" customFormat="false" ht="23.85" hidden="false" customHeight="false" outlineLevel="0" collapsed="false">
      <c r="A495" s="15" t="s">
        <v>3172</v>
      </c>
      <c r="B495" s="15" t="s">
        <v>3173</v>
      </c>
      <c r="C495" s="15" t="s">
        <v>2076</v>
      </c>
      <c r="D495" s="15" t="s">
        <v>85</v>
      </c>
      <c r="E495" s="15" t="s">
        <v>272</v>
      </c>
      <c r="F495" s="15"/>
      <c r="G495" s="15" t="s">
        <v>743</v>
      </c>
      <c r="H495" s="15" t="s">
        <v>2477</v>
      </c>
      <c r="I495" s="15" t="s">
        <v>211</v>
      </c>
      <c r="J495" s="3" t="s">
        <v>3174</v>
      </c>
      <c r="K495" s="15" t="n">
        <f aca="false">LEN(J495)</f>
        <v>61</v>
      </c>
      <c r="L495" s="3" t="s">
        <v>3175</v>
      </c>
      <c r="M495" s="15" t="n">
        <f aca="false">LEN(L495)</f>
        <v>151</v>
      </c>
      <c r="N495" s="3" t="s">
        <v>3176</v>
      </c>
      <c r="O495" s="15"/>
      <c r="P495" s="16"/>
      <c r="Q495" s="15"/>
      <c r="R495" s="15" t="s">
        <v>3177</v>
      </c>
      <c r="S495" s="15" t="n">
        <f aca="false">COUNTIF('Page-Keyword Map'!$A$2:$A$668,B495)</f>
        <v>0</v>
      </c>
      <c r="T495" s="16" t="n">
        <f aca="false">SUMIF('Page-Keyword Map'!$A$2:$A$668,B495,'Page-Keyword Map'!$H$2:$H$668)</f>
        <v>0</v>
      </c>
      <c r="U495" s="15" t="n">
        <f aca="false">COUNTIFS('Page-Keyword Map'!$A$2:$A$668,B495,'Page-Keyword Map'!$E$2:$E$668,"Nationwide")</f>
        <v>0</v>
      </c>
      <c r="V495" s="15" t="n">
        <f aca="false">COUNTIFS('Page-Keyword Map'!$A$2:$A$668,B495,'Page-Keyword Map'!$E$2:$E$668,"Provincial")</f>
        <v>0</v>
      </c>
      <c r="W495" s="15" t="n">
        <f aca="false">COUNTIFS('Page-Keyword Map'!$A$2:$A$668,B495,'Page-Keyword Map'!$E$2:$E$668,"City")</f>
        <v>0</v>
      </c>
      <c r="X495" s="15" t="str">
        <f aca="false">IF(O495="","",IF(ISNUMBER(SEARCH(O495,J495)),"Yes","No"))</f>
        <v/>
      </c>
      <c r="Y495" s="15" t="n">
        <v>0.5</v>
      </c>
      <c r="Z495" s="15" t="s">
        <v>216</v>
      </c>
      <c r="AA495" s="15" t="s">
        <v>217</v>
      </c>
      <c r="AB495" s="17"/>
      <c r="AC495" s="17"/>
    </row>
    <row r="496" customFormat="false" ht="23.85" hidden="false" customHeight="false" outlineLevel="0" collapsed="false">
      <c r="A496" s="15" t="s">
        <v>3178</v>
      </c>
      <c r="B496" s="15" t="s">
        <v>3179</v>
      </c>
      <c r="C496" s="15" t="s">
        <v>2076</v>
      </c>
      <c r="D496" s="15" t="s">
        <v>84</v>
      </c>
      <c r="E496" s="15" t="s">
        <v>314</v>
      </c>
      <c r="F496" s="15"/>
      <c r="G496" s="15" t="s">
        <v>657</v>
      </c>
      <c r="H496" s="15" t="s">
        <v>2077</v>
      </c>
      <c r="I496" s="15" t="s">
        <v>211</v>
      </c>
      <c r="J496" s="3" t="s">
        <v>3180</v>
      </c>
      <c r="K496" s="15" t="n">
        <f aca="false">LEN(J496)</f>
        <v>57</v>
      </c>
      <c r="L496" s="3" t="s">
        <v>3181</v>
      </c>
      <c r="M496" s="15" t="n">
        <f aca="false">LEN(L496)</f>
        <v>132</v>
      </c>
      <c r="N496" s="3" t="s">
        <v>3182</v>
      </c>
      <c r="O496" s="15" t="s">
        <v>3183</v>
      </c>
      <c r="P496" s="16" t="n">
        <v>100</v>
      </c>
      <c r="Q496" s="15" t="s">
        <v>104</v>
      </c>
      <c r="R496" s="15"/>
      <c r="S496" s="15" t="n">
        <f aca="false">COUNTIF('Page-Keyword Map'!$A$2:$A$668,B496)</f>
        <v>1</v>
      </c>
      <c r="T496" s="16" t="n">
        <f aca="false">SUMIF('Page-Keyword Map'!$A$2:$A$668,B496,'Page-Keyword Map'!$H$2:$H$668)</f>
        <v>100</v>
      </c>
      <c r="U496" s="15" t="n">
        <f aca="false">COUNTIFS('Page-Keyword Map'!$A$2:$A$668,B496,'Page-Keyword Map'!$E$2:$E$668,"Nationwide")</f>
        <v>0</v>
      </c>
      <c r="V496" s="15" t="n">
        <f aca="false">COUNTIFS('Page-Keyword Map'!$A$2:$A$668,B496,'Page-Keyword Map'!$E$2:$E$668,"Provincial")</f>
        <v>0</v>
      </c>
      <c r="W496" s="15" t="n">
        <f aca="false">COUNTIFS('Page-Keyword Map'!$A$2:$A$668,B496,'Page-Keyword Map'!$E$2:$E$668,"City")</f>
        <v>1</v>
      </c>
      <c r="X496" s="15" t="str">
        <f aca="false">IF(O496="","",IF(ISNUMBER(SEARCH(O496,J496)),"Yes","No"))</f>
        <v>Yes</v>
      </c>
      <c r="Y496" s="15" t="n">
        <v>0.5</v>
      </c>
      <c r="Z496" s="15" t="s">
        <v>216</v>
      </c>
      <c r="AA496" s="15" t="s">
        <v>217</v>
      </c>
      <c r="AB496" s="17"/>
      <c r="AC496" s="17"/>
    </row>
    <row r="497" customFormat="false" ht="23.85" hidden="false" customHeight="false" outlineLevel="0" collapsed="false">
      <c r="A497" s="15" t="s">
        <v>3184</v>
      </c>
      <c r="B497" s="15" t="s">
        <v>3185</v>
      </c>
      <c r="C497" s="15" t="s">
        <v>2076</v>
      </c>
      <c r="D497" s="15" t="s">
        <v>84</v>
      </c>
      <c r="E497" s="15" t="s">
        <v>314</v>
      </c>
      <c r="F497" s="15"/>
      <c r="G497" s="15" t="s">
        <v>657</v>
      </c>
      <c r="H497" s="15" t="s">
        <v>2084</v>
      </c>
      <c r="I497" s="15" t="s">
        <v>126</v>
      </c>
      <c r="J497" s="3" t="s">
        <v>3186</v>
      </c>
      <c r="K497" s="15" t="n">
        <f aca="false">LEN(J497)</f>
        <v>57</v>
      </c>
      <c r="L497" s="3" t="s">
        <v>3187</v>
      </c>
      <c r="M497" s="15" t="n">
        <f aca="false">LEN(L497)</f>
        <v>132</v>
      </c>
      <c r="N497" s="3" t="s">
        <v>3188</v>
      </c>
      <c r="O497" s="15" t="s">
        <v>3189</v>
      </c>
      <c r="P497" s="16" t="n">
        <v>1000</v>
      </c>
      <c r="Q497" s="15" t="s">
        <v>104</v>
      </c>
      <c r="R497" s="15"/>
      <c r="S497" s="15" t="n">
        <f aca="false">COUNTIF('Page-Keyword Map'!$A$2:$A$668,B497)</f>
        <v>1</v>
      </c>
      <c r="T497" s="16" t="n">
        <f aca="false">SUMIF('Page-Keyword Map'!$A$2:$A$668,B497,'Page-Keyword Map'!$H$2:$H$668)</f>
        <v>1000</v>
      </c>
      <c r="U497" s="15" t="n">
        <f aca="false">COUNTIFS('Page-Keyword Map'!$A$2:$A$668,B497,'Page-Keyword Map'!$E$2:$E$668,"Nationwide")</f>
        <v>0</v>
      </c>
      <c r="V497" s="15" t="n">
        <f aca="false">COUNTIFS('Page-Keyword Map'!$A$2:$A$668,B497,'Page-Keyword Map'!$E$2:$E$668,"Provincial")</f>
        <v>0</v>
      </c>
      <c r="W497" s="15" t="n">
        <f aca="false">COUNTIFS('Page-Keyword Map'!$A$2:$A$668,B497,'Page-Keyword Map'!$E$2:$E$668,"City")</f>
        <v>1</v>
      </c>
      <c r="X497" s="15" t="str">
        <f aca="false">IF(O497="","",IF(ISNUMBER(SEARCH(O497,J497)),"Yes","No"))</f>
        <v>Yes</v>
      </c>
      <c r="Y497" s="15" t="n">
        <v>0.7</v>
      </c>
      <c r="Z497" s="15" t="s">
        <v>2089</v>
      </c>
      <c r="AA497" s="15" t="s">
        <v>131</v>
      </c>
      <c r="AB497" s="17"/>
      <c r="AC497" s="17"/>
    </row>
    <row r="498" customFormat="false" ht="23.85" hidden="false" customHeight="false" outlineLevel="0" collapsed="false">
      <c r="A498" s="15" t="s">
        <v>3190</v>
      </c>
      <c r="B498" s="15" t="s">
        <v>3191</v>
      </c>
      <c r="C498" s="15" t="s">
        <v>2076</v>
      </c>
      <c r="D498" s="15" t="s">
        <v>84</v>
      </c>
      <c r="E498" s="15" t="s">
        <v>314</v>
      </c>
      <c r="F498" s="15"/>
      <c r="G498" s="15" t="s">
        <v>657</v>
      </c>
      <c r="H498" s="15" t="s">
        <v>2092</v>
      </c>
      <c r="I498" s="15" t="s">
        <v>126</v>
      </c>
      <c r="J498" s="3" t="s">
        <v>3192</v>
      </c>
      <c r="K498" s="15" t="n">
        <f aca="false">LEN(J498)</f>
        <v>58</v>
      </c>
      <c r="L498" s="3" t="s">
        <v>3193</v>
      </c>
      <c r="M498" s="15" t="n">
        <f aca="false">LEN(L498)</f>
        <v>133</v>
      </c>
      <c r="N498" s="3" t="s">
        <v>3194</v>
      </c>
      <c r="O498" s="15" t="s">
        <v>3195</v>
      </c>
      <c r="P498" s="16" t="n">
        <v>840</v>
      </c>
      <c r="Q498" s="15" t="s">
        <v>104</v>
      </c>
      <c r="R498" s="15"/>
      <c r="S498" s="15" t="n">
        <f aca="false">COUNTIF('Page-Keyword Map'!$A$2:$A$668,B498)</f>
        <v>1</v>
      </c>
      <c r="T498" s="16" t="n">
        <f aca="false">SUMIF('Page-Keyword Map'!$A$2:$A$668,B498,'Page-Keyword Map'!$H$2:$H$668)</f>
        <v>840</v>
      </c>
      <c r="U498" s="15" t="n">
        <f aca="false">COUNTIFS('Page-Keyword Map'!$A$2:$A$668,B498,'Page-Keyword Map'!$E$2:$E$668,"Nationwide")</f>
        <v>0</v>
      </c>
      <c r="V498" s="15" t="n">
        <f aca="false">COUNTIFS('Page-Keyword Map'!$A$2:$A$668,B498,'Page-Keyword Map'!$E$2:$E$668,"Provincial")</f>
        <v>0</v>
      </c>
      <c r="W498" s="15" t="n">
        <f aca="false">COUNTIFS('Page-Keyword Map'!$A$2:$A$668,B498,'Page-Keyword Map'!$E$2:$E$668,"City")</f>
        <v>1</v>
      </c>
      <c r="X498" s="15" t="str">
        <f aca="false">IF(O498="","",IF(ISNUMBER(SEARCH(O498,J498)),"Yes","No"))</f>
        <v>Yes</v>
      </c>
      <c r="Y498" s="15" t="n">
        <v>0.7</v>
      </c>
      <c r="Z498" s="15" t="s">
        <v>2089</v>
      </c>
      <c r="AA498" s="15" t="s">
        <v>131</v>
      </c>
      <c r="AB498" s="17"/>
      <c r="AC498" s="17"/>
    </row>
    <row r="499" customFormat="false" ht="23.85" hidden="false" customHeight="false" outlineLevel="0" collapsed="false">
      <c r="A499" s="15" t="s">
        <v>3196</v>
      </c>
      <c r="B499" s="15" t="s">
        <v>3197</v>
      </c>
      <c r="C499" s="15" t="s">
        <v>2076</v>
      </c>
      <c r="D499" s="15" t="s">
        <v>84</v>
      </c>
      <c r="E499" s="15" t="s">
        <v>314</v>
      </c>
      <c r="F499" s="15"/>
      <c r="G499" s="15" t="s">
        <v>657</v>
      </c>
      <c r="H499" s="15" t="s">
        <v>2099</v>
      </c>
      <c r="I499" s="15" t="s">
        <v>126</v>
      </c>
      <c r="J499" s="3" t="s">
        <v>3198</v>
      </c>
      <c r="K499" s="15" t="n">
        <f aca="false">LEN(J499)</f>
        <v>60</v>
      </c>
      <c r="L499" s="3" t="s">
        <v>3199</v>
      </c>
      <c r="M499" s="15" t="n">
        <f aca="false">LEN(L499)</f>
        <v>135</v>
      </c>
      <c r="N499" s="3" t="s">
        <v>3200</v>
      </c>
      <c r="O499" s="15" t="s">
        <v>3201</v>
      </c>
      <c r="P499" s="16" t="n">
        <v>130</v>
      </c>
      <c r="Q499" s="15" t="s">
        <v>104</v>
      </c>
      <c r="R499" s="15"/>
      <c r="S499" s="15" t="n">
        <f aca="false">COUNTIF('Page-Keyword Map'!$A$2:$A$668,B499)</f>
        <v>1</v>
      </c>
      <c r="T499" s="16" t="n">
        <f aca="false">SUMIF('Page-Keyword Map'!$A$2:$A$668,B499,'Page-Keyword Map'!$H$2:$H$668)</f>
        <v>130</v>
      </c>
      <c r="U499" s="15" t="n">
        <f aca="false">COUNTIFS('Page-Keyword Map'!$A$2:$A$668,B499,'Page-Keyword Map'!$E$2:$E$668,"Nationwide")</f>
        <v>0</v>
      </c>
      <c r="V499" s="15" t="n">
        <f aca="false">COUNTIFS('Page-Keyword Map'!$A$2:$A$668,B499,'Page-Keyword Map'!$E$2:$E$668,"Provincial")</f>
        <v>0</v>
      </c>
      <c r="W499" s="15" t="n">
        <f aca="false">COUNTIFS('Page-Keyword Map'!$A$2:$A$668,B499,'Page-Keyword Map'!$E$2:$E$668,"City")</f>
        <v>1</v>
      </c>
      <c r="X499" s="15" t="str">
        <f aca="false">IF(O499="","",IF(ISNUMBER(SEARCH(O499,J499)),"Yes","No"))</f>
        <v>Yes</v>
      </c>
      <c r="Y499" s="15" t="n">
        <v>0.5</v>
      </c>
      <c r="Z499" s="15" t="s">
        <v>2089</v>
      </c>
      <c r="AA499" s="15" t="s">
        <v>131</v>
      </c>
      <c r="AB499" s="17"/>
      <c r="AC499" s="17"/>
    </row>
    <row r="500" customFormat="false" ht="23.85" hidden="false" customHeight="false" outlineLevel="0" collapsed="false">
      <c r="A500" s="15" t="s">
        <v>3202</v>
      </c>
      <c r="B500" s="15" t="s">
        <v>3203</v>
      </c>
      <c r="C500" s="15" t="s">
        <v>2076</v>
      </c>
      <c r="D500" s="15" t="s">
        <v>84</v>
      </c>
      <c r="E500" s="15" t="s">
        <v>314</v>
      </c>
      <c r="F500" s="15"/>
      <c r="G500" s="15" t="s">
        <v>657</v>
      </c>
      <c r="H500" s="15" t="s">
        <v>2106</v>
      </c>
      <c r="I500" s="15" t="s">
        <v>126</v>
      </c>
      <c r="J500" s="3" t="s">
        <v>3204</v>
      </c>
      <c r="K500" s="15" t="n">
        <f aca="false">LEN(J500)</f>
        <v>58</v>
      </c>
      <c r="L500" s="3" t="s">
        <v>3205</v>
      </c>
      <c r="M500" s="15" t="n">
        <f aca="false">LEN(L500)</f>
        <v>133</v>
      </c>
      <c r="N500" s="3" t="s">
        <v>3206</v>
      </c>
      <c r="O500" s="15" t="s">
        <v>3207</v>
      </c>
      <c r="P500" s="16" t="n">
        <v>130</v>
      </c>
      <c r="Q500" s="15" t="s">
        <v>104</v>
      </c>
      <c r="R500" s="15"/>
      <c r="S500" s="15" t="n">
        <f aca="false">COUNTIF('Page-Keyword Map'!$A$2:$A$668,B500)</f>
        <v>1</v>
      </c>
      <c r="T500" s="16" t="n">
        <f aca="false">SUMIF('Page-Keyword Map'!$A$2:$A$668,B500,'Page-Keyword Map'!$H$2:$H$668)</f>
        <v>130</v>
      </c>
      <c r="U500" s="15" t="n">
        <f aca="false">COUNTIFS('Page-Keyword Map'!$A$2:$A$668,B500,'Page-Keyword Map'!$E$2:$E$668,"Nationwide")</f>
        <v>0</v>
      </c>
      <c r="V500" s="15" t="n">
        <f aca="false">COUNTIFS('Page-Keyword Map'!$A$2:$A$668,B500,'Page-Keyword Map'!$E$2:$E$668,"Provincial")</f>
        <v>0</v>
      </c>
      <c r="W500" s="15" t="n">
        <f aca="false">COUNTIFS('Page-Keyword Map'!$A$2:$A$668,B500,'Page-Keyword Map'!$E$2:$E$668,"City")</f>
        <v>1</v>
      </c>
      <c r="X500" s="15" t="str">
        <f aca="false">IF(O500="","",IF(ISNUMBER(SEARCH(O500,J500)),"Yes","No"))</f>
        <v>Yes</v>
      </c>
      <c r="Y500" s="15" t="n">
        <v>0.5</v>
      </c>
      <c r="Z500" s="15" t="s">
        <v>2089</v>
      </c>
      <c r="AA500" s="15" t="s">
        <v>131</v>
      </c>
      <c r="AB500" s="17"/>
      <c r="AC500" s="17"/>
    </row>
    <row r="501" customFormat="false" ht="23.85" hidden="false" customHeight="false" outlineLevel="0" collapsed="false">
      <c r="A501" s="15" t="s">
        <v>3208</v>
      </c>
      <c r="B501" s="15" t="s">
        <v>3209</v>
      </c>
      <c r="C501" s="15" t="s">
        <v>2076</v>
      </c>
      <c r="D501" s="15" t="s">
        <v>84</v>
      </c>
      <c r="E501" s="15" t="s">
        <v>314</v>
      </c>
      <c r="F501" s="15"/>
      <c r="G501" s="15" t="s">
        <v>666</v>
      </c>
      <c r="H501" s="15" t="s">
        <v>2113</v>
      </c>
      <c r="I501" s="15" t="s">
        <v>126</v>
      </c>
      <c r="J501" s="3" t="s">
        <v>3210</v>
      </c>
      <c r="K501" s="15" t="n">
        <f aca="false">LEN(J501)</f>
        <v>60</v>
      </c>
      <c r="L501" s="3" t="s">
        <v>3211</v>
      </c>
      <c r="M501" s="15" t="n">
        <f aca="false">LEN(L501)</f>
        <v>144</v>
      </c>
      <c r="N501" s="3" t="s">
        <v>3212</v>
      </c>
      <c r="O501" s="15" t="s">
        <v>3213</v>
      </c>
      <c r="P501" s="16" t="n">
        <v>190</v>
      </c>
      <c r="Q501" s="15" t="s">
        <v>104</v>
      </c>
      <c r="R501" s="15"/>
      <c r="S501" s="15" t="n">
        <f aca="false">COUNTIF('Page-Keyword Map'!$A$2:$A$668,B501)</f>
        <v>1</v>
      </c>
      <c r="T501" s="16" t="n">
        <f aca="false">SUMIF('Page-Keyword Map'!$A$2:$A$668,B501,'Page-Keyword Map'!$H$2:$H$668)</f>
        <v>190</v>
      </c>
      <c r="U501" s="15" t="n">
        <f aca="false">COUNTIFS('Page-Keyword Map'!$A$2:$A$668,B501,'Page-Keyword Map'!$E$2:$E$668,"Nationwide")</f>
        <v>0</v>
      </c>
      <c r="V501" s="15" t="n">
        <f aca="false">COUNTIFS('Page-Keyword Map'!$A$2:$A$668,B501,'Page-Keyword Map'!$E$2:$E$668,"Provincial")</f>
        <v>0</v>
      </c>
      <c r="W501" s="15" t="n">
        <f aca="false">COUNTIFS('Page-Keyword Map'!$A$2:$A$668,B501,'Page-Keyword Map'!$E$2:$E$668,"City")</f>
        <v>1</v>
      </c>
      <c r="X501" s="15" t="str">
        <f aca="false">IF(O501="","",IF(ISNUMBER(SEARCH(O501,J501)),"Yes","No"))</f>
        <v>Yes</v>
      </c>
      <c r="Y501" s="15" t="n">
        <v>0.5</v>
      </c>
      <c r="Z501" s="15" t="s">
        <v>2089</v>
      </c>
      <c r="AA501" s="15" t="s">
        <v>131</v>
      </c>
      <c r="AB501" s="17"/>
      <c r="AC501" s="17"/>
    </row>
    <row r="502" customFormat="false" ht="23.85" hidden="false" customHeight="false" outlineLevel="0" collapsed="false">
      <c r="A502" s="15" t="s">
        <v>3214</v>
      </c>
      <c r="B502" s="15" t="s">
        <v>3215</v>
      </c>
      <c r="C502" s="15" t="s">
        <v>2076</v>
      </c>
      <c r="D502" s="15" t="s">
        <v>84</v>
      </c>
      <c r="E502" s="15" t="s">
        <v>314</v>
      </c>
      <c r="F502" s="15"/>
      <c r="G502" s="15" t="s">
        <v>666</v>
      </c>
      <c r="H502" s="15" t="s">
        <v>2120</v>
      </c>
      <c r="I502" s="15" t="s">
        <v>126</v>
      </c>
      <c r="J502" s="3" t="s">
        <v>3216</v>
      </c>
      <c r="K502" s="15" t="n">
        <f aca="false">LEN(J502)</f>
        <v>57</v>
      </c>
      <c r="L502" s="3" t="s">
        <v>3217</v>
      </c>
      <c r="M502" s="15" t="n">
        <f aca="false">LEN(L502)</f>
        <v>141</v>
      </c>
      <c r="N502" s="3" t="s">
        <v>3218</v>
      </c>
      <c r="O502" s="15" t="s">
        <v>3219</v>
      </c>
      <c r="P502" s="16" t="n">
        <v>270</v>
      </c>
      <c r="Q502" s="15" t="s">
        <v>104</v>
      </c>
      <c r="R502" s="15"/>
      <c r="S502" s="15" t="n">
        <f aca="false">COUNTIF('Page-Keyword Map'!$A$2:$A$668,B502)</f>
        <v>1</v>
      </c>
      <c r="T502" s="16" t="n">
        <f aca="false">SUMIF('Page-Keyword Map'!$A$2:$A$668,B502,'Page-Keyword Map'!$H$2:$H$668)</f>
        <v>270</v>
      </c>
      <c r="U502" s="15" t="n">
        <f aca="false">COUNTIFS('Page-Keyword Map'!$A$2:$A$668,B502,'Page-Keyword Map'!$E$2:$E$668,"Nationwide")</f>
        <v>0</v>
      </c>
      <c r="V502" s="15" t="n">
        <f aca="false">COUNTIFS('Page-Keyword Map'!$A$2:$A$668,B502,'Page-Keyword Map'!$E$2:$E$668,"Provincial")</f>
        <v>0</v>
      </c>
      <c r="W502" s="15" t="n">
        <f aca="false">COUNTIFS('Page-Keyword Map'!$A$2:$A$668,B502,'Page-Keyword Map'!$E$2:$E$668,"City")</f>
        <v>1</v>
      </c>
      <c r="X502" s="15" t="str">
        <f aca="false">IF(O502="","",IF(ISNUMBER(SEARCH(O502,J502)),"Yes","No"))</f>
        <v>Yes</v>
      </c>
      <c r="Y502" s="15" t="n">
        <v>0.7</v>
      </c>
      <c r="Z502" s="15" t="s">
        <v>2089</v>
      </c>
      <c r="AA502" s="15" t="s">
        <v>131</v>
      </c>
      <c r="AB502" s="17"/>
      <c r="AC502" s="17"/>
    </row>
    <row r="503" customFormat="false" ht="23.85" hidden="false" customHeight="false" outlineLevel="0" collapsed="false">
      <c r="A503" s="15" t="s">
        <v>3220</v>
      </c>
      <c r="B503" s="15" t="s">
        <v>3221</v>
      </c>
      <c r="C503" s="15" t="s">
        <v>2076</v>
      </c>
      <c r="D503" s="15" t="s">
        <v>84</v>
      </c>
      <c r="E503" s="15" t="s">
        <v>314</v>
      </c>
      <c r="F503" s="15"/>
      <c r="G503" s="15" t="s">
        <v>666</v>
      </c>
      <c r="H503" s="15" t="s">
        <v>2127</v>
      </c>
      <c r="I503" s="15" t="s">
        <v>126</v>
      </c>
      <c r="J503" s="3" t="s">
        <v>3222</v>
      </c>
      <c r="K503" s="15" t="n">
        <f aca="false">LEN(J503)</f>
        <v>59</v>
      </c>
      <c r="L503" s="3" t="s">
        <v>3223</v>
      </c>
      <c r="M503" s="15" t="n">
        <f aca="false">LEN(L503)</f>
        <v>143</v>
      </c>
      <c r="N503" s="3" t="s">
        <v>3224</v>
      </c>
      <c r="O503" s="15" t="s">
        <v>3225</v>
      </c>
      <c r="P503" s="16" t="n">
        <v>180</v>
      </c>
      <c r="Q503" s="15" t="s">
        <v>104</v>
      </c>
      <c r="R503" s="15"/>
      <c r="S503" s="15" t="n">
        <f aca="false">COUNTIF('Page-Keyword Map'!$A$2:$A$668,B503)</f>
        <v>1</v>
      </c>
      <c r="T503" s="16" t="n">
        <f aca="false">SUMIF('Page-Keyword Map'!$A$2:$A$668,B503,'Page-Keyword Map'!$H$2:$H$668)</f>
        <v>180</v>
      </c>
      <c r="U503" s="15" t="n">
        <f aca="false">COUNTIFS('Page-Keyword Map'!$A$2:$A$668,B503,'Page-Keyword Map'!$E$2:$E$668,"Nationwide")</f>
        <v>0</v>
      </c>
      <c r="V503" s="15" t="n">
        <f aca="false">COUNTIFS('Page-Keyword Map'!$A$2:$A$668,B503,'Page-Keyword Map'!$E$2:$E$668,"Provincial")</f>
        <v>0</v>
      </c>
      <c r="W503" s="15" t="n">
        <f aca="false">COUNTIFS('Page-Keyword Map'!$A$2:$A$668,B503,'Page-Keyword Map'!$E$2:$E$668,"City")</f>
        <v>1</v>
      </c>
      <c r="X503" s="15" t="str">
        <f aca="false">IF(O503="","",IF(ISNUMBER(SEARCH(O503,J503)),"Yes","No"))</f>
        <v>Yes</v>
      </c>
      <c r="Y503" s="15" t="n">
        <v>0.5</v>
      </c>
      <c r="Z503" s="15" t="s">
        <v>2089</v>
      </c>
      <c r="AA503" s="15" t="s">
        <v>131</v>
      </c>
      <c r="AB503" s="17"/>
      <c r="AC503" s="17"/>
    </row>
    <row r="504" customFormat="false" ht="23.85" hidden="false" customHeight="false" outlineLevel="0" collapsed="false">
      <c r="A504" s="15" t="s">
        <v>3226</v>
      </c>
      <c r="B504" s="15" t="s">
        <v>3227</v>
      </c>
      <c r="C504" s="15" t="s">
        <v>2076</v>
      </c>
      <c r="D504" s="15" t="s">
        <v>84</v>
      </c>
      <c r="E504" s="15" t="s">
        <v>314</v>
      </c>
      <c r="F504" s="15"/>
      <c r="G504" s="15" t="s">
        <v>666</v>
      </c>
      <c r="H504" s="15" t="s">
        <v>2134</v>
      </c>
      <c r="I504" s="15" t="s">
        <v>126</v>
      </c>
      <c r="J504" s="3" t="s">
        <v>3228</v>
      </c>
      <c r="K504" s="15" t="n">
        <f aca="false">LEN(J504)</f>
        <v>57</v>
      </c>
      <c r="L504" s="3" t="s">
        <v>3229</v>
      </c>
      <c r="M504" s="15" t="n">
        <f aca="false">LEN(L504)</f>
        <v>141</v>
      </c>
      <c r="N504" s="3" t="s">
        <v>3230</v>
      </c>
      <c r="O504" s="15" t="s">
        <v>3231</v>
      </c>
      <c r="P504" s="16" t="n">
        <v>180</v>
      </c>
      <c r="Q504" s="15" t="s">
        <v>104</v>
      </c>
      <c r="R504" s="15"/>
      <c r="S504" s="15" t="n">
        <f aca="false">COUNTIF('Page-Keyword Map'!$A$2:$A$668,B504)</f>
        <v>1</v>
      </c>
      <c r="T504" s="16" t="n">
        <f aca="false">SUMIF('Page-Keyword Map'!$A$2:$A$668,B504,'Page-Keyword Map'!$H$2:$H$668)</f>
        <v>180</v>
      </c>
      <c r="U504" s="15" t="n">
        <f aca="false">COUNTIFS('Page-Keyword Map'!$A$2:$A$668,B504,'Page-Keyword Map'!$E$2:$E$668,"Nationwide")</f>
        <v>0</v>
      </c>
      <c r="V504" s="15" t="n">
        <f aca="false">COUNTIFS('Page-Keyword Map'!$A$2:$A$668,B504,'Page-Keyword Map'!$E$2:$E$668,"Provincial")</f>
        <v>0</v>
      </c>
      <c r="W504" s="15" t="n">
        <f aca="false">COUNTIFS('Page-Keyword Map'!$A$2:$A$668,B504,'Page-Keyword Map'!$E$2:$E$668,"City")</f>
        <v>1</v>
      </c>
      <c r="X504" s="15" t="str">
        <f aca="false">IF(O504="","",IF(ISNUMBER(SEARCH(O504,J504)),"Yes","No"))</f>
        <v>Yes</v>
      </c>
      <c r="Y504" s="15" t="n">
        <v>0.7</v>
      </c>
      <c r="Z504" s="15" t="s">
        <v>2089</v>
      </c>
      <c r="AA504" s="15" t="s">
        <v>131</v>
      </c>
      <c r="AB504" s="17"/>
      <c r="AC504" s="17"/>
    </row>
    <row r="505" customFormat="false" ht="23.85" hidden="false" customHeight="false" outlineLevel="0" collapsed="false">
      <c r="A505" s="15" t="s">
        <v>3232</v>
      </c>
      <c r="B505" s="15" t="s">
        <v>3233</v>
      </c>
      <c r="C505" s="15" t="s">
        <v>2076</v>
      </c>
      <c r="D505" s="15" t="s">
        <v>84</v>
      </c>
      <c r="E505" s="15" t="s">
        <v>314</v>
      </c>
      <c r="F505" s="15"/>
      <c r="G505" s="15" t="s">
        <v>666</v>
      </c>
      <c r="H505" s="15" t="s">
        <v>2141</v>
      </c>
      <c r="I505" s="15" t="s">
        <v>211</v>
      </c>
      <c r="J505" s="3" t="s">
        <v>3234</v>
      </c>
      <c r="K505" s="15" t="n">
        <f aca="false">LEN(J505)</f>
        <v>57</v>
      </c>
      <c r="L505" s="3" t="s">
        <v>3235</v>
      </c>
      <c r="M505" s="15" t="n">
        <f aca="false">LEN(L505)</f>
        <v>141</v>
      </c>
      <c r="N505" s="3" t="s">
        <v>3236</v>
      </c>
      <c r="O505" s="15" t="s">
        <v>3237</v>
      </c>
      <c r="P505" s="16" t="n">
        <v>170</v>
      </c>
      <c r="Q505" s="15" t="s">
        <v>104</v>
      </c>
      <c r="R505" s="15"/>
      <c r="S505" s="15" t="n">
        <f aca="false">COUNTIF('Page-Keyword Map'!$A$2:$A$668,B505)</f>
        <v>1</v>
      </c>
      <c r="T505" s="16" t="n">
        <f aca="false">SUMIF('Page-Keyword Map'!$A$2:$A$668,B505,'Page-Keyword Map'!$H$2:$H$668)</f>
        <v>170</v>
      </c>
      <c r="U505" s="15" t="n">
        <f aca="false">COUNTIFS('Page-Keyword Map'!$A$2:$A$668,B505,'Page-Keyword Map'!$E$2:$E$668,"Nationwide")</f>
        <v>0</v>
      </c>
      <c r="V505" s="15" t="n">
        <f aca="false">COUNTIFS('Page-Keyword Map'!$A$2:$A$668,B505,'Page-Keyword Map'!$E$2:$E$668,"Provincial")</f>
        <v>0</v>
      </c>
      <c r="W505" s="15" t="n">
        <f aca="false">COUNTIFS('Page-Keyword Map'!$A$2:$A$668,B505,'Page-Keyword Map'!$E$2:$E$668,"City")</f>
        <v>1</v>
      </c>
      <c r="X505" s="15" t="str">
        <f aca="false">IF(O505="","",IF(ISNUMBER(SEARCH(O505,J505)),"Yes","No"))</f>
        <v>Yes</v>
      </c>
      <c r="Y505" s="15" t="n">
        <v>0.5</v>
      </c>
      <c r="Z505" s="15" t="s">
        <v>216</v>
      </c>
      <c r="AA505" s="15" t="s">
        <v>217</v>
      </c>
      <c r="AB505" s="17"/>
      <c r="AC505" s="17"/>
    </row>
    <row r="506" customFormat="false" ht="23.85" hidden="false" customHeight="false" outlineLevel="0" collapsed="false">
      <c r="A506" s="15" t="s">
        <v>3238</v>
      </c>
      <c r="B506" s="15" t="s">
        <v>3239</v>
      </c>
      <c r="C506" s="15" t="s">
        <v>2076</v>
      </c>
      <c r="D506" s="15" t="s">
        <v>84</v>
      </c>
      <c r="E506" s="15" t="s">
        <v>314</v>
      </c>
      <c r="F506" s="15"/>
      <c r="G506" s="15" t="s">
        <v>666</v>
      </c>
      <c r="H506" s="15" t="s">
        <v>2148</v>
      </c>
      <c r="I506" s="15" t="s">
        <v>126</v>
      </c>
      <c r="J506" s="3" t="s">
        <v>3240</v>
      </c>
      <c r="K506" s="15" t="n">
        <f aca="false">LEN(J506)</f>
        <v>58</v>
      </c>
      <c r="L506" s="3" t="s">
        <v>3241</v>
      </c>
      <c r="M506" s="15" t="n">
        <f aca="false">LEN(L506)</f>
        <v>142</v>
      </c>
      <c r="N506" s="3" t="s">
        <v>3242</v>
      </c>
      <c r="O506" s="15" t="s">
        <v>3243</v>
      </c>
      <c r="P506" s="16" t="n">
        <v>240</v>
      </c>
      <c r="Q506" s="15" t="s">
        <v>104</v>
      </c>
      <c r="R506" s="15"/>
      <c r="S506" s="15" t="n">
        <f aca="false">COUNTIF('Page-Keyword Map'!$A$2:$A$668,B506)</f>
        <v>1</v>
      </c>
      <c r="T506" s="16" t="n">
        <f aca="false">SUMIF('Page-Keyword Map'!$A$2:$A$668,B506,'Page-Keyword Map'!$H$2:$H$668)</f>
        <v>240</v>
      </c>
      <c r="U506" s="15" t="n">
        <f aca="false">COUNTIFS('Page-Keyword Map'!$A$2:$A$668,B506,'Page-Keyword Map'!$E$2:$E$668,"Nationwide")</f>
        <v>0</v>
      </c>
      <c r="V506" s="15" t="n">
        <f aca="false">COUNTIFS('Page-Keyword Map'!$A$2:$A$668,B506,'Page-Keyword Map'!$E$2:$E$668,"Provincial")</f>
        <v>0</v>
      </c>
      <c r="W506" s="15" t="n">
        <f aca="false">COUNTIFS('Page-Keyword Map'!$A$2:$A$668,B506,'Page-Keyword Map'!$E$2:$E$668,"City")</f>
        <v>1</v>
      </c>
      <c r="X506" s="15" t="str">
        <f aca="false">IF(O506="","",IF(ISNUMBER(SEARCH(O506,J506)),"Yes","No"))</f>
        <v>No</v>
      </c>
      <c r="Y506" s="15" t="n">
        <v>0.5</v>
      </c>
      <c r="Z506" s="15" t="s">
        <v>2089</v>
      </c>
      <c r="AA506" s="15" t="s">
        <v>131</v>
      </c>
      <c r="AB506" s="17"/>
      <c r="AC506" s="17"/>
    </row>
    <row r="507" customFormat="false" ht="23.85" hidden="false" customHeight="false" outlineLevel="0" collapsed="false">
      <c r="A507" s="15" t="s">
        <v>3244</v>
      </c>
      <c r="B507" s="15" t="s">
        <v>3245</v>
      </c>
      <c r="C507" s="15" t="s">
        <v>2076</v>
      </c>
      <c r="D507" s="15" t="s">
        <v>84</v>
      </c>
      <c r="E507" s="15" t="s">
        <v>314</v>
      </c>
      <c r="F507" s="15"/>
      <c r="G507" s="15" t="s">
        <v>666</v>
      </c>
      <c r="H507" s="15" t="s">
        <v>2155</v>
      </c>
      <c r="I507" s="15" t="s">
        <v>126</v>
      </c>
      <c r="J507" s="3" t="s">
        <v>3246</v>
      </c>
      <c r="K507" s="15" t="n">
        <f aca="false">LEN(J507)</f>
        <v>56</v>
      </c>
      <c r="L507" s="3" t="s">
        <v>3247</v>
      </c>
      <c r="M507" s="15" t="n">
        <f aca="false">LEN(L507)</f>
        <v>140</v>
      </c>
      <c r="N507" s="3" t="s">
        <v>3248</v>
      </c>
      <c r="O507" s="15" t="s">
        <v>3249</v>
      </c>
      <c r="P507" s="16" t="n">
        <v>530</v>
      </c>
      <c r="Q507" s="15" t="s">
        <v>104</v>
      </c>
      <c r="R507" s="15"/>
      <c r="S507" s="15" t="n">
        <f aca="false">COUNTIF('Page-Keyword Map'!$A$2:$A$668,B507)</f>
        <v>1</v>
      </c>
      <c r="T507" s="16" t="n">
        <f aca="false">SUMIF('Page-Keyword Map'!$A$2:$A$668,B507,'Page-Keyword Map'!$H$2:$H$668)</f>
        <v>530</v>
      </c>
      <c r="U507" s="15" t="n">
        <f aca="false">COUNTIFS('Page-Keyword Map'!$A$2:$A$668,B507,'Page-Keyword Map'!$E$2:$E$668,"Nationwide")</f>
        <v>0</v>
      </c>
      <c r="V507" s="15" t="n">
        <f aca="false">COUNTIFS('Page-Keyword Map'!$A$2:$A$668,B507,'Page-Keyword Map'!$E$2:$E$668,"Provincial")</f>
        <v>0</v>
      </c>
      <c r="W507" s="15" t="n">
        <f aca="false">COUNTIFS('Page-Keyword Map'!$A$2:$A$668,B507,'Page-Keyword Map'!$E$2:$E$668,"City")</f>
        <v>1</v>
      </c>
      <c r="X507" s="15" t="str">
        <f aca="false">IF(O507="","",IF(ISNUMBER(SEARCH(O507,J507)),"Yes","No"))</f>
        <v>Yes</v>
      </c>
      <c r="Y507" s="15" t="n">
        <v>0.7</v>
      </c>
      <c r="Z507" s="15" t="s">
        <v>2089</v>
      </c>
      <c r="AA507" s="15" t="s">
        <v>131</v>
      </c>
      <c r="AB507" s="17"/>
      <c r="AC507" s="17"/>
    </row>
    <row r="508" customFormat="false" ht="23.85" hidden="false" customHeight="false" outlineLevel="0" collapsed="false">
      <c r="A508" s="15" t="s">
        <v>3250</v>
      </c>
      <c r="B508" s="15" t="s">
        <v>3251</v>
      </c>
      <c r="C508" s="15" t="s">
        <v>2076</v>
      </c>
      <c r="D508" s="15" t="s">
        <v>84</v>
      </c>
      <c r="E508" s="15" t="s">
        <v>314</v>
      </c>
      <c r="F508" s="15"/>
      <c r="G508" s="15" t="s">
        <v>666</v>
      </c>
      <c r="H508" s="15" t="s">
        <v>2162</v>
      </c>
      <c r="I508" s="15" t="s">
        <v>126</v>
      </c>
      <c r="J508" s="3" t="s">
        <v>3252</v>
      </c>
      <c r="K508" s="15" t="n">
        <f aca="false">LEN(J508)</f>
        <v>59</v>
      </c>
      <c r="L508" s="3" t="s">
        <v>3253</v>
      </c>
      <c r="M508" s="15" t="n">
        <f aca="false">LEN(L508)</f>
        <v>143</v>
      </c>
      <c r="N508" s="3" t="s">
        <v>3254</v>
      </c>
      <c r="O508" s="15" t="s">
        <v>3255</v>
      </c>
      <c r="P508" s="16" t="n">
        <v>600</v>
      </c>
      <c r="Q508" s="15" t="s">
        <v>104</v>
      </c>
      <c r="R508" s="15"/>
      <c r="S508" s="15" t="n">
        <f aca="false">COUNTIF('Page-Keyword Map'!$A$2:$A$668,B508)</f>
        <v>1</v>
      </c>
      <c r="T508" s="16" t="n">
        <f aca="false">SUMIF('Page-Keyword Map'!$A$2:$A$668,B508,'Page-Keyword Map'!$H$2:$H$668)</f>
        <v>600</v>
      </c>
      <c r="U508" s="15" t="n">
        <f aca="false">COUNTIFS('Page-Keyword Map'!$A$2:$A$668,B508,'Page-Keyword Map'!$E$2:$E$668,"Nationwide")</f>
        <v>0</v>
      </c>
      <c r="V508" s="15" t="n">
        <f aca="false">COUNTIFS('Page-Keyword Map'!$A$2:$A$668,B508,'Page-Keyword Map'!$E$2:$E$668,"Provincial")</f>
        <v>0</v>
      </c>
      <c r="W508" s="15" t="n">
        <f aca="false">COUNTIFS('Page-Keyword Map'!$A$2:$A$668,B508,'Page-Keyword Map'!$E$2:$E$668,"City")</f>
        <v>1</v>
      </c>
      <c r="X508" s="15" t="str">
        <f aca="false">IF(O508="","",IF(ISNUMBER(SEARCH(O508,J508)),"Yes","No"))</f>
        <v>Yes</v>
      </c>
      <c r="Y508" s="15" t="n">
        <v>0.7</v>
      </c>
      <c r="Z508" s="15" t="s">
        <v>2089</v>
      </c>
      <c r="AA508" s="15" t="s">
        <v>131</v>
      </c>
      <c r="AB508" s="17"/>
      <c r="AC508" s="17"/>
    </row>
    <row r="509" customFormat="false" ht="23.85" hidden="false" customHeight="false" outlineLevel="0" collapsed="false">
      <c r="A509" s="15" t="s">
        <v>3256</v>
      </c>
      <c r="B509" s="15" t="s">
        <v>3257</v>
      </c>
      <c r="C509" s="15" t="s">
        <v>2076</v>
      </c>
      <c r="D509" s="15" t="s">
        <v>84</v>
      </c>
      <c r="E509" s="15" t="s">
        <v>314</v>
      </c>
      <c r="F509" s="15"/>
      <c r="G509" s="15" t="s">
        <v>666</v>
      </c>
      <c r="H509" s="15" t="s">
        <v>2169</v>
      </c>
      <c r="I509" s="15" t="s">
        <v>126</v>
      </c>
      <c r="J509" s="3" t="s">
        <v>3258</v>
      </c>
      <c r="K509" s="15" t="n">
        <f aca="false">LEN(J509)</f>
        <v>58</v>
      </c>
      <c r="L509" s="3" t="s">
        <v>3259</v>
      </c>
      <c r="M509" s="15" t="n">
        <f aca="false">LEN(L509)</f>
        <v>142</v>
      </c>
      <c r="N509" s="3" t="s">
        <v>3260</v>
      </c>
      <c r="O509" s="15" t="s">
        <v>3261</v>
      </c>
      <c r="P509" s="16" t="n">
        <v>120</v>
      </c>
      <c r="Q509" s="15" t="s">
        <v>104</v>
      </c>
      <c r="R509" s="15"/>
      <c r="S509" s="15" t="n">
        <f aca="false">COUNTIF('Page-Keyword Map'!$A$2:$A$668,B509)</f>
        <v>1</v>
      </c>
      <c r="T509" s="16" t="n">
        <f aca="false">SUMIF('Page-Keyword Map'!$A$2:$A$668,B509,'Page-Keyword Map'!$H$2:$H$668)</f>
        <v>120</v>
      </c>
      <c r="U509" s="15" t="n">
        <f aca="false">COUNTIFS('Page-Keyword Map'!$A$2:$A$668,B509,'Page-Keyword Map'!$E$2:$E$668,"Nationwide")</f>
        <v>0</v>
      </c>
      <c r="V509" s="15" t="n">
        <f aca="false">COUNTIFS('Page-Keyword Map'!$A$2:$A$668,B509,'Page-Keyword Map'!$E$2:$E$668,"Provincial")</f>
        <v>0</v>
      </c>
      <c r="W509" s="15" t="n">
        <f aca="false">COUNTIFS('Page-Keyword Map'!$A$2:$A$668,B509,'Page-Keyword Map'!$E$2:$E$668,"City")</f>
        <v>1</v>
      </c>
      <c r="X509" s="15" t="str">
        <f aca="false">IF(O509="","",IF(ISNUMBER(SEARCH(O509,J509)),"Yes","No"))</f>
        <v>Yes</v>
      </c>
      <c r="Y509" s="15" t="n">
        <v>0.7</v>
      </c>
      <c r="Z509" s="15" t="s">
        <v>2089</v>
      </c>
      <c r="AA509" s="15" t="s">
        <v>131</v>
      </c>
      <c r="AB509" s="17"/>
      <c r="AC509" s="17"/>
    </row>
    <row r="510" customFormat="false" ht="23.85" hidden="false" customHeight="false" outlineLevel="0" collapsed="false">
      <c r="A510" s="15" t="s">
        <v>3262</v>
      </c>
      <c r="B510" s="15" t="s">
        <v>3263</v>
      </c>
      <c r="C510" s="15" t="s">
        <v>2076</v>
      </c>
      <c r="D510" s="15" t="s">
        <v>84</v>
      </c>
      <c r="E510" s="15" t="s">
        <v>314</v>
      </c>
      <c r="F510" s="15"/>
      <c r="G510" s="15" t="s">
        <v>673</v>
      </c>
      <c r="H510" s="15" t="s">
        <v>2176</v>
      </c>
      <c r="I510" s="15" t="s">
        <v>211</v>
      </c>
      <c r="J510" s="3" t="s">
        <v>3264</v>
      </c>
      <c r="K510" s="15" t="n">
        <f aca="false">LEN(J510)</f>
        <v>57</v>
      </c>
      <c r="L510" s="3" t="s">
        <v>3265</v>
      </c>
      <c r="M510" s="15" t="n">
        <f aca="false">LEN(L510)</f>
        <v>133</v>
      </c>
      <c r="N510" s="3" t="s">
        <v>3266</v>
      </c>
      <c r="O510" s="15" t="s">
        <v>3267</v>
      </c>
      <c r="P510" s="16" t="n">
        <v>78</v>
      </c>
      <c r="Q510" s="15" t="s">
        <v>104</v>
      </c>
      <c r="R510" s="15"/>
      <c r="S510" s="15" t="n">
        <f aca="false">COUNTIF('Page-Keyword Map'!$A$2:$A$668,B510)</f>
        <v>1</v>
      </c>
      <c r="T510" s="16" t="n">
        <f aca="false">SUMIF('Page-Keyword Map'!$A$2:$A$668,B510,'Page-Keyword Map'!$H$2:$H$668)</f>
        <v>78</v>
      </c>
      <c r="U510" s="15" t="n">
        <f aca="false">COUNTIFS('Page-Keyword Map'!$A$2:$A$668,B510,'Page-Keyword Map'!$E$2:$E$668,"Nationwide")</f>
        <v>0</v>
      </c>
      <c r="V510" s="15" t="n">
        <f aca="false">COUNTIFS('Page-Keyword Map'!$A$2:$A$668,B510,'Page-Keyword Map'!$E$2:$E$668,"Provincial")</f>
        <v>0</v>
      </c>
      <c r="W510" s="15" t="n">
        <f aca="false">COUNTIFS('Page-Keyword Map'!$A$2:$A$668,B510,'Page-Keyword Map'!$E$2:$E$668,"City")</f>
        <v>1</v>
      </c>
      <c r="X510" s="15" t="str">
        <f aca="false">IF(O510="","",IF(ISNUMBER(SEARCH(O510,J510)),"Yes","No"))</f>
        <v>Yes</v>
      </c>
      <c r="Y510" s="15" t="n">
        <v>0.5</v>
      </c>
      <c r="Z510" s="15" t="s">
        <v>216</v>
      </c>
      <c r="AA510" s="15" t="s">
        <v>217</v>
      </c>
      <c r="AB510" s="17"/>
      <c r="AC510" s="17"/>
    </row>
    <row r="511" customFormat="false" ht="23.85" hidden="false" customHeight="false" outlineLevel="0" collapsed="false">
      <c r="A511" s="15" t="s">
        <v>3268</v>
      </c>
      <c r="B511" s="15" t="s">
        <v>3269</v>
      </c>
      <c r="C511" s="15" t="s">
        <v>2076</v>
      </c>
      <c r="D511" s="15" t="s">
        <v>84</v>
      </c>
      <c r="E511" s="15" t="s">
        <v>314</v>
      </c>
      <c r="F511" s="15"/>
      <c r="G511" s="15" t="s">
        <v>673</v>
      </c>
      <c r="H511" s="15" t="s">
        <v>2183</v>
      </c>
      <c r="I511" s="15" t="s">
        <v>126</v>
      </c>
      <c r="J511" s="3" t="s">
        <v>3270</v>
      </c>
      <c r="K511" s="15" t="n">
        <f aca="false">LEN(J511)</f>
        <v>58</v>
      </c>
      <c r="L511" s="3" t="s">
        <v>3271</v>
      </c>
      <c r="M511" s="15" t="n">
        <f aca="false">LEN(L511)</f>
        <v>134</v>
      </c>
      <c r="N511" s="3" t="s">
        <v>3272</v>
      </c>
      <c r="O511" s="15" t="s">
        <v>3273</v>
      </c>
      <c r="P511" s="16" t="n">
        <v>660</v>
      </c>
      <c r="Q511" s="15" t="s">
        <v>104</v>
      </c>
      <c r="R511" s="15"/>
      <c r="S511" s="15" t="n">
        <f aca="false">COUNTIF('Page-Keyword Map'!$A$2:$A$668,B511)</f>
        <v>1</v>
      </c>
      <c r="T511" s="16" t="n">
        <f aca="false">SUMIF('Page-Keyword Map'!$A$2:$A$668,B511,'Page-Keyword Map'!$H$2:$H$668)</f>
        <v>660</v>
      </c>
      <c r="U511" s="15" t="n">
        <f aca="false">COUNTIFS('Page-Keyword Map'!$A$2:$A$668,B511,'Page-Keyword Map'!$E$2:$E$668,"Nationwide")</f>
        <v>0</v>
      </c>
      <c r="V511" s="15" t="n">
        <f aca="false">COUNTIFS('Page-Keyword Map'!$A$2:$A$668,B511,'Page-Keyword Map'!$E$2:$E$668,"Provincial")</f>
        <v>0</v>
      </c>
      <c r="W511" s="15" t="n">
        <f aca="false">COUNTIFS('Page-Keyword Map'!$A$2:$A$668,B511,'Page-Keyword Map'!$E$2:$E$668,"City")</f>
        <v>1</v>
      </c>
      <c r="X511" s="15" t="str">
        <f aca="false">IF(O511="","",IF(ISNUMBER(SEARCH(O511,J511)),"Yes","No"))</f>
        <v>Yes</v>
      </c>
      <c r="Y511" s="15" t="n">
        <v>0.7</v>
      </c>
      <c r="Z511" s="15" t="s">
        <v>2089</v>
      </c>
      <c r="AA511" s="15" t="s">
        <v>131</v>
      </c>
      <c r="AB511" s="17"/>
      <c r="AC511" s="17"/>
    </row>
    <row r="512" customFormat="false" ht="23.85" hidden="false" customHeight="false" outlineLevel="0" collapsed="false">
      <c r="A512" s="15" t="s">
        <v>3274</v>
      </c>
      <c r="B512" s="15" t="s">
        <v>3275</v>
      </c>
      <c r="C512" s="15" t="s">
        <v>2076</v>
      </c>
      <c r="D512" s="15" t="s">
        <v>84</v>
      </c>
      <c r="E512" s="15" t="s">
        <v>314</v>
      </c>
      <c r="F512" s="15"/>
      <c r="G512" s="15" t="s">
        <v>680</v>
      </c>
      <c r="H512" s="15" t="s">
        <v>2190</v>
      </c>
      <c r="I512" s="15" t="s">
        <v>126</v>
      </c>
      <c r="J512" s="3" t="s">
        <v>3276</v>
      </c>
      <c r="K512" s="15" t="n">
        <f aca="false">LEN(J512)</f>
        <v>61</v>
      </c>
      <c r="L512" s="3" t="s">
        <v>3277</v>
      </c>
      <c r="M512" s="15" t="n">
        <f aca="false">LEN(L512)</f>
        <v>144</v>
      </c>
      <c r="N512" s="3" t="s">
        <v>3278</v>
      </c>
      <c r="O512" s="15" t="s">
        <v>3279</v>
      </c>
      <c r="P512" s="16" t="n">
        <v>92</v>
      </c>
      <c r="Q512" s="15" t="s">
        <v>104</v>
      </c>
      <c r="R512" s="15"/>
      <c r="S512" s="15" t="n">
        <f aca="false">COUNTIF('Page-Keyword Map'!$A$2:$A$668,B512)</f>
        <v>1</v>
      </c>
      <c r="T512" s="16" t="n">
        <f aca="false">SUMIF('Page-Keyword Map'!$A$2:$A$668,B512,'Page-Keyword Map'!$H$2:$H$668)</f>
        <v>92</v>
      </c>
      <c r="U512" s="15" t="n">
        <f aca="false">COUNTIFS('Page-Keyword Map'!$A$2:$A$668,B512,'Page-Keyword Map'!$E$2:$E$668,"Nationwide")</f>
        <v>0</v>
      </c>
      <c r="V512" s="15" t="n">
        <f aca="false">COUNTIFS('Page-Keyword Map'!$A$2:$A$668,B512,'Page-Keyword Map'!$E$2:$E$668,"Provincial")</f>
        <v>0</v>
      </c>
      <c r="W512" s="15" t="n">
        <f aca="false">COUNTIFS('Page-Keyword Map'!$A$2:$A$668,B512,'Page-Keyword Map'!$E$2:$E$668,"City")</f>
        <v>1</v>
      </c>
      <c r="X512" s="15" t="str">
        <f aca="false">IF(O512="","",IF(ISNUMBER(SEARCH(O512,J512)),"Yes","No"))</f>
        <v>Yes</v>
      </c>
      <c r="Y512" s="15" t="n">
        <v>0.5</v>
      </c>
      <c r="Z512" s="15" t="s">
        <v>2089</v>
      </c>
      <c r="AA512" s="15" t="s">
        <v>131</v>
      </c>
      <c r="AB512" s="17"/>
      <c r="AC512" s="17"/>
    </row>
    <row r="513" customFormat="false" ht="23.85" hidden="false" customHeight="false" outlineLevel="0" collapsed="false">
      <c r="A513" s="15" t="s">
        <v>3280</v>
      </c>
      <c r="B513" s="15" t="s">
        <v>3281</v>
      </c>
      <c r="C513" s="15" t="s">
        <v>2076</v>
      </c>
      <c r="D513" s="15" t="s">
        <v>84</v>
      </c>
      <c r="E513" s="15" t="s">
        <v>314</v>
      </c>
      <c r="F513" s="15"/>
      <c r="G513" s="15" t="s">
        <v>680</v>
      </c>
      <c r="H513" s="15" t="s">
        <v>2197</v>
      </c>
      <c r="I513" s="15" t="s">
        <v>126</v>
      </c>
      <c r="J513" s="3" t="s">
        <v>3282</v>
      </c>
      <c r="K513" s="15" t="n">
        <f aca="false">LEN(J513)</f>
        <v>57</v>
      </c>
      <c r="L513" s="3" t="s">
        <v>3283</v>
      </c>
      <c r="M513" s="15" t="n">
        <f aca="false">LEN(L513)</f>
        <v>140</v>
      </c>
      <c r="N513" s="3" t="s">
        <v>3284</v>
      </c>
      <c r="O513" s="15" t="s">
        <v>3285</v>
      </c>
      <c r="P513" s="16" t="n">
        <v>110</v>
      </c>
      <c r="Q513" s="15" t="s">
        <v>104</v>
      </c>
      <c r="R513" s="15"/>
      <c r="S513" s="15" t="n">
        <f aca="false">COUNTIF('Page-Keyword Map'!$A$2:$A$668,B513)</f>
        <v>1</v>
      </c>
      <c r="T513" s="16" t="n">
        <f aca="false">SUMIF('Page-Keyword Map'!$A$2:$A$668,B513,'Page-Keyword Map'!$H$2:$H$668)</f>
        <v>110</v>
      </c>
      <c r="U513" s="15" t="n">
        <f aca="false">COUNTIFS('Page-Keyword Map'!$A$2:$A$668,B513,'Page-Keyword Map'!$E$2:$E$668,"Nationwide")</f>
        <v>0</v>
      </c>
      <c r="V513" s="15" t="n">
        <f aca="false">COUNTIFS('Page-Keyword Map'!$A$2:$A$668,B513,'Page-Keyword Map'!$E$2:$E$668,"Provincial")</f>
        <v>0</v>
      </c>
      <c r="W513" s="15" t="n">
        <f aca="false">COUNTIFS('Page-Keyword Map'!$A$2:$A$668,B513,'Page-Keyword Map'!$E$2:$E$668,"City")</f>
        <v>1</v>
      </c>
      <c r="X513" s="15" t="str">
        <f aca="false">IF(O513="","",IF(ISNUMBER(SEARCH(O513,J513)),"Yes","No"))</f>
        <v>Yes</v>
      </c>
      <c r="Y513" s="15" t="n">
        <v>0.5</v>
      </c>
      <c r="Z513" s="15" t="s">
        <v>2089</v>
      </c>
      <c r="AA513" s="15" t="s">
        <v>131</v>
      </c>
      <c r="AB513" s="17"/>
      <c r="AC513" s="17"/>
    </row>
    <row r="514" customFormat="false" ht="23.85" hidden="false" customHeight="false" outlineLevel="0" collapsed="false">
      <c r="A514" s="15" t="s">
        <v>3286</v>
      </c>
      <c r="B514" s="15" t="s">
        <v>3287</v>
      </c>
      <c r="C514" s="15" t="s">
        <v>2076</v>
      </c>
      <c r="D514" s="15" t="s">
        <v>84</v>
      </c>
      <c r="E514" s="15" t="s">
        <v>314</v>
      </c>
      <c r="F514" s="15"/>
      <c r="G514" s="15" t="s">
        <v>680</v>
      </c>
      <c r="H514" s="15" t="s">
        <v>2204</v>
      </c>
      <c r="I514" s="15" t="s">
        <v>126</v>
      </c>
      <c r="J514" s="3" t="s">
        <v>3288</v>
      </c>
      <c r="K514" s="15" t="n">
        <f aca="false">LEN(J514)</f>
        <v>60</v>
      </c>
      <c r="L514" s="3" t="s">
        <v>3289</v>
      </c>
      <c r="M514" s="15" t="n">
        <f aca="false">LEN(L514)</f>
        <v>143</v>
      </c>
      <c r="N514" s="3" t="s">
        <v>3290</v>
      </c>
      <c r="O514" s="15" t="s">
        <v>3291</v>
      </c>
      <c r="P514" s="16" t="n">
        <v>99</v>
      </c>
      <c r="Q514" s="15" t="s">
        <v>104</v>
      </c>
      <c r="R514" s="15"/>
      <c r="S514" s="15" t="n">
        <f aca="false">COUNTIF('Page-Keyword Map'!$A$2:$A$668,B514)</f>
        <v>1</v>
      </c>
      <c r="T514" s="16" t="n">
        <f aca="false">SUMIF('Page-Keyword Map'!$A$2:$A$668,B514,'Page-Keyword Map'!$H$2:$H$668)</f>
        <v>99</v>
      </c>
      <c r="U514" s="15" t="n">
        <f aca="false">COUNTIFS('Page-Keyword Map'!$A$2:$A$668,B514,'Page-Keyword Map'!$E$2:$E$668,"Nationwide")</f>
        <v>0</v>
      </c>
      <c r="V514" s="15" t="n">
        <f aca="false">COUNTIFS('Page-Keyword Map'!$A$2:$A$668,B514,'Page-Keyword Map'!$E$2:$E$668,"Provincial")</f>
        <v>0</v>
      </c>
      <c r="W514" s="15" t="n">
        <f aca="false">COUNTIFS('Page-Keyword Map'!$A$2:$A$668,B514,'Page-Keyword Map'!$E$2:$E$668,"City")</f>
        <v>1</v>
      </c>
      <c r="X514" s="15" t="str">
        <f aca="false">IF(O514="","",IF(ISNUMBER(SEARCH(O514,J514)),"Yes","No"))</f>
        <v>Yes</v>
      </c>
      <c r="Y514" s="15" t="n">
        <v>0.5</v>
      </c>
      <c r="Z514" s="15" t="s">
        <v>2089</v>
      </c>
      <c r="AA514" s="15" t="s">
        <v>131</v>
      </c>
      <c r="AB514" s="17"/>
      <c r="AC514" s="17"/>
    </row>
    <row r="515" customFormat="false" ht="23.85" hidden="false" customHeight="false" outlineLevel="0" collapsed="false">
      <c r="A515" s="15" t="s">
        <v>3292</v>
      </c>
      <c r="B515" s="15" t="s">
        <v>3293</v>
      </c>
      <c r="C515" s="15" t="s">
        <v>2076</v>
      </c>
      <c r="D515" s="15" t="s">
        <v>84</v>
      </c>
      <c r="E515" s="15" t="s">
        <v>314</v>
      </c>
      <c r="F515" s="15"/>
      <c r="G515" s="15" t="s">
        <v>687</v>
      </c>
      <c r="H515" s="15" t="s">
        <v>2211</v>
      </c>
      <c r="I515" s="15" t="s">
        <v>126</v>
      </c>
      <c r="J515" s="3" t="s">
        <v>3294</v>
      </c>
      <c r="K515" s="15" t="n">
        <f aca="false">LEN(J515)</f>
        <v>60</v>
      </c>
      <c r="L515" s="3" t="s">
        <v>3295</v>
      </c>
      <c r="M515" s="15" t="n">
        <f aca="false">LEN(L515)</f>
        <v>155</v>
      </c>
      <c r="N515" s="3" t="s">
        <v>3296</v>
      </c>
      <c r="O515" s="15" t="s">
        <v>3297</v>
      </c>
      <c r="P515" s="16" t="n">
        <v>140</v>
      </c>
      <c r="Q515" s="15" t="s">
        <v>104</v>
      </c>
      <c r="R515" s="15"/>
      <c r="S515" s="15" t="n">
        <f aca="false">COUNTIF('Page-Keyword Map'!$A$2:$A$668,B515)</f>
        <v>1</v>
      </c>
      <c r="T515" s="16" t="n">
        <f aca="false">SUMIF('Page-Keyword Map'!$A$2:$A$668,B515,'Page-Keyword Map'!$H$2:$H$668)</f>
        <v>140</v>
      </c>
      <c r="U515" s="15" t="n">
        <f aca="false">COUNTIFS('Page-Keyword Map'!$A$2:$A$668,B515,'Page-Keyword Map'!$E$2:$E$668,"Nationwide")</f>
        <v>0</v>
      </c>
      <c r="V515" s="15" t="n">
        <f aca="false">COUNTIFS('Page-Keyword Map'!$A$2:$A$668,B515,'Page-Keyword Map'!$E$2:$E$668,"Provincial")</f>
        <v>0</v>
      </c>
      <c r="W515" s="15" t="n">
        <f aca="false">COUNTIFS('Page-Keyword Map'!$A$2:$A$668,B515,'Page-Keyword Map'!$E$2:$E$668,"City")</f>
        <v>1</v>
      </c>
      <c r="X515" s="15" t="str">
        <f aca="false">IF(O515="","",IF(ISNUMBER(SEARCH(O515,J515)),"Yes","No"))</f>
        <v>No</v>
      </c>
      <c r="Y515" s="15" t="n">
        <v>0.7</v>
      </c>
      <c r="Z515" s="15" t="s">
        <v>2089</v>
      </c>
      <c r="AA515" s="15" t="s">
        <v>131</v>
      </c>
      <c r="AB515" s="17"/>
      <c r="AC515" s="17"/>
    </row>
    <row r="516" customFormat="false" ht="23.85" hidden="false" customHeight="false" outlineLevel="0" collapsed="false">
      <c r="A516" s="15" t="s">
        <v>3298</v>
      </c>
      <c r="B516" s="15" t="s">
        <v>3299</v>
      </c>
      <c r="C516" s="15" t="s">
        <v>2076</v>
      </c>
      <c r="D516" s="15" t="s">
        <v>84</v>
      </c>
      <c r="E516" s="15" t="s">
        <v>314</v>
      </c>
      <c r="F516" s="15"/>
      <c r="G516" s="15" t="s">
        <v>694</v>
      </c>
      <c r="H516" s="15" t="s">
        <v>2218</v>
      </c>
      <c r="I516" s="15" t="s">
        <v>211</v>
      </c>
      <c r="J516" s="3" t="s">
        <v>3300</v>
      </c>
      <c r="K516" s="15" t="n">
        <f aca="false">LEN(J516)</f>
        <v>61</v>
      </c>
      <c r="L516" s="3" t="s">
        <v>3301</v>
      </c>
      <c r="M516" s="15" t="n">
        <f aca="false">LEN(L516)</f>
        <v>163</v>
      </c>
      <c r="N516" s="3" t="s">
        <v>3302</v>
      </c>
      <c r="O516" s="15"/>
      <c r="P516" s="16"/>
      <c r="Q516" s="15"/>
      <c r="R516" s="15" t="s">
        <v>3303</v>
      </c>
      <c r="S516" s="15" t="n">
        <f aca="false">COUNTIF('Page-Keyword Map'!$A$2:$A$668,B516)</f>
        <v>0</v>
      </c>
      <c r="T516" s="16" t="n">
        <f aca="false">SUMIF('Page-Keyword Map'!$A$2:$A$668,B516,'Page-Keyword Map'!$H$2:$H$668)</f>
        <v>0</v>
      </c>
      <c r="U516" s="15" t="n">
        <f aca="false">COUNTIFS('Page-Keyword Map'!$A$2:$A$668,B516,'Page-Keyword Map'!$E$2:$E$668,"Nationwide")</f>
        <v>0</v>
      </c>
      <c r="V516" s="15" t="n">
        <f aca="false">COUNTIFS('Page-Keyword Map'!$A$2:$A$668,B516,'Page-Keyword Map'!$E$2:$E$668,"Provincial")</f>
        <v>0</v>
      </c>
      <c r="W516" s="15" t="n">
        <f aca="false">COUNTIFS('Page-Keyword Map'!$A$2:$A$668,B516,'Page-Keyword Map'!$E$2:$E$668,"City")</f>
        <v>0</v>
      </c>
      <c r="X516" s="15" t="str">
        <f aca="false">IF(O516="","",IF(ISNUMBER(SEARCH(O516,J516)),"Yes","No"))</f>
        <v/>
      </c>
      <c r="Y516" s="15" t="n">
        <v>0.5</v>
      </c>
      <c r="Z516" s="15" t="s">
        <v>216</v>
      </c>
      <c r="AA516" s="15" t="s">
        <v>217</v>
      </c>
      <c r="AB516" s="17"/>
      <c r="AC516" s="17"/>
    </row>
    <row r="517" customFormat="false" ht="23.85" hidden="false" customHeight="false" outlineLevel="0" collapsed="false">
      <c r="A517" s="15" t="s">
        <v>3304</v>
      </c>
      <c r="B517" s="15" t="s">
        <v>3305</v>
      </c>
      <c r="C517" s="15" t="s">
        <v>2076</v>
      </c>
      <c r="D517" s="15" t="s">
        <v>84</v>
      </c>
      <c r="E517" s="15" t="s">
        <v>314</v>
      </c>
      <c r="F517" s="15"/>
      <c r="G517" s="15" t="s">
        <v>701</v>
      </c>
      <c r="H517" s="15" t="s">
        <v>2225</v>
      </c>
      <c r="I517" s="15" t="s">
        <v>126</v>
      </c>
      <c r="J517" s="3" t="s">
        <v>3306</v>
      </c>
      <c r="K517" s="15" t="n">
        <f aca="false">LEN(J517)</f>
        <v>57</v>
      </c>
      <c r="L517" s="3" t="s">
        <v>3307</v>
      </c>
      <c r="M517" s="15" t="n">
        <f aca="false">LEN(L517)</f>
        <v>138</v>
      </c>
      <c r="N517" s="3" t="s">
        <v>3308</v>
      </c>
      <c r="O517" s="15" t="s">
        <v>3309</v>
      </c>
      <c r="P517" s="16" t="n">
        <v>430</v>
      </c>
      <c r="Q517" s="15" t="s">
        <v>104</v>
      </c>
      <c r="R517" s="15"/>
      <c r="S517" s="15" t="n">
        <f aca="false">COUNTIF('Page-Keyword Map'!$A$2:$A$668,B517)</f>
        <v>1</v>
      </c>
      <c r="T517" s="16" t="n">
        <f aca="false">SUMIF('Page-Keyword Map'!$A$2:$A$668,B517,'Page-Keyword Map'!$H$2:$H$668)</f>
        <v>430</v>
      </c>
      <c r="U517" s="15" t="n">
        <f aca="false">COUNTIFS('Page-Keyword Map'!$A$2:$A$668,B517,'Page-Keyword Map'!$E$2:$E$668,"Nationwide")</f>
        <v>0</v>
      </c>
      <c r="V517" s="15" t="n">
        <f aca="false">COUNTIFS('Page-Keyword Map'!$A$2:$A$668,B517,'Page-Keyword Map'!$E$2:$E$668,"Provincial")</f>
        <v>0</v>
      </c>
      <c r="W517" s="15" t="n">
        <f aca="false">COUNTIFS('Page-Keyword Map'!$A$2:$A$668,B517,'Page-Keyword Map'!$E$2:$E$668,"City")</f>
        <v>1</v>
      </c>
      <c r="X517" s="15" t="str">
        <f aca="false">IF(O517="","",IF(ISNUMBER(SEARCH(O517,J517)),"Yes","No"))</f>
        <v>Yes</v>
      </c>
      <c r="Y517" s="15" t="n">
        <v>0.7</v>
      </c>
      <c r="Z517" s="15" t="s">
        <v>2089</v>
      </c>
      <c r="AA517" s="15" t="s">
        <v>131</v>
      </c>
      <c r="AB517" s="17"/>
      <c r="AC517" s="17"/>
    </row>
    <row r="518" customFormat="false" ht="23.85" hidden="false" customHeight="false" outlineLevel="0" collapsed="false">
      <c r="A518" s="15" t="s">
        <v>3310</v>
      </c>
      <c r="B518" s="15" t="s">
        <v>3311</v>
      </c>
      <c r="C518" s="15" t="s">
        <v>2076</v>
      </c>
      <c r="D518" s="15" t="s">
        <v>84</v>
      </c>
      <c r="E518" s="15" t="s">
        <v>314</v>
      </c>
      <c r="F518" s="15"/>
      <c r="G518" s="15" t="s">
        <v>715</v>
      </c>
      <c r="H518" s="15" t="s">
        <v>2232</v>
      </c>
      <c r="I518" s="15" t="s">
        <v>211</v>
      </c>
      <c r="J518" s="3" t="s">
        <v>3312</v>
      </c>
      <c r="K518" s="15" t="n">
        <f aca="false">LEN(J518)</f>
        <v>54</v>
      </c>
      <c r="L518" s="3" t="s">
        <v>3313</v>
      </c>
      <c r="M518" s="15" t="n">
        <f aca="false">LEN(L518)</f>
        <v>129</v>
      </c>
      <c r="N518" s="3" t="s">
        <v>3314</v>
      </c>
      <c r="O518" s="15" t="s">
        <v>3315</v>
      </c>
      <c r="P518" s="16" t="n">
        <v>160</v>
      </c>
      <c r="Q518" s="15" t="s">
        <v>104</v>
      </c>
      <c r="R518" s="15"/>
      <c r="S518" s="15" t="n">
        <f aca="false">COUNTIF('Page-Keyword Map'!$A$2:$A$668,B518)</f>
        <v>1</v>
      </c>
      <c r="T518" s="16" t="n">
        <f aca="false">SUMIF('Page-Keyword Map'!$A$2:$A$668,B518,'Page-Keyword Map'!$H$2:$H$668)</f>
        <v>160</v>
      </c>
      <c r="U518" s="15" t="n">
        <f aca="false">COUNTIFS('Page-Keyword Map'!$A$2:$A$668,B518,'Page-Keyword Map'!$E$2:$E$668,"Nationwide")</f>
        <v>0</v>
      </c>
      <c r="V518" s="15" t="n">
        <f aca="false">COUNTIFS('Page-Keyword Map'!$A$2:$A$668,B518,'Page-Keyword Map'!$E$2:$E$668,"Provincial")</f>
        <v>0</v>
      </c>
      <c r="W518" s="15" t="n">
        <f aca="false">COUNTIFS('Page-Keyword Map'!$A$2:$A$668,B518,'Page-Keyword Map'!$E$2:$E$668,"City")</f>
        <v>1</v>
      </c>
      <c r="X518" s="15" t="str">
        <f aca="false">IF(O518="","",IF(ISNUMBER(SEARCH(O518,J518)),"Yes","No"))</f>
        <v>Yes</v>
      </c>
      <c r="Y518" s="15" t="n">
        <v>0.5</v>
      </c>
      <c r="Z518" s="15" t="s">
        <v>216</v>
      </c>
      <c r="AA518" s="15" t="s">
        <v>217</v>
      </c>
      <c r="AB518" s="17"/>
      <c r="AC518" s="17"/>
    </row>
    <row r="519" customFormat="false" ht="23.85" hidden="false" customHeight="false" outlineLevel="0" collapsed="false">
      <c r="A519" s="15" t="s">
        <v>3316</v>
      </c>
      <c r="B519" s="15" t="s">
        <v>3317</v>
      </c>
      <c r="C519" s="15" t="s">
        <v>2076</v>
      </c>
      <c r="D519" s="15" t="s">
        <v>84</v>
      </c>
      <c r="E519" s="15" t="s">
        <v>314</v>
      </c>
      <c r="F519" s="15"/>
      <c r="G519" s="15" t="s">
        <v>715</v>
      </c>
      <c r="H519" s="15" t="s">
        <v>2239</v>
      </c>
      <c r="I519" s="15" t="s">
        <v>126</v>
      </c>
      <c r="J519" s="3" t="s">
        <v>3318</v>
      </c>
      <c r="K519" s="15" t="n">
        <f aca="false">LEN(J519)</f>
        <v>56</v>
      </c>
      <c r="L519" s="3" t="s">
        <v>3319</v>
      </c>
      <c r="M519" s="15" t="n">
        <f aca="false">LEN(L519)</f>
        <v>131</v>
      </c>
      <c r="N519" s="3" t="s">
        <v>3320</v>
      </c>
      <c r="O519" s="15" t="s">
        <v>3321</v>
      </c>
      <c r="P519" s="16" t="n">
        <v>180</v>
      </c>
      <c r="Q519" s="15" t="s">
        <v>104</v>
      </c>
      <c r="R519" s="15"/>
      <c r="S519" s="15" t="n">
        <f aca="false">COUNTIF('Page-Keyword Map'!$A$2:$A$668,B519)</f>
        <v>1</v>
      </c>
      <c r="T519" s="16" t="n">
        <f aca="false">SUMIF('Page-Keyword Map'!$A$2:$A$668,B519,'Page-Keyword Map'!$H$2:$H$668)</f>
        <v>180</v>
      </c>
      <c r="U519" s="15" t="n">
        <f aca="false">COUNTIFS('Page-Keyword Map'!$A$2:$A$668,B519,'Page-Keyword Map'!$E$2:$E$668,"Nationwide")</f>
        <v>0</v>
      </c>
      <c r="V519" s="15" t="n">
        <f aca="false">COUNTIFS('Page-Keyword Map'!$A$2:$A$668,B519,'Page-Keyword Map'!$E$2:$E$668,"Provincial")</f>
        <v>0</v>
      </c>
      <c r="W519" s="15" t="n">
        <f aca="false">COUNTIFS('Page-Keyword Map'!$A$2:$A$668,B519,'Page-Keyword Map'!$E$2:$E$668,"City")</f>
        <v>1</v>
      </c>
      <c r="X519" s="15" t="str">
        <f aca="false">IF(O519="","",IF(ISNUMBER(SEARCH(O519,J519)),"Yes","No"))</f>
        <v>Yes</v>
      </c>
      <c r="Y519" s="15" t="n">
        <v>0.5</v>
      </c>
      <c r="Z519" s="15" t="s">
        <v>2089</v>
      </c>
      <c r="AA519" s="15" t="s">
        <v>131</v>
      </c>
      <c r="AB519" s="17"/>
      <c r="AC519" s="17"/>
    </row>
    <row r="520" customFormat="false" ht="23.85" hidden="false" customHeight="false" outlineLevel="0" collapsed="false">
      <c r="A520" s="15" t="s">
        <v>3322</v>
      </c>
      <c r="B520" s="15" t="s">
        <v>3323</v>
      </c>
      <c r="C520" s="15" t="s">
        <v>2076</v>
      </c>
      <c r="D520" s="15" t="s">
        <v>84</v>
      </c>
      <c r="E520" s="15" t="s">
        <v>314</v>
      </c>
      <c r="F520" s="15"/>
      <c r="G520" s="15" t="s">
        <v>715</v>
      </c>
      <c r="H520" s="15" t="s">
        <v>2246</v>
      </c>
      <c r="I520" s="15" t="s">
        <v>126</v>
      </c>
      <c r="J520" s="3" t="s">
        <v>3324</v>
      </c>
      <c r="K520" s="15" t="n">
        <f aca="false">LEN(J520)</f>
        <v>58</v>
      </c>
      <c r="L520" s="3" t="s">
        <v>3325</v>
      </c>
      <c r="M520" s="15" t="n">
        <f aca="false">LEN(L520)</f>
        <v>133</v>
      </c>
      <c r="N520" s="3" t="s">
        <v>3326</v>
      </c>
      <c r="O520" s="15" t="s">
        <v>3327</v>
      </c>
      <c r="P520" s="16" t="n">
        <v>600</v>
      </c>
      <c r="Q520" s="15" t="s">
        <v>104</v>
      </c>
      <c r="R520" s="15"/>
      <c r="S520" s="15" t="n">
        <f aca="false">COUNTIF('Page-Keyword Map'!$A$2:$A$668,B520)</f>
        <v>1</v>
      </c>
      <c r="T520" s="16" t="n">
        <f aca="false">SUMIF('Page-Keyword Map'!$A$2:$A$668,B520,'Page-Keyword Map'!$H$2:$H$668)</f>
        <v>600</v>
      </c>
      <c r="U520" s="15" t="n">
        <f aca="false">COUNTIFS('Page-Keyword Map'!$A$2:$A$668,B520,'Page-Keyword Map'!$E$2:$E$668,"Nationwide")</f>
        <v>0</v>
      </c>
      <c r="V520" s="15" t="n">
        <f aca="false">COUNTIFS('Page-Keyword Map'!$A$2:$A$668,B520,'Page-Keyword Map'!$E$2:$E$668,"Provincial")</f>
        <v>0</v>
      </c>
      <c r="W520" s="15" t="n">
        <f aca="false">COUNTIFS('Page-Keyword Map'!$A$2:$A$668,B520,'Page-Keyword Map'!$E$2:$E$668,"City")</f>
        <v>1</v>
      </c>
      <c r="X520" s="15" t="str">
        <f aca="false">IF(O520="","",IF(ISNUMBER(SEARCH(O520,J520)),"Yes","No"))</f>
        <v>Yes</v>
      </c>
      <c r="Y520" s="15" t="n">
        <v>0.7</v>
      </c>
      <c r="Z520" s="15" t="s">
        <v>2089</v>
      </c>
      <c r="AA520" s="15" t="s">
        <v>131</v>
      </c>
      <c r="AB520" s="17"/>
      <c r="AC520" s="17"/>
    </row>
    <row r="521" customFormat="false" ht="23.85" hidden="false" customHeight="false" outlineLevel="0" collapsed="false">
      <c r="A521" s="15" t="s">
        <v>3328</v>
      </c>
      <c r="B521" s="15" t="s">
        <v>3329</v>
      </c>
      <c r="C521" s="15" t="s">
        <v>2076</v>
      </c>
      <c r="D521" s="15" t="s">
        <v>84</v>
      </c>
      <c r="E521" s="15" t="s">
        <v>314</v>
      </c>
      <c r="F521" s="15"/>
      <c r="G521" s="15" t="s">
        <v>715</v>
      </c>
      <c r="H521" s="15" t="s">
        <v>2253</v>
      </c>
      <c r="I521" s="15" t="s">
        <v>126</v>
      </c>
      <c r="J521" s="3" t="s">
        <v>3330</v>
      </c>
      <c r="K521" s="15" t="n">
        <f aca="false">LEN(J521)</f>
        <v>60</v>
      </c>
      <c r="L521" s="3" t="s">
        <v>3331</v>
      </c>
      <c r="M521" s="15" t="n">
        <f aca="false">LEN(L521)</f>
        <v>135</v>
      </c>
      <c r="N521" s="3" t="s">
        <v>3332</v>
      </c>
      <c r="O521" s="15" t="s">
        <v>3333</v>
      </c>
      <c r="P521" s="16" t="n">
        <v>220</v>
      </c>
      <c r="Q521" s="15" t="s">
        <v>104</v>
      </c>
      <c r="R521" s="15"/>
      <c r="S521" s="15" t="n">
        <f aca="false">COUNTIF('Page-Keyword Map'!$A$2:$A$668,B521)</f>
        <v>1</v>
      </c>
      <c r="T521" s="16" t="n">
        <f aca="false">SUMIF('Page-Keyword Map'!$A$2:$A$668,B521,'Page-Keyword Map'!$H$2:$H$668)</f>
        <v>220</v>
      </c>
      <c r="U521" s="15" t="n">
        <f aca="false">COUNTIFS('Page-Keyword Map'!$A$2:$A$668,B521,'Page-Keyword Map'!$E$2:$E$668,"Nationwide")</f>
        <v>0</v>
      </c>
      <c r="V521" s="15" t="n">
        <f aca="false">COUNTIFS('Page-Keyword Map'!$A$2:$A$668,B521,'Page-Keyword Map'!$E$2:$E$668,"Provincial")</f>
        <v>0</v>
      </c>
      <c r="W521" s="15" t="n">
        <f aca="false">COUNTIFS('Page-Keyword Map'!$A$2:$A$668,B521,'Page-Keyword Map'!$E$2:$E$668,"City")</f>
        <v>1</v>
      </c>
      <c r="X521" s="15" t="str">
        <f aca="false">IF(O521="","",IF(ISNUMBER(SEARCH(O521,J521)),"Yes","No"))</f>
        <v>Yes</v>
      </c>
      <c r="Y521" s="15" t="n">
        <v>0.5</v>
      </c>
      <c r="Z521" s="15" t="s">
        <v>2089</v>
      </c>
      <c r="AA521" s="15" t="s">
        <v>131</v>
      </c>
      <c r="AB521" s="17"/>
      <c r="AC521" s="17"/>
    </row>
    <row r="522" customFormat="false" ht="23.85" hidden="false" customHeight="false" outlineLevel="0" collapsed="false">
      <c r="A522" s="15" t="s">
        <v>3334</v>
      </c>
      <c r="B522" s="15" t="s">
        <v>3335</v>
      </c>
      <c r="C522" s="15" t="s">
        <v>2076</v>
      </c>
      <c r="D522" s="15" t="s">
        <v>84</v>
      </c>
      <c r="E522" s="15" t="s">
        <v>314</v>
      </c>
      <c r="F522" s="15"/>
      <c r="G522" s="15" t="s">
        <v>715</v>
      </c>
      <c r="H522" s="15" t="s">
        <v>2260</v>
      </c>
      <c r="I522" s="15" t="s">
        <v>211</v>
      </c>
      <c r="J522" s="3" t="s">
        <v>3336</v>
      </c>
      <c r="K522" s="15" t="n">
        <f aca="false">LEN(J522)</f>
        <v>59</v>
      </c>
      <c r="L522" s="3" t="s">
        <v>3337</v>
      </c>
      <c r="M522" s="15" t="n">
        <f aca="false">LEN(L522)</f>
        <v>134</v>
      </c>
      <c r="N522" s="3" t="s">
        <v>3338</v>
      </c>
      <c r="O522" s="15" t="s">
        <v>3339</v>
      </c>
      <c r="P522" s="16" t="n">
        <v>170</v>
      </c>
      <c r="Q522" s="15" t="s">
        <v>104</v>
      </c>
      <c r="R522" s="15"/>
      <c r="S522" s="15" t="n">
        <f aca="false">COUNTIF('Page-Keyword Map'!$A$2:$A$668,B522)</f>
        <v>1</v>
      </c>
      <c r="T522" s="16" t="n">
        <f aca="false">SUMIF('Page-Keyword Map'!$A$2:$A$668,B522,'Page-Keyword Map'!$H$2:$H$668)</f>
        <v>170</v>
      </c>
      <c r="U522" s="15" t="n">
        <f aca="false">COUNTIFS('Page-Keyword Map'!$A$2:$A$668,B522,'Page-Keyword Map'!$E$2:$E$668,"Nationwide")</f>
        <v>0</v>
      </c>
      <c r="V522" s="15" t="n">
        <f aca="false">COUNTIFS('Page-Keyword Map'!$A$2:$A$668,B522,'Page-Keyword Map'!$E$2:$E$668,"Provincial")</f>
        <v>0</v>
      </c>
      <c r="W522" s="15" t="n">
        <f aca="false">COUNTIFS('Page-Keyword Map'!$A$2:$A$668,B522,'Page-Keyword Map'!$E$2:$E$668,"City")</f>
        <v>1</v>
      </c>
      <c r="X522" s="15" t="str">
        <f aca="false">IF(O522="","",IF(ISNUMBER(SEARCH(O522,J522)),"Yes","No"))</f>
        <v>Yes</v>
      </c>
      <c r="Y522" s="15" t="n">
        <v>0.5</v>
      </c>
      <c r="Z522" s="15" t="s">
        <v>216</v>
      </c>
      <c r="AA522" s="15" t="s">
        <v>217</v>
      </c>
      <c r="AB522" s="17"/>
      <c r="AC522" s="17"/>
    </row>
    <row r="523" customFormat="false" ht="23.85" hidden="false" customHeight="false" outlineLevel="0" collapsed="false">
      <c r="A523" s="15" t="s">
        <v>3340</v>
      </c>
      <c r="B523" s="15" t="s">
        <v>3341</v>
      </c>
      <c r="C523" s="15" t="s">
        <v>2076</v>
      </c>
      <c r="D523" s="15" t="s">
        <v>84</v>
      </c>
      <c r="E523" s="15" t="s">
        <v>314</v>
      </c>
      <c r="F523" s="15"/>
      <c r="G523" s="15" t="s">
        <v>715</v>
      </c>
      <c r="H523" s="15" t="s">
        <v>2267</v>
      </c>
      <c r="I523" s="15" t="s">
        <v>126</v>
      </c>
      <c r="J523" s="3" t="s">
        <v>3342</v>
      </c>
      <c r="K523" s="15" t="n">
        <f aca="false">LEN(J523)</f>
        <v>56</v>
      </c>
      <c r="L523" s="3" t="s">
        <v>3343</v>
      </c>
      <c r="M523" s="15" t="n">
        <f aca="false">LEN(L523)</f>
        <v>131</v>
      </c>
      <c r="N523" s="3" t="s">
        <v>3344</v>
      </c>
      <c r="O523" s="15" t="s">
        <v>3345</v>
      </c>
      <c r="P523" s="16" t="n">
        <v>180</v>
      </c>
      <c r="Q523" s="15" t="s">
        <v>104</v>
      </c>
      <c r="R523" s="15"/>
      <c r="S523" s="15" t="n">
        <f aca="false">COUNTIF('Page-Keyword Map'!$A$2:$A$668,B523)</f>
        <v>1</v>
      </c>
      <c r="T523" s="16" t="n">
        <f aca="false">SUMIF('Page-Keyword Map'!$A$2:$A$668,B523,'Page-Keyword Map'!$H$2:$H$668)</f>
        <v>180</v>
      </c>
      <c r="U523" s="15" t="n">
        <f aca="false">COUNTIFS('Page-Keyword Map'!$A$2:$A$668,B523,'Page-Keyword Map'!$E$2:$E$668,"Nationwide")</f>
        <v>0</v>
      </c>
      <c r="V523" s="15" t="n">
        <f aca="false">COUNTIFS('Page-Keyword Map'!$A$2:$A$668,B523,'Page-Keyword Map'!$E$2:$E$668,"Provincial")</f>
        <v>0</v>
      </c>
      <c r="W523" s="15" t="n">
        <f aca="false">COUNTIFS('Page-Keyword Map'!$A$2:$A$668,B523,'Page-Keyword Map'!$E$2:$E$668,"City")</f>
        <v>1</v>
      </c>
      <c r="X523" s="15" t="str">
        <f aca="false">IF(O523="","",IF(ISNUMBER(SEARCH(O523,J523)),"Yes","No"))</f>
        <v>Yes</v>
      </c>
      <c r="Y523" s="15" t="n">
        <v>0.5</v>
      </c>
      <c r="Z523" s="15" t="s">
        <v>2089</v>
      </c>
      <c r="AA523" s="15" t="s">
        <v>131</v>
      </c>
      <c r="AB523" s="17"/>
      <c r="AC523" s="17"/>
    </row>
    <row r="524" customFormat="false" ht="23.85" hidden="false" customHeight="false" outlineLevel="0" collapsed="false">
      <c r="A524" s="15" t="s">
        <v>3346</v>
      </c>
      <c r="B524" s="15" t="s">
        <v>3347</v>
      </c>
      <c r="C524" s="15" t="s">
        <v>2076</v>
      </c>
      <c r="D524" s="15" t="s">
        <v>84</v>
      </c>
      <c r="E524" s="15" t="s">
        <v>314</v>
      </c>
      <c r="F524" s="15"/>
      <c r="G524" s="15" t="s">
        <v>715</v>
      </c>
      <c r="H524" s="15" t="s">
        <v>2274</v>
      </c>
      <c r="I524" s="15" t="s">
        <v>126</v>
      </c>
      <c r="J524" s="3" t="s">
        <v>3348</v>
      </c>
      <c r="K524" s="15" t="n">
        <f aca="false">LEN(J524)</f>
        <v>58</v>
      </c>
      <c r="L524" s="3" t="s">
        <v>3349</v>
      </c>
      <c r="M524" s="15" t="n">
        <f aca="false">LEN(L524)</f>
        <v>133</v>
      </c>
      <c r="N524" s="3" t="s">
        <v>3350</v>
      </c>
      <c r="O524" s="15" t="s">
        <v>3351</v>
      </c>
      <c r="P524" s="16" t="n">
        <v>530</v>
      </c>
      <c r="Q524" s="15" t="s">
        <v>104</v>
      </c>
      <c r="R524" s="15"/>
      <c r="S524" s="15" t="n">
        <f aca="false">COUNTIF('Page-Keyword Map'!$A$2:$A$668,B524)</f>
        <v>1</v>
      </c>
      <c r="T524" s="16" t="n">
        <f aca="false">SUMIF('Page-Keyword Map'!$A$2:$A$668,B524,'Page-Keyword Map'!$H$2:$H$668)</f>
        <v>530</v>
      </c>
      <c r="U524" s="15" t="n">
        <f aca="false">COUNTIFS('Page-Keyword Map'!$A$2:$A$668,B524,'Page-Keyword Map'!$E$2:$E$668,"Nationwide")</f>
        <v>0</v>
      </c>
      <c r="V524" s="15" t="n">
        <f aca="false">COUNTIFS('Page-Keyword Map'!$A$2:$A$668,B524,'Page-Keyword Map'!$E$2:$E$668,"Provincial")</f>
        <v>0</v>
      </c>
      <c r="W524" s="15" t="n">
        <f aca="false">COUNTIFS('Page-Keyword Map'!$A$2:$A$668,B524,'Page-Keyword Map'!$E$2:$E$668,"City")</f>
        <v>1</v>
      </c>
      <c r="X524" s="15" t="str">
        <f aca="false">IF(O524="","",IF(ISNUMBER(SEARCH(O524,J524)),"Yes","No"))</f>
        <v>Yes</v>
      </c>
      <c r="Y524" s="15" t="n">
        <v>0.7</v>
      </c>
      <c r="Z524" s="15" t="s">
        <v>2089</v>
      </c>
      <c r="AA524" s="15" t="s">
        <v>131</v>
      </c>
      <c r="AB524" s="17"/>
      <c r="AC524" s="17"/>
    </row>
    <row r="525" customFormat="false" ht="23.85" hidden="false" customHeight="false" outlineLevel="0" collapsed="false">
      <c r="A525" s="15" t="s">
        <v>3352</v>
      </c>
      <c r="B525" s="15" t="s">
        <v>3353</v>
      </c>
      <c r="C525" s="15" t="s">
        <v>2076</v>
      </c>
      <c r="D525" s="15" t="s">
        <v>84</v>
      </c>
      <c r="E525" s="15" t="s">
        <v>314</v>
      </c>
      <c r="F525" s="15"/>
      <c r="G525" s="15" t="s">
        <v>715</v>
      </c>
      <c r="H525" s="15" t="s">
        <v>2281</v>
      </c>
      <c r="I525" s="15" t="s">
        <v>126</v>
      </c>
      <c r="J525" s="3" t="s">
        <v>3354</v>
      </c>
      <c r="K525" s="15" t="n">
        <f aca="false">LEN(J525)</f>
        <v>58</v>
      </c>
      <c r="L525" s="3" t="s">
        <v>3355</v>
      </c>
      <c r="M525" s="15" t="n">
        <f aca="false">LEN(L525)</f>
        <v>133</v>
      </c>
      <c r="N525" s="3" t="s">
        <v>3356</v>
      </c>
      <c r="O525" s="15" t="s">
        <v>3357</v>
      </c>
      <c r="P525" s="16" t="n">
        <v>170</v>
      </c>
      <c r="Q525" s="15" t="s">
        <v>104</v>
      </c>
      <c r="R525" s="15"/>
      <c r="S525" s="15" t="n">
        <f aca="false">COUNTIF('Page-Keyword Map'!$A$2:$A$668,B525)</f>
        <v>1</v>
      </c>
      <c r="T525" s="16" t="n">
        <f aca="false">SUMIF('Page-Keyword Map'!$A$2:$A$668,B525,'Page-Keyword Map'!$H$2:$H$668)</f>
        <v>170</v>
      </c>
      <c r="U525" s="15" t="n">
        <f aca="false">COUNTIFS('Page-Keyword Map'!$A$2:$A$668,B525,'Page-Keyword Map'!$E$2:$E$668,"Nationwide")</f>
        <v>0</v>
      </c>
      <c r="V525" s="15" t="n">
        <f aca="false">COUNTIFS('Page-Keyword Map'!$A$2:$A$668,B525,'Page-Keyword Map'!$E$2:$E$668,"Provincial")</f>
        <v>0</v>
      </c>
      <c r="W525" s="15" t="n">
        <f aca="false">COUNTIFS('Page-Keyword Map'!$A$2:$A$668,B525,'Page-Keyword Map'!$E$2:$E$668,"City")</f>
        <v>1</v>
      </c>
      <c r="X525" s="15" t="str">
        <f aca="false">IF(O525="","",IF(ISNUMBER(SEARCH(O525,J525)),"Yes","No"))</f>
        <v>Yes</v>
      </c>
      <c r="Y525" s="15" t="n">
        <v>0.5</v>
      </c>
      <c r="Z525" s="15" t="s">
        <v>2089</v>
      </c>
      <c r="AA525" s="15" t="s">
        <v>131</v>
      </c>
      <c r="AB525" s="17"/>
      <c r="AC525" s="17"/>
    </row>
    <row r="526" customFormat="false" ht="23.85" hidden="false" customHeight="false" outlineLevel="0" collapsed="false">
      <c r="A526" s="15" t="s">
        <v>3358</v>
      </c>
      <c r="B526" s="15" t="s">
        <v>3359</v>
      </c>
      <c r="C526" s="15" t="s">
        <v>2076</v>
      </c>
      <c r="D526" s="15" t="s">
        <v>84</v>
      </c>
      <c r="E526" s="15" t="s">
        <v>314</v>
      </c>
      <c r="F526" s="15"/>
      <c r="G526" s="15" t="s">
        <v>715</v>
      </c>
      <c r="H526" s="15" t="s">
        <v>2288</v>
      </c>
      <c r="I526" s="15" t="s">
        <v>126</v>
      </c>
      <c r="J526" s="3" t="s">
        <v>3360</v>
      </c>
      <c r="K526" s="15" t="n">
        <f aca="false">LEN(J526)</f>
        <v>59</v>
      </c>
      <c r="L526" s="3" t="s">
        <v>3361</v>
      </c>
      <c r="M526" s="15" t="n">
        <f aca="false">LEN(L526)</f>
        <v>134</v>
      </c>
      <c r="N526" s="3" t="s">
        <v>3362</v>
      </c>
      <c r="O526" s="15" t="s">
        <v>3363</v>
      </c>
      <c r="P526" s="16" t="n">
        <v>280</v>
      </c>
      <c r="Q526" s="15" t="s">
        <v>104</v>
      </c>
      <c r="R526" s="15"/>
      <c r="S526" s="15" t="n">
        <f aca="false">COUNTIF('Page-Keyword Map'!$A$2:$A$668,B526)</f>
        <v>1</v>
      </c>
      <c r="T526" s="16" t="n">
        <f aca="false">SUMIF('Page-Keyword Map'!$A$2:$A$668,B526,'Page-Keyword Map'!$H$2:$H$668)</f>
        <v>280</v>
      </c>
      <c r="U526" s="15" t="n">
        <f aca="false">COUNTIFS('Page-Keyword Map'!$A$2:$A$668,B526,'Page-Keyword Map'!$E$2:$E$668,"Nationwide")</f>
        <v>0</v>
      </c>
      <c r="V526" s="15" t="n">
        <f aca="false">COUNTIFS('Page-Keyword Map'!$A$2:$A$668,B526,'Page-Keyword Map'!$E$2:$E$668,"Provincial")</f>
        <v>0</v>
      </c>
      <c r="W526" s="15" t="n">
        <f aca="false">COUNTIFS('Page-Keyword Map'!$A$2:$A$668,B526,'Page-Keyword Map'!$E$2:$E$668,"City")</f>
        <v>1</v>
      </c>
      <c r="X526" s="15" t="str">
        <f aca="false">IF(O526="","",IF(ISNUMBER(SEARCH(O526,J526)),"Yes","No"))</f>
        <v>Yes</v>
      </c>
      <c r="Y526" s="15" t="n">
        <v>0.7</v>
      </c>
      <c r="Z526" s="15" t="s">
        <v>2089</v>
      </c>
      <c r="AA526" s="15" t="s">
        <v>131</v>
      </c>
      <c r="AB526" s="17"/>
      <c r="AC526" s="17"/>
    </row>
    <row r="527" customFormat="false" ht="23.85" hidden="false" customHeight="false" outlineLevel="0" collapsed="false">
      <c r="A527" s="15" t="s">
        <v>3364</v>
      </c>
      <c r="B527" s="15" t="s">
        <v>3365</v>
      </c>
      <c r="C527" s="15" t="s">
        <v>2076</v>
      </c>
      <c r="D527" s="15" t="s">
        <v>84</v>
      </c>
      <c r="E527" s="15" t="s">
        <v>314</v>
      </c>
      <c r="F527" s="15"/>
      <c r="G527" s="15" t="s">
        <v>715</v>
      </c>
      <c r="H527" s="15" t="s">
        <v>2295</v>
      </c>
      <c r="I527" s="15" t="s">
        <v>126</v>
      </c>
      <c r="J527" s="3" t="s">
        <v>3366</v>
      </c>
      <c r="K527" s="15" t="n">
        <f aca="false">LEN(J527)</f>
        <v>56</v>
      </c>
      <c r="L527" s="3" t="s">
        <v>3367</v>
      </c>
      <c r="M527" s="15" t="n">
        <f aca="false">LEN(L527)</f>
        <v>131</v>
      </c>
      <c r="N527" s="3" t="s">
        <v>3368</v>
      </c>
      <c r="O527" s="15" t="s">
        <v>3369</v>
      </c>
      <c r="P527" s="16" t="n">
        <v>420</v>
      </c>
      <c r="Q527" s="15" t="s">
        <v>104</v>
      </c>
      <c r="R527" s="15"/>
      <c r="S527" s="15" t="n">
        <f aca="false">COUNTIF('Page-Keyword Map'!$A$2:$A$668,B527)</f>
        <v>1</v>
      </c>
      <c r="T527" s="16" t="n">
        <f aca="false">SUMIF('Page-Keyword Map'!$A$2:$A$668,B527,'Page-Keyword Map'!$H$2:$H$668)</f>
        <v>420</v>
      </c>
      <c r="U527" s="15" t="n">
        <f aca="false">COUNTIFS('Page-Keyword Map'!$A$2:$A$668,B527,'Page-Keyword Map'!$E$2:$E$668,"Nationwide")</f>
        <v>0</v>
      </c>
      <c r="V527" s="15" t="n">
        <f aca="false">COUNTIFS('Page-Keyword Map'!$A$2:$A$668,B527,'Page-Keyword Map'!$E$2:$E$668,"Provincial")</f>
        <v>0</v>
      </c>
      <c r="W527" s="15" t="n">
        <f aca="false">COUNTIFS('Page-Keyword Map'!$A$2:$A$668,B527,'Page-Keyword Map'!$E$2:$E$668,"City")</f>
        <v>1</v>
      </c>
      <c r="X527" s="15" t="str">
        <f aca="false">IF(O527="","",IF(ISNUMBER(SEARCH(O527,J527)),"Yes","No"))</f>
        <v>No</v>
      </c>
      <c r="Y527" s="15" t="n">
        <v>0.7</v>
      </c>
      <c r="Z527" s="15" t="s">
        <v>2089</v>
      </c>
      <c r="AA527" s="15" t="s">
        <v>131</v>
      </c>
      <c r="AB527" s="17"/>
      <c r="AC527" s="17"/>
    </row>
    <row r="528" customFormat="false" ht="23.85" hidden="false" customHeight="false" outlineLevel="0" collapsed="false">
      <c r="A528" s="15" t="s">
        <v>3370</v>
      </c>
      <c r="B528" s="15" t="s">
        <v>3371</v>
      </c>
      <c r="C528" s="15" t="s">
        <v>2076</v>
      </c>
      <c r="D528" s="15" t="s">
        <v>84</v>
      </c>
      <c r="E528" s="15" t="s">
        <v>314</v>
      </c>
      <c r="F528" s="15"/>
      <c r="G528" s="15" t="s">
        <v>715</v>
      </c>
      <c r="H528" s="15" t="s">
        <v>2302</v>
      </c>
      <c r="I528" s="15" t="s">
        <v>126</v>
      </c>
      <c r="J528" s="3" t="s">
        <v>3372</v>
      </c>
      <c r="K528" s="15" t="n">
        <f aca="false">LEN(J528)</f>
        <v>57</v>
      </c>
      <c r="L528" s="3" t="s">
        <v>3373</v>
      </c>
      <c r="M528" s="15" t="n">
        <f aca="false">LEN(L528)</f>
        <v>132</v>
      </c>
      <c r="N528" s="3" t="s">
        <v>3374</v>
      </c>
      <c r="O528" s="15" t="s">
        <v>3375</v>
      </c>
      <c r="P528" s="16" t="n">
        <v>350</v>
      </c>
      <c r="Q528" s="15" t="s">
        <v>104</v>
      </c>
      <c r="R528" s="15"/>
      <c r="S528" s="15" t="n">
        <f aca="false">COUNTIF('Page-Keyword Map'!$A$2:$A$668,B528)</f>
        <v>1</v>
      </c>
      <c r="T528" s="16" t="n">
        <f aca="false">SUMIF('Page-Keyword Map'!$A$2:$A$668,B528,'Page-Keyword Map'!$H$2:$H$668)</f>
        <v>350</v>
      </c>
      <c r="U528" s="15" t="n">
        <f aca="false">COUNTIFS('Page-Keyword Map'!$A$2:$A$668,B528,'Page-Keyword Map'!$E$2:$E$668,"Nationwide")</f>
        <v>0</v>
      </c>
      <c r="V528" s="15" t="n">
        <f aca="false">COUNTIFS('Page-Keyword Map'!$A$2:$A$668,B528,'Page-Keyword Map'!$E$2:$E$668,"Provincial")</f>
        <v>0</v>
      </c>
      <c r="W528" s="15" t="n">
        <f aca="false">COUNTIFS('Page-Keyword Map'!$A$2:$A$668,B528,'Page-Keyword Map'!$E$2:$E$668,"City")</f>
        <v>1</v>
      </c>
      <c r="X528" s="15" t="str">
        <f aca="false">IF(O528="","",IF(ISNUMBER(SEARCH(O528,J528)),"Yes","No"))</f>
        <v>Yes</v>
      </c>
      <c r="Y528" s="15" t="n">
        <v>0.7</v>
      </c>
      <c r="Z528" s="15" t="s">
        <v>2089</v>
      </c>
      <c r="AA528" s="15" t="s">
        <v>131</v>
      </c>
      <c r="AB528" s="17"/>
      <c r="AC528" s="17"/>
    </row>
    <row r="529" customFormat="false" ht="23.85" hidden="false" customHeight="false" outlineLevel="0" collapsed="false">
      <c r="A529" s="15" t="s">
        <v>3376</v>
      </c>
      <c r="B529" s="15" t="s">
        <v>3377</v>
      </c>
      <c r="C529" s="15" t="s">
        <v>2076</v>
      </c>
      <c r="D529" s="15" t="s">
        <v>84</v>
      </c>
      <c r="E529" s="15" t="s">
        <v>314</v>
      </c>
      <c r="F529" s="15"/>
      <c r="G529" s="15" t="s">
        <v>715</v>
      </c>
      <c r="H529" s="15" t="s">
        <v>2309</v>
      </c>
      <c r="I529" s="15" t="s">
        <v>211</v>
      </c>
      <c r="J529" s="3" t="s">
        <v>3378</v>
      </c>
      <c r="K529" s="15" t="n">
        <f aca="false">LEN(J529)</f>
        <v>56</v>
      </c>
      <c r="L529" s="3" t="s">
        <v>3379</v>
      </c>
      <c r="M529" s="15" t="n">
        <f aca="false">LEN(L529)</f>
        <v>131</v>
      </c>
      <c r="N529" s="3" t="s">
        <v>3380</v>
      </c>
      <c r="O529" s="15" t="s">
        <v>3381</v>
      </c>
      <c r="P529" s="16" t="n">
        <v>170</v>
      </c>
      <c r="Q529" s="15" t="s">
        <v>104</v>
      </c>
      <c r="R529" s="15"/>
      <c r="S529" s="15" t="n">
        <f aca="false">COUNTIF('Page-Keyword Map'!$A$2:$A$668,B529)</f>
        <v>1</v>
      </c>
      <c r="T529" s="16" t="n">
        <f aca="false">SUMIF('Page-Keyword Map'!$A$2:$A$668,B529,'Page-Keyword Map'!$H$2:$H$668)</f>
        <v>170</v>
      </c>
      <c r="U529" s="15" t="n">
        <f aca="false">COUNTIFS('Page-Keyword Map'!$A$2:$A$668,B529,'Page-Keyword Map'!$E$2:$E$668,"Nationwide")</f>
        <v>0</v>
      </c>
      <c r="V529" s="15" t="n">
        <f aca="false">COUNTIFS('Page-Keyword Map'!$A$2:$A$668,B529,'Page-Keyword Map'!$E$2:$E$668,"Provincial")</f>
        <v>0</v>
      </c>
      <c r="W529" s="15" t="n">
        <f aca="false">COUNTIFS('Page-Keyword Map'!$A$2:$A$668,B529,'Page-Keyword Map'!$E$2:$E$668,"City")</f>
        <v>1</v>
      </c>
      <c r="X529" s="15" t="str">
        <f aca="false">IF(O529="","",IF(ISNUMBER(SEARCH(O529,J529)),"Yes","No"))</f>
        <v>Yes</v>
      </c>
      <c r="Y529" s="15" t="n">
        <v>0.5</v>
      </c>
      <c r="Z529" s="15" t="s">
        <v>216</v>
      </c>
      <c r="AA529" s="15" t="s">
        <v>217</v>
      </c>
      <c r="AB529" s="17"/>
      <c r="AC529" s="17"/>
    </row>
    <row r="530" customFormat="false" ht="23.85" hidden="false" customHeight="false" outlineLevel="0" collapsed="false">
      <c r="A530" s="15" t="s">
        <v>3382</v>
      </c>
      <c r="B530" s="15" t="s">
        <v>3383</v>
      </c>
      <c r="C530" s="15" t="s">
        <v>2076</v>
      </c>
      <c r="D530" s="15" t="s">
        <v>84</v>
      </c>
      <c r="E530" s="15" t="s">
        <v>314</v>
      </c>
      <c r="F530" s="15"/>
      <c r="G530" s="15" t="s">
        <v>715</v>
      </c>
      <c r="H530" s="15" t="s">
        <v>2316</v>
      </c>
      <c r="I530" s="15" t="s">
        <v>126</v>
      </c>
      <c r="J530" s="3" t="s">
        <v>3384</v>
      </c>
      <c r="K530" s="15" t="n">
        <f aca="false">LEN(J530)</f>
        <v>61</v>
      </c>
      <c r="L530" s="3" t="s">
        <v>3385</v>
      </c>
      <c r="M530" s="15" t="n">
        <f aca="false">LEN(L530)</f>
        <v>136</v>
      </c>
      <c r="N530" s="3" t="s">
        <v>3386</v>
      </c>
      <c r="O530" s="15" t="s">
        <v>3387</v>
      </c>
      <c r="P530" s="16" t="n">
        <v>640</v>
      </c>
      <c r="Q530" s="15" t="s">
        <v>104</v>
      </c>
      <c r="R530" s="15"/>
      <c r="S530" s="15" t="n">
        <f aca="false">COUNTIF('Page-Keyword Map'!$A$2:$A$668,B530)</f>
        <v>1</v>
      </c>
      <c r="T530" s="16" t="n">
        <f aca="false">SUMIF('Page-Keyword Map'!$A$2:$A$668,B530,'Page-Keyword Map'!$H$2:$H$668)</f>
        <v>640</v>
      </c>
      <c r="U530" s="15" t="n">
        <f aca="false">COUNTIFS('Page-Keyword Map'!$A$2:$A$668,B530,'Page-Keyword Map'!$E$2:$E$668,"Nationwide")</f>
        <v>0</v>
      </c>
      <c r="V530" s="15" t="n">
        <f aca="false">COUNTIFS('Page-Keyword Map'!$A$2:$A$668,B530,'Page-Keyword Map'!$E$2:$E$668,"Provincial")</f>
        <v>0</v>
      </c>
      <c r="W530" s="15" t="n">
        <f aca="false">COUNTIFS('Page-Keyword Map'!$A$2:$A$668,B530,'Page-Keyword Map'!$E$2:$E$668,"City")</f>
        <v>1</v>
      </c>
      <c r="X530" s="15" t="str">
        <f aca="false">IF(O530="","",IF(ISNUMBER(SEARCH(O530,J530)),"Yes","No"))</f>
        <v>Yes</v>
      </c>
      <c r="Y530" s="15" t="n">
        <v>0.7</v>
      </c>
      <c r="Z530" s="15" t="s">
        <v>2089</v>
      </c>
      <c r="AA530" s="15" t="s">
        <v>131</v>
      </c>
      <c r="AB530" s="17"/>
      <c r="AC530" s="17"/>
    </row>
    <row r="531" customFormat="false" ht="23.85" hidden="false" customHeight="false" outlineLevel="0" collapsed="false">
      <c r="A531" s="15" t="s">
        <v>3388</v>
      </c>
      <c r="B531" s="15" t="s">
        <v>3389</v>
      </c>
      <c r="C531" s="15" t="s">
        <v>2076</v>
      </c>
      <c r="D531" s="15" t="s">
        <v>84</v>
      </c>
      <c r="E531" s="15" t="s">
        <v>314</v>
      </c>
      <c r="F531" s="15"/>
      <c r="G531" s="15" t="s">
        <v>715</v>
      </c>
      <c r="H531" s="15" t="s">
        <v>2323</v>
      </c>
      <c r="I531" s="15" t="s">
        <v>126</v>
      </c>
      <c r="J531" s="3" t="s">
        <v>3390</v>
      </c>
      <c r="K531" s="15" t="n">
        <f aca="false">LEN(J531)</f>
        <v>58</v>
      </c>
      <c r="L531" s="3" t="s">
        <v>3391</v>
      </c>
      <c r="M531" s="15" t="n">
        <f aca="false">LEN(L531)</f>
        <v>133</v>
      </c>
      <c r="N531" s="3" t="s">
        <v>3392</v>
      </c>
      <c r="O531" s="15" t="s">
        <v>3393</v>
      </c>
      <c r="P531" s="16" t="n">
        <v>240</v>
      </c>
      <c r="Q531" s="15" t="s">
        <v>104</v>
      </c>
      <c r="R531" s="15"/>
      <c r="S531" s="15" t="n">
        <f aca="false">COUNTIF('Page-Keyword Map'!$A$2:$A$668,B531)</f>
        <v>1</v>
      </c>
      <c r="T531" s="16" t="n">
        <f aca="false">SUMIF('Page-Keyword Map'!$A$2:$A$668,B531,'Page-Keyword Map'!$H$2:$H$668)</f>
        <v>240</v>
      </c>
      <c r="U531" s="15" t="n">
        <f aca="false">COUNTIFS('Page-Keyword Map'!$A$2:$A$668,B531,'Page-Keyword Map'!$E$2:$E$668,"Nationwide")</f>
        <v>0</v>
      </c>
      <c r="V531" s="15" t="n">
        <f aca="false">COUNTIFS('Page-Keyword Map'!$A$2:$A$668,B531,'Page-Keyword Map'!$E$2:$E$668,"Provincial")</f>
        <v>0</v>
      </c>
      <c r="W531" s="15" t="n">
        <f aca="false">COUNTIFS('Page-Keyword Map'!$A$2:$A$668,B531,'Page-Keyword Map'!$E$2:$E$668,"City")</f>
        <v>1</v>
      </c>
      <c r="X531" s="15" t="str">
        <f aca="false">IF(O531="","",IF(ISNUMBER(SEARCH(O531,J531)),"Yes","No"))</f>
        <v>Yes</v>
      </c>
      <c r="Y531" s="15" t="n">
        <v>0.5</v>
      </c>
      <c r="Z531" s="15" t="s">
        <v>2089</v>
      </c>
      <c r="AA531" s="15" t="s">
        <v>131</v>
      </c>
      <c r="AB531" s="17"/>
      <c r="AC531" s="17"/>
    </row>
    <row r="532" customFormat="false" ht="23.85" hidden="false" customHeight="false" outlineLevel="0" collapsed="false">
      <c r="A532" s="15" t="s">
        <v>3394</v>
      </c>
      <c r="B532" s="15" t="s">
        <v>3395</v>
      </c>
      <c r="C532" s="15" t="s">
        <v>2076</v>
      </c>
      <c r="D532" s="15" t="s">
        <v>84</v>
      </c>
      <c r="E532" s="15" t="s">
        <v>314</v>
      </c>
      <c r="F532" s="15"/>
      <c r="G532" s="15" t="s">
        <v>715</v>
      </c>
      <c r="H532" s="15" t="s">
        <v>2330</v>
      </c>
      <c r="I532" s="15" t="s">
        <v>126</v>
      </c>
      <c r="J532" s="3" t="s">
        <v>3396</v>
      </c>
      <c r="K532" s="15" t="n">
        <f aca="false">LEN(J532)</f>
        <v>56</v>
      </c>
      <c r="L532" s="3" t="s">
        <v>3397</v>
      </c>
      <c r="M532" s="15" t="n">
        <f aca="false">LEN(L532)</f>
        <v>131</v>
      </c>
      <c r="N532" s="3" t="s">
        <v>3398</v>
      </c>
      <c r="O532" s="15" t="s">
        <v>3399</v>
      </c>
      <c r="P532" s="16" t="n">
        <v>210</v>
      </c>
      <c r="Q532" s="15" t="s">
        <v>104</v>
      </c>
      <c r="R532" s="15"/>
      <c r="S532" s="15" t="n">
        <f aca="false">COUNTIF('Page-Keyword Map'!$A$2:$A$668,B532)</f>
        <v>1</v>
      </c>
      <c r="T532" s="16" t="n">
        <f aca="false">SUMIF('Page-Keyword Map'!$A$2:$A$668,B532,'Page-Keyword Map'!$H$2:$H$668)</f>
        <v>210</v>
      </c>
      <c r="U532" s="15" t="n">
        <f aca="false">COUNTIFS('Page-Keyword Map'!$A$2:$A$668,B532,'Page-Keyword Map'!$E$2:$E$668,"Nationwide")</f>
        <v>0</v>
      </c>
      <c r="V532" s="15" t="n">
        <f aca="false">COUNTIFS('Page-Keyword Map'!$A$2:$A$668,B532,'Page-Keyword Map'!$E$2:$E$668,"Provincial")</f>
        <v>0</v>
      </c>
      <c r="W532" s="15" t="n">
        <f aca="false">COUNTIFS('Page-Keyword Map'!$A$2:$A$668,B532,'Page-Keyword Map'!$E$2:$E$668,"City")</f>
        <v>1</v>
      </c>
      <c r="X532" s="15" t="str">
        <f aca="false">IF(O532="","",IF(ISNUMBER(SEARCH(O532,J532)),"Yes","No"))</f>
        <v>Yes</v>
      </c>
      <c r="Y532" s="15" t="n">
        <v>0.5</v>
      </c>
      <c r="Z532" s="15" t="s">
        <v>2089</v>
      </c>
      <c r="AA532" s="15" t="s">
        <v>131</v>
      </c>
      <c r="AB532" s="17"/>
      <c r="AC532" s="17"/>
    </row>
    <row r="533" customFormat="false" ht="23.85" hidden="false" customHeight="false" outlineLevel="0" collapsed="false">
      <c r="A533" s="15" t="s">
        <v>3400</v>
      </c>
      <c r="B533" s="15" t="s">
        <v>3401</v>
      </c>
      <c r="C533" s="15" t="s">
        <v>2076</v>
      </c>
      <c r="D533" s="15" t="s">
        <v>84</v>
      </c>
      <c r="E533" s="15" t="s">
        <v>314</v>
      </c>
      <c r="F533" s="15"/>
      <c r="G533" s="15" t="s">
        <v>715</v>
      </c>
      <c r="H533" s="15" t="s">
        <v>2337</v>
      </c>
      <c r="I533" s="15" t="s">
        <v>126</v>
      </c>
      <c r="J533" s="3" t="s">
        <v>3402</v>
      </c>
      <c r="K533" s="15" t="n">
        <f aca="false">LEN(J533)</f>
        <v>56</v>
      </c>
      <c r="L533" s="3" t="s">
        <v>3403</v>
      </c>
      <c r="M533" s="15" t="n">
        <f aca="false">LEN(L533)</f>
        <v>131</v>
      </c>
      <c r="N533" s="3" t="s">
        <v>3404</v>
      </c>
      <c r="O533" s="15" t="s">
        <v>3405</v>
      </c>
      <c r="P533" s="16" t="n">
        <v>850</v>
      </c>
      <c r="Q533" s="15" t="s">
        <v>104</v>
      </c>
      <c r="R533" s="15"/>
      <c r="S533" s="15" t="n">
        <f aca="false">COUNTIF('Page-Keyword Map'!$A$2:$A$668,B533)</f>
        <v>1</v>
      </c>
      <c r="T533" s="16" t="n">
        <f aca="false">SUMIF('Page-Keyword Map'!$A$2:$A$668,B533,'Page-Keyword Map'!$H$2:$H$668)</f>
        <v>850</v>
      </c>
      <c r="U533" s="15" t="n">
        <f aca="false">COUNTIFS('Page-Keyword Map'!$A$2:$A$668,B533,'Page-Keyword Map'!$E$2:$E$668,"Nationwide")</f>
        <v>0</v>
      </c>
      <c r="V533" s="15" t="n">
        <f aca="false">COUNTIFS('Page-Keyword Map'!$A$2:$A$668,B533,'Page-Keyword Map'!$E$2:$E$668,"Provincial")</f>
        <v>0</v>
      </c>
      <c r="W533" s="15" t="n">
        <f aca="false">COUNTIFS('Page-Keyword Map'!$A$2:$A$668,B533,'Page-Keyword Map'!$E$2:$E$668,"City")</f>
        <v>1</v>
      </c>
      <c r="X533" s="15" t="str">
        <f aca="false">IF(O533="","",IF(ISNUMBER(SEARCH(O533,J533)),"Yes","No"))</f>
        <v>Yes</v>
      </c>
      <c r="Y533" s="15" t="n">
        <v>0.7</v>
      </c>
      <c r="Z533" s="15" t="s">
        <v>2089</v>
      </c>
      <c r="AA533" s="15" t="s">
        <v>131</v>
      </c>
      <c r="AB533" s="17"/>
      <c r="AC533" s="17"/>
    </row>
    <row r="534" customFormat="false" ht="23.85" hidden="false" customHeight="false" outlineLevel="0" collapsed="false">
      <c r="A534" s="15" t="s">
        <v>3406</v>
      </c>
      <c r="B534" s="15" t="s">
        <v>3407</v>
      </c>
      <c r="C534" s="15" t="s">
        <v>2076</v>
      </c>
      <c r="D534" s="15" t="s">
        <v>84</v>
      </c>
      <c r="E534" s="15" t="s">
        <v>314</v>
      </c>
      <c r="F534" s="15"/>
      <c r="G534" s="15" t="s">
        <v>715</v>
      </c>
      <c r="H534" s="15" t="s">
        <v>2344</v>
      </c>
      <c r="I534" s="15" t="s">
        <v>211</v>
      </c>
      <c r="J534" s="3" t="s">
        <v>3408</v>
      </c>
      <c r="K534" s="15" t="n">
        <f aca="false">LEN(J534)</f>
        <v>59</v>
      </c>
      <c r="L534" s="3" t="s">
        <v>3409</v>
      </c>
      <c r="M534" s="15" t="n">
        <f aca="false">LEN(L534)</f>
        <v>134</v>
      </c>
      <c r="N534" s="3" t="s">
        <v>3410</v>
      </c>
      <c r="O534" s="15" t="s">
        <v>3411</v>
      </c>
      <c r="P534" s="16" t="n">
        <v>130</v>
      </c>
      <c r="Q534" s="15" t="s">
        <v>104</v>
      </c>
      <c r="R534" s="15"/>
      <c r="S534" s="15" t="n">
        <f aca="false">COUNTIF('Page-Keyword Map'!$A$2:$A$668,B534)</f>
        <v>1</v>
      </c>
      <c r="T534" s="16" t="n">
        <f aca="false">SUMIF('Page-Keyword Map'!$A$2:$A$668,B534,'Page-Keyword Map'!$H$2:$H$668)</f>
        <v>130</v>
      </c>
      <c r="U534" s="15" t="n">
        <f aca="false">COUNTIFS('Page-Keyword Map'!$A$2:$A$668,B534,'Page-Keyword Map'!$E$2:$E$668,"Nationwide")</f>
        <v>0</v>
      </c>
      <c r="V534" s="15" t="n">
        <f aca="false">COUNTIFS('Page-Keyword Map'!$A$2:$A$668,B534,'Page-Keyword Map'!$E$2:$E$668,"Provincial")</f>
        <v>0</v>
      </c>
      <c r="W534" s="15" t="n">
        <f aca="false">COUNTIFS('Page-Keyword Map'!$A$2:$A$668,B534,'Page-Keyword Map'!$E$2:$E$668,"City")</f>
        <v>1</v>
      </c>
      <c r="X534" s="15" t="str">
        <f aca="false">IF(O534="","",IF(ISNUMBER(SEARCH(O534,J534)),"Yes","No"))</f>
        <v>Yes</v>
      </c>
      <c r="Y534" s="15" t="n">
        <v>0.5</v>
      </c>
      <c r="Z534" s="15" t="s">
        <v>216</v>
      </c>
      <c r="AA534" s="15" t="s">
        <v>217</v>
      </c>
      <c r="AB534" s="17"/>
      <c r="AC534" s="17"/>
    </row>
    <row r="535" customFormat="false" ht="23.85" hidden="false" customHeight="false" outlineLevel="0" collapsed="false">
      <c r="A535" s="15" t="s">
        <v>3412</v>
      </c>
      <c r="B535" s="15" t="s">
        <v>3413</v>
      </c>
      <c r="C535" s="15" t="s">
        <v>2076</v>
      </c>
      <c r="D535" s="15" t="s">
        <v>84</v>
      </c>
      <c r="E535" s="15" t="s">
        <v>314</v>
      </c>
      <c r="F535" s="15"/>
      <c r="G535" s="15" t="s">
        <v>715</v>
      </c>
      <c r="H535" s="15" t="s">
        <v>2351</v>
      </c>
      <c r="I535" s="15" t="s">
        <v>126</v>
      </c>
      <c r="J535" s="3" t="s">
        <v>3414</v>
      </c>
      <c r="K535" s="15" t="n">
        <f aca="false">LEN(J535)</f>
        <v>63</v>
      </c>
      <c r="L535" s="3" t="s">
        <v>3415</v>
      </c>
      <c r="M535" s="15" t="n">
        <f aca="false">LEN(L535)</f>
        <v>138</v>
      </c>
      <c r="N535" s="3" t="s">
        <v>3416</v>
      </c>
      <c r="O535" s="15" t="s">
        <v>3417</v>
      </c>
      <c r="P535" s="16" t="n">
        <v>230</v>
      </c>
      <c r="Q535" s="15" t="s">
        <v>104</v>
      </c>
      <c r="R535" s="15"/>
      <c r="S535" s="15" t="n">
        <f aca="false">COUNTIF('Page-Keyword Map'!$A$2:$A$668,B535)</f>
        <v>1</v>
      </c>
      <c r="T535" s="16" t="n">
        <f aca="false">SUMIF('Page-Keyword Map'!$A$2:$A$668,B535,'Page-Keyword Map'!$H$2:$H$668)</f>
        <v>230</v>
      </c>
      <c r="U535" s="15" t="n">
        <f aca="false">COUNTIFS('Page-Keyword Map'!$A$2:$A$668,B535,'Page-Keyword Map'!$E$2:$E$668,"Nationwide")</f>
        <v>0</v>
      </c>
      <c r="V535" s="15" t="n">
        <f aca="false">COUNTIFS('Page-Keyword Map'!$A$2:$A$668,B535,'Page-Keyword Map'!$E$2:$E$668,"Provincial")</f>
        <v>0</v>
      </c>
      <c r="W535" s="15" t="n">
        <f aca="false">COUNTIFS('Page-Keyword Map'!$A$2:$A$668,B535,'Page-Keyword Map'!$E$2:$E$668,"City")</f>
        <v>1</v>
      </c>
      <c r="X535" s="15" t="str">
        <f aca="false">IF(O535="","",IF(ISNUMBER(SEARCH(O535,J535)),"Yes","No"))</f>
        <v>Yes</v>
      </c>
      <c r="Y535" s="15" t="n">
        <v>0.5</v>
      </c>
      <c r="Z535" s="15" t="s">
        <v>2089</v>
      </c>
      <c r="AA535" s="15" t="s">
        <v>131</v>
      </c>
      <c r="AB535" s="17"/>
      <c r="AC535" s="17"/>
    </row>
    <row r="536" customFormat="false" ht="23.85" hidden="false" customHeight="false" outlineLevel="0" collapsed="false">
      <c r="A536" s="15" t="s">
        <v>3418</v>
      </c>
      <c r="B536" s="15" t="s">
        <v>3419</v>
      </c>
      <c r="C536" s="15" t="s">
        <v>2076</v>
      </c>
      <c r="D536" s="15" t="s">
        <v>84</v>
      </c>
      <c r="E536" s="15" t="s">
        <v>314</v>
      </c>
      <c r="F536" s="15"/>
      <c r="G536" s="15" t="s">
        <v>715</v>
      </c>
      <c r="H536" s="15" t="s">
        <v>2358</v>
      </c>
      <c r="I536" s="15" t="s">
        <v>126</v>
      </c>
      <c r="J536" s="3" t="s">
        <v>3420</v>
      </c>
      <c r="K536" s="15" t="n">
        <f aca="false">LEN(J536)</f>
        <v>64</v>
      </c>
      <c r="L536" s="3" t="s">
        <v>3421</v>
      </c>
      <c r="M536" s="15" t="n">
        <f aca="false">LEN(L536)</f>
        <v>139</v>
      </c>
      <c r="N536" s="3" t="s">
        <v>3422</v>
      </c>
      <c r="O536" s="15" t="s">
        <v>3423</v>
      </c>
      <c r="P536" s="16" t="n">
        <v>170</v>
      </c>
      <c r="Q536" s="15" t="s">
        <v>104</v>
      </c>
      <c r="R536" s="15"/>
      <c r="S536" s="15" t="n">
        <f aca="false">COUNTIF('Page-Keyword Map'!$A$2:$A$668,B536)</f>
        <v>1</v>
      </c>
      <c r="T536" s="16" t="n">
        <f aca="false">SUMIF('Page-Keyword Map'!$A$2:$A$668,B536,'Page-Keyword Map'!$H$2:$H$668)</f>
        <v>170</v>
      </c>
      <c r="U536" s="15" t="n">
        <f aca="false">COUNTIFS('Page-Keyword Map'!$A$2:$A$668,B536,'Page-Keyword Map'!$E$2:$E$668,"Nationwide")</f>
        <v>0</v>
      </c>
      <c r="V536" s="15" t="n">
        <f aca="false">COUNTIFS('Page-Keyword Map'!$A$2:$A$668,B536,'Page-Keyword Map'!$E$2:$E$668,"Provincial")</f>
        <v>0</v>
      </c>
      <c r="W536" s="15" t="n">
        <f aca="false">COUNTIFS('Page-Keyword Map'!$A$2:$A$668,B536,'Page-Keyword Map'!$E$2:$E$668,"City")</f>
        <v>1</v>
      </c>
      <c r="X536" s="15" t="str">
        <f aca="false">IF(O536="","",IF(ISNUMBER(SEARCH(O536,J536)),"Yes","No"))</f>
        <v>No</v>
      </c>
      <c r="Y536" s="15" t="n">
        <v>0.5</v>
      </c>
      <c r="Z536" s="15" t="s">
        <v>2089</v>
      </c>
      <c r="AA536" s="15" t="s">
        <v>131</v>
      </c>
      <c r="AB536" s="17"/>
      <c r="AC536" s="17"/>
    </row>
    <row r="537" customFormat="false" ht="23.85" hidden="false" customHeight="false" outlineLevel="0" collapsed="false">
      <c r="A537" s="15" t="s">
        <v>3424</v>
      </c>
      <c r="B537" s="15" t="s">
        <v>3425</v>
      </c>
      <c r="C537" s="15" t="s">
        <v>2076</v>
      </c>
      <c r="D537" s="15" t="s">
        <v>84</v>
      </c>
      <c r="E537" s="15" t="s">
        <v>314</v>
      </c>
      <c r="F537" s="15"/>
      <c r="G537" s="15" t="s">
        <v>715</v>
      </c>
      <c r="H537" s="15" t="s">
        <v>2365</v>
      </c>
      <c r="I537" s="15" t="s">
        <v>211</v>
      </c>
      <c r="J537" s="3" t="s">
        <v>3426</v>
      </c>
      <c r="K537" s="15" t="n">
        <f aca="false">LEN(J537)</f>
        <v>57</v>
      </c>
      <c r="L537" s="3" t="s">
        <v>3427</v>
      </c>
      <c r="M537" s="15" t="n">
        <f aca="false">LEN(L537)</f>
        <v>132</v>
      </c>
      <c r="N537" s="3" t="s">
        <v>3428</v>
      </c>
      <c r="O537" s="15" t="s">
        <v>3429</v>
      </c>
      <c r="P537" s="16" t="n">
        <v>200</v>
      </c>
      <c r="Q537" s="15" t="s">
        <v>104</v>
      </c>
      <c r="R537" s="15"/>
      <c r="S537" s="15" t="n">
        <f aca="false">COUNTIF('Page-Keyword Map'!$A$2:$A$668,B537)</f>
        <v>1</v>
      </c>
      <c r="T537" s="16" t="n">
        <f aca="false">SUMIF('Page-Keyword Map'!$A$2:$A$668,B537,'Page-Keyword Map'!$H$2:$H$668)</f>
        <v>200</v>
      </c>
      <c r="U537" s="15" t="n">
        <f aca="false">COUNTIFS('Page-Keyword Map'!$A$2:$A$668,B537,'Page-Keyword Map'!$E$2:$E$668,"Nationwide")</f>
        <v>0</v>
      </c>
      <c r="V537" s="15" t="n">
        <f aca="false">COUNTIFS('Page-Keyword Map'!$A$2:$A$668,B537,'Page-Keyword Map'!$E$2:$E$668,"Provincial")</f>
        <v>0</v>
      </c>
      <c r="W537" s="15" t="n">
        <f aca="false">COUNTIFS('Page-Keyword Map'!$A$2:$A$668,B537,'Page-Keyword Map'!$E$2:$E$668,"City")</f>
        <v>1</v>
      </c>
      <c r="X537" s="15" t="str">
        <f aca="false">IF(O537="","",IF(ISNUMBER(SEARCH(O537,J537)),"Yes","No"))</f>
        <v>Yes</v>
      </c>
      <c r="Y537" s="15" t="n">
        <v>0.5</v>
      </c>
      <c r="Z537" s="15" t="s">
        <v>216</v>
      </c>
      <c r="AA537" s="15" t="s">
        <v>217</v>
      </c>
      <c r="AB537" s="17"/>
      <c r="AC537" s="17"/>
    </row>
    <row r="538" customFormat="false" ht="23.85" hidden="false" customHeight="false" outlineLevel="0" collapsed="false">
      <c r="A538" s="15" t="s">
        <v>3430</v>
      </c>
      <c r="B538" s="15" t="s">
        <v>3431</v>
      </c>
      <c r="C538" s="15" t="s">
        <v>2076</v>
      </c>
      <c r="D538" s="15" t="s">
        <v>84</v>
      </c>
      <c r="E538" s="15" t="s">
        <v>314</v>
      </c>
      <c r="F538" s="15"/>
      <c r="G538" s="15" t="s">
        <v>715</v>
      </c>
      <c r="H538" s="15" t="s">
        <v>2372</v>
      </c>
      <c r="I538" s="15" t="s">
        <v>211</v>
      </c>
      <c r="J538" s="3" t="s">
        <v>3432</v>
      </c>
      <c r="K538" s="15" t="n">
        <f aca="false">LEN(J538)</f>
        <v>61</v>
      </c>
      <c r="L538" s="3" t="s">
        <v>3433</v>
      </c>
      <c r="M538" s="15" t="n">
        <f aca="false">LEN(L538)</f>
        <v>136</v>
      </c>
      <c r="N538" s="3" t="s">
        <v>3434</v>
      </c>
      <c r="O538" s="15" t="s">
        <v>3435</v>
      </c>
      <c r="P538" s="16" t="n">
        <v>140</v>
      </c>
      <c r="Q538" s="15" t="s">
        <v>104</v>
      </c>
      <c r="R538" s="15"/>
      <c r="S538" s="15" t="n">
        <f aca="false">COUNTIF('Page-Keyword Map'!$A$2:$A$668,B538)</f>
        <v>1</v>
      </c>
      <c r="T538" s="16" t="n">
        <f aca="false">SUMIF('Page-Keyword Map'!$A$2:$A$668,B538,'Page-Keyword Map'!$H$2:$H$668)</f>
        <v>140</v>
      </c>
      <c r="U538" s="15" t="n">
        <f aca="false">COUNTIFS('Page-Keyword Map'!$A$2:$A$668,B538,'Page-Keyword Map'!$E$2:$E$668,"Nationwide")</f>
        <v>0</v>
      </c>
      <c r="V538" s="15" t="n">
        <f aca="false">COUNTIFS('Page-Keyword Map'!$A$2:$A$668,B538,'Page-Keyword Map'!$E$2:$E$668,"Provincial")</f>
        <v>0</v>
      </c>
      <c r="W538" s="15" t="n">
        <f aca="false">COUNTIFS('Page-Keyword Map'!$A$2:$A$668,B538,'Page-Keyword Map'!$E$2:$E$668,"City")</f>
        <v>1</v>
      </c>
      <c r="X538" s="15" t="str">
        <f aca="false">IF(O538="","",IF(ISNUMBER(SEARCH(O538,J538)),"Yes","No"))</f>
        <v>Yes</v>
      </c>
      <c r="Y538" s="15" t="n">
        <v>0.5</v>
      </c>
      <c r="Z538" s="15" t="s">
        <v>216</v>
      </c>
      <c r="AA538" s="15" t="s">
        <v>217</v>
      </c>
      <c r="AB538" s="17"/>
      <c r="AC538" s="17"/>
    </row>
    <row r="539" customFormat="false" ht="23.85" hidden="false" customHeight="false" outlineLevel="0" collapsed="false">
      <c r="A539" s="15" t="s">
        <v>3436</v>
      </c>
      <c r="B539" s="15" t="s">
        <v>3437</v>
      </c>
      <c r="C539" s="15" t="s">
        <v>2076</v>
      </c>
      <c r="D539" s="15" t="s">
        <v>84</v>
      </c>
      <c r="E539" s="15" t="s">
        <v>314</v>
      </c>
      <c r="F539" s="15"/>
      <c r="G539" s="15" t="s">
        <v>715</v>
      </c>
      <c r="H539" s="15" t="s">
        <v>2379</v>
      </c>
      <c r="I539" s="15" t="s">
        <v>126</v>
      </c>
      <c r="J539" s="3" t="s">
        <v>3438</v>
      </c>
      <c r="K539" s="15" t="n">
        <f aca="false">LEN(J539)</f>
        <v>57</v>
      </c>
      <c r="L539" s="3" t="s">
        <v>3439</v>
      </c>
      <c r="M539" s="15" t="n">
        <f aca="false">LEN(L539)</f>
        <v>132</v>
      </c>
      <c r="N539" s="3" t="s">
        <v>3440</v>
      </c>
      <c r="O539" s="15" t="s">
        <v>3441</v>
      </c>
      <c r="P539" s="16" t="n">
        <v>1900</v>
      </c>
      <c r="Q539" s="15" t="s">
        <v>104</v>
      </c>
      <c r="R539" s="15"/>
      <c r="S539" s="15" t="n">
        <f aca="false">COUNTIF('Page-Keyword Map'!$A$2:$A$668,B539)</f>
        <v>1</v>
      </c>
      <c r="T539" s="16" t="n">
        <f aca="false">SUMIF('Page-Keyword Map'!$A$2:$A$668,B539,'Page-Keyword Map'!$H$2:$H$668)</f>
        <v>1900</v>
      </c>
      <c r="U539" s="15" t="n">
        <f aca="false">COUNTIFS('Page-Keyword Map'!$A$2:$A$668,B539,'Page-Keyword Map'!$E$2:$E$668,"Nationwide")</f>
        <v>0</v>
      </c>
      <c r="V539" s="15" t="n">
        <f aca="false">COUNTIFS('Page-Keyword Map'!$A$2:$A$668,B539,'Page-Keyword Map'!$E$2:$E$668,"Provincial")</f>
        <v>0</v>
      </c>
      <c r="W539" s="15" t="n">
        <f aca="false">COUNTIFS('Page-Keyword Map'!$A$2:$A$668,B539,'Page-Keyword Map'!$E$2:$E$668,"City")</f>
        <v>1</v>
      </c>
      <c r="X539" s="15" t="str">
        <f aca="false">IF(O539="","",IF(ISNUMBER(SEARCH(O539,J539)),"Yes","No"))</f>
        <v>Yes</v>
      </c>
      <c r="Y539" s="15" t="n">
        <v>0.7</v>
      </c>
      <c r="Z539" s="15" t="s">
        <v>2089</v>
      </c>
      <c r="AA539" s="15" t="s">
        <v>131</v>
      </c>
      <c r="AB539" s="17"/>
      <c r="AC539" s="17"/>
    </row>
    <row r="540" customFormat="false" ht="23.85" hidden="false" customHeight="false" outlineLevel="0" collapsed="false">
      <c r="A540" s="15" t="s">
        <v>3442</v>
      </c>
      <c r="B540" s="15" t="s">
        <v>3443</v>
      </c>
      <c r="C540" s="15" t="s">
        <v>2076</v>
      </c>
      <c r="D540" s="15" t="s">
        <v>84</v>
      </c>
      <c r="E540" s="15" t="s">
        <v>314</v>
      </c>
      <c r="F540" s="15"/>
      <c r="G540" s="15" t="s">
        <v>715</v>
      </c>
      <c r="H540" s="15" t="s">
        <v>2386</v>
      </c>
      <c r="I540" s="15" t="s">
        <v>126</v>
      </c>
      <c r="J540" s="3" t="s">
        <v>3444</v>
      </c>
      <c r="K540" s="15" t="n">
        <f aca="false">LEN(J540)</f>
        <v>57</v>
      </c>
      <c r="L540" s="3" t="s">
        <v>3445</v>
      </c>
      <c r="M540" s="15" t="n">
        <f aca="false">LEN(L540)</f>
        <v>132</v>
      </c>
      <c r="N540" s="3" t="s">
        <v>3446</v>
      </c>
      <c r="O540" s="15" t="s">
        <v>3447</v>
      </c>
      <c r="P540" s="16" t="n">
        <v>340</v>
      </c>
      <c r="Q540" s="15" t="s">
        <v>104</v>
      </c>
      <c r="R540" s="15"/>
      <c r="S540" s="15" t="n">
        <f aca="false">COUNTIF('Page-Keyword Map'!$A$2:$A$668,B540)</f>
        <v>1</v>
      </c>
      <c r="T540" s="16" t="n">
        <f aca="false">SUMIF('Page-Keyword Map'!$A$2:$A$668,B540,'Page-Keyword Map'!$H$2:$H$668)</f>
        <v>340</v>
      </c>
      <c r="U540" s="15" t="n">
        <f aca="false">COUNTIFS('Page-Keyword Map'!$A$2:$A$668,B540,'Page-Keyword Map'!$E$2:$E$668,"Nationwide")</f>
        <v>0</v>
      </c>
      <c r="V540" s="15" t="n">
        <f aca="false">COUNTIFS('Page-Keyword Map'!$A$2:$A$668,B540,'Page-Keyword Map'!$E$2:$E$668,"Provincial")</f>
        <v>0</v>
      </c>
      <c r="W540" s="15" t="n">
        <f aca="false">COUNTIFS('Page-Keyword Map'!$A$2:$A$668,B540,'Page-Keyword Map'!$E$2:$E$668,"City")</f>
        <v>1</v>
      </c>
      <c r="X540" s="15" t="str">
        <f aca="false">IF(O540="","",IF(ISNUMBER(SEARCH(O540,J540)),"Yes","No"))</f>
        <v>Yes</v>
      </c>
      <c r="Y540" s="15" t="n">
        <v>0.7</v>
      </c>
      <c r="Z540" s="15" t="s">
        <v>2089</v>
      </c>
      <c r="AA540" s="15" t="s">
        <v>131</v>
      </c>
      <c r="AB540" s="17"/>
      <c r="AC540" s="17"/>
    </row>
    <row r="541" customFormat="false" ht="23.85" hidden="false" customHeight="false" outlineLevel="0" collapsed="false">
      <c r="A541" s="15" t="s">
        <v>3448</v>
      </c>
      <c r="B541" s="15" t="s">
        <v>3449</v>
      </c>
      <c r="C541" s="15" t="s">
        <v>2076</v>
      </c>
      <c r="D541" s="15" t="s">
        <v>84</v>
      </c>
      <c r="E541" s="15" t="s">
        <v>314</v>
      </c>
      <c r="F541" s="15"/>
      <c r="G541" s="15" t="s">
        <v>715</v>
      </c>
      <c r="H541" s="15" t="s">
        <v>2393</v>
      </c>
      <c r="I541" s="15" t="s">
        <v>126</v>
      </c>
      <c r="J541" s="3" t="s">
        <v>3450</v>
      </c>
      <c r="K541" s="15" t="n">
        <f aca="false">LEN(J541)</f>
        <v>58</v>
      </c>
      <c r="L541" s="3" t="s">
        <v>3451</v>
      </c>
      <c r="M541" s="15" t="n">
        <f aca="false">LEN(L541)</f>
        <v>133</v>
      </c>
      <c r="N541" s="3" t="s">
        <v>3452</v>
      </c>
      <c r="O541" s="15" t="s">
        <v>3453</v>
      </c>
      <c r="P541" s="16" t="n">
        <v>150</v>
      </c>
      <c r="Q541" s="15" t="s">
        <v>104</v>
      </c>
      <c r="R541" s="15"/>
      <c r="S541" s="15" t="n">
        <f aca="false">COUNTIF('Page-Keyword Map'!$A$2:$A$668,B541)</f>
        <v>1</v>
      </c>
      <c r="T541" s="16" t="n">
        <f aca="false">SUMIF('Page-Keyword Map'!$A$2:$A$668,B541,'Page-Keyword Map'!$H$2:$H$668)</f>
        <v>150</v>
      </c>
      <c r="U541" s="15" t="n">
        <f aca="false">COUNTIFS('Page-Keyword Map'!$A$2:$A$668,B541,'Page-Keyword Map'!$E$2:$E$668,"Nationwide")</f>
        <v>0</v>
      </c>
      <c r="V541" s="15" t="n">
        <f aca="false">COUNTIFS('Page-Keyword Map'!$A$2:$A$668,B541,'Page-Keyword Map'!$E$2:$E$668,"Provincial")</f>
        <v>0</v>
      </c>
      <c r="W541" s="15" t="n">
        <f aca="false">COUNTIFS('Page-Keyword Map'!$A$2:$A$668,B541,'Page-Keyword Map'!$E$2:$E$668,"City")</f>
        <v>1</v>
      </c>
      <c r="X541" s="15" t="str">
        <f aca="false">IF(O541="","",IF(ISNUMBER(SEARCH(O541,J541)),"Yes","No"))</f>
        <v>Yes</v>
      </c>
      <c r="Y541" s="15" t="n">
        <v>0.5</v>
      </c>
      <c r="Z541" s="15" t="s">
        <v>2089</v>
      </c>
      <c r="AA541" s="15" t="s">
        <v>131</v>
      </c>
      <c r="AB541" s="17"/>
      <c r="AC541" s="17"/>
    </row>
    <row r="542" customFormat="false" ht="23.85" hidden="false" customHeight="false" outlineLevel="0" collapsed="false">
      <c r="A542" s="15" t="s">
        <v>3454</v>
      </c>
      <c r="B542" s="15" t="s">
        <v>3455</v>
      </c>
      <c r="C542" s="15" t="s">
        <v>2076</v>
      </c>
      <c r="D542" s="15" t="s">
        <v>84</v>
      </c>
      <c r="E542" s="15" t="s">
        <v>314</v>
      </c>
      <c r="F542" s="15"/>
      <c r="G542" s="15" t="s">
        <v>715</v>
      </c>
      <c r="H542" s="15" t="s">
        <v>2400</v>
      </c>
      <c r="I542" s="15" t="s">
        <v>211</v>
      </c>
      <c r="J542" s="3" t="s">
        <v>3456</v>
      </c>
      <c r="K542" s="15" t="n">
        <f aca="false">LEN(J542)</f>
        <v>56</v>
      </c>
      <c r="L542" s="3" t="s">
        <v>3457</v>
      </c>
      <c r="M542" s="15" t="n">
        <f aca="false">LEN(L542)</f>
        <v>131</v>
      </c>
      <c r="N542" s="3" t="s">
        <v>3458</v>
      </c>
      <c r="O542" s="15" t="s">
        <v>3459</v>
      </c>
      <c r="P542" s="16" t="n">
        <v>170</v>
      </c>
      <c r="Q542" s="15" t="s">
        <v>104</v>
      </c>
      <c r="R542" s="15"/>
      <c r="S542" s="15" t="n">
        <f aca="false">COUNTIF('Page-Keyword Map'!$A$2:$A$668,B542)</f>
        <v>1</v>
      </c>
      <c r="T542" s="16" t="n">
        <f aca="false">SUMIF('Page-Keyword Map'!$A$2:$A$668,B542,'Page-Keyword Map'!$H$2:$H$668)</f>
        <v>170</v>
      </c>
      <c r="U542" s="15" t="n">
        <f aca="false">COUNTIFS('Page-Keyword Map'!$A$2:$A$668,B542,'Page-Keyword Map'!$E$2:$E$668,"Nationwide")</f>
        <v>0</v>
      </c>
      <c r="V542" s="15" t="n">
        <f aca="false">COUNTIFS('Page-Keyword Map'!$A$2:$A$668,B542,'Page-Keyword Map'!$E$2:$E$668,"Provincial")</f>
        <v>0</v>
      </c>
      <c r="W542" s="15" t="n">
        <f aca="false">COUNTIFS('Page-Keyword Map'!$A$2:$A$668,B542,'Page-Keyword Map'!$E$2:$E$668,"City")</f>
        <v>1</v>
      </c>
      <c r="X542" s="15" t="str">
        <f aca="false">IF(O542="","",IF(ISNUMBER(SEARCH(O542,J542)),"Yes","No"))</f>
        <v>Yes</v>
      </c>
      <c r="Y542" s="15" t="n">
        <v>0.5</v>
      </c>
      <c r="Z542" s="15" t="s">
        <v>216</v>
      </c>
      <c r="AA542" s="15" t="s">
        <v>217</v>
      </c>
      <c r="AB542" s="17"/>
      <c r="AC542" s="17"/>
    </row>
    <row r="543" customFormat="false" ht="23.85" hidden="false" customHeight="false" outlineLevel="0" collapsed="false">
      <c r="A543" s="15" t="s">
        <v>3460</v>
      </c>
      <c r="B543" s="15" t="s">
        <v>3461</v>
      </c>
      <c r="C543" s="15" t="s">
        <v>2076</v>
      </c>
      <c r="D543" s="15" t="s">
        <v>84</v>
      </c>
      <c r="E543" s="15" t="s">
        <v>314</v>
      </c>
      <c r="F543" s="15"/>
      <c r="G543" s="15" t="s">
        <v>715</v>
      </c>
      <c r="H543" s="15" t="s">
        <v>2407</v>
      </c>
      <c r="I543" s="15" t="s">
        <v>126</v>
      </c>
      <c r="J543" s="3" t="s">
        <v>3462</v>
      </c>
      <c r="K543" s="15" t="n">
        <f aca="false">LEN(J543)</f>
        <v>57</v>
      </c>
      <c r="L543" s="3" t="s">
        <v>3463</v>
      </c>
      <c r="M543" s="15" t="n">
        <f aca="false">LEN(L543)</f>
        <v>132</v>
      </c>
      <c r="N543" s="3" t="s">
        <v>3464</v>
      </c>
      <c r="O543" s="15" t="s">
        <v>3465</v>
      </c>
      <c r="P543" s="16" t="n">
        <v>260</v>
      </c>
      <c r="Q543" s="15" t="s">
        <v>104</v>
      </c>
      <c r="R543" s="15"/>
      <c r="S543" s="15" t="n">
        <f aca="false">COUNTIF('Page-Keyword Map'!$A$2:$A$668,B543)</f>
        <v>1</v>
      </c>
      <c r="T543" s="16" t="n">
        <f aca="false">SUMIF('Page-Keyword Map'!$A$2:$A$668,B543,'Page-Keyword Map'!$H$2:$H$668)</f>
        <v>260</v>
      </c>
      <c r="U543" s="15" t="n">
        <f aca="false">COUNTIFS('Page-Keyword Map'!$A$2:$A$668,B543,'Page-Keyword Map'!$E$2:$E$668,"Nationwide")</f>
        <v>0</v>
      </c>
      <c r="V543" s="15" t="n">
        <f aca="false">COUNTIFS('Page-Keyword Map'!$A$2:$A$668,B543,'Page-Keyword Map'!$E$2:$E$668,"Provincial")</f>
        <v>0</v>
      </c>
      <c r="W543" s="15" t="n">
        <f aca="false">COUNTIFS('Page-Keyword Map'!$A$2:$A$668,B543,'Page-Keyword Map'!$E$2:$E$668,"City")</f>
        <v>1</v>
      </c>
      <c r="X543" s="15" t="str">
        <f aca="false">IF(O543="","",IF(ISNUMBER(SEARCH(O543,J543)),"Yes","No"))</f>
        <v>Yes</v>
      </c>
      <c r="Y543" s="15" t="n">
        <v>0.7</v>
      </c>
      <c r="Z543" s="15" t="s">
        <v>2089</v>
      </c>
      <c r="AA543" s="15" t="s">
        <v>131</v>
      </c>
      <c r="AB543" s="17"/>
      <c r="AC543" s="17"/>
    </row>
    <row r="544" customFormat="false" ht="23.85" hidden="false" customHeight="false" outlineLevel="0" collapsed="false">
      <c r="A544" s="15" t="s">
        <v>3466</v>
      </c>
      <c r="B544" s="15" t="s">
        <v>3467</v>
      </c>
      <c r="C544" s="15" t="s">
        <v>2076</v>
      </c>
      <c r="D544" s="15" t="s">
        <v>84</v>
      </c>
      <c r="E544" s="15" t="s">
        <v>314</v>
      </c>
      <c r="F544" s="15"/>
      <c r="G544" s="15" t="s">
        <v>722</v>
      </c>
      <c r="H544" s="15" t="s">
        <v>2414</v>
      </c>
      <c r="I544" s="15" t="s">
        <v>126</v>
      </c>
      <c r="J544" s="3" t="s">
        <v>3468</v>
      </c>
      <c r="K544" s="15" t="n">
        <f aca="false">LEN(J544)</f>
        <v>63</v>
      </c>
      <c r="L544" s="3" t="s">
        <v>3469</v>
      </c>
      <c r="M544" s="15" t="n">
        <f aca="false">LEN(L544)</f>
        <v>153</v>
      </c>
      <c r="N544" s="3" t="s">
        <v>3470</v>
      </c>
      <c r="O544" s="15" t="s">
        <v>3471</v>
      </c>
      <c r="P544" s="16" t="n">
        <v>62</v>
      </c>
      <c r="Q544" s="15" t="s">
        <v>104</v>
      </c>
      <c r="R544" s="15"/>
      <c r="S544" s="15" t="n">
        <f aca="false">COUNTIF('Page-Keyword Map'!$A$2:$A$668,B544)</f>
        <v>1</v>
      </c>
      <c r="T544" s="16" t="n">
        <f aca="false">SUMIF('Page-Keyword Map'!$A$2:$A$668,B544,'Page-Keyword Map'!$H$2:$H$668)</f>
        <v>62</v>
      </c>
      <c r="U544" s="15" t="n">
        <f aca="false">COUNTIFS('Page-Keyword Map'!$A$2:$A$668,B544,'Page-Keyword Map'!$E$2:$E$668,"Nationwide")</f>
        <v>0</v>
      </c>
      <c r="V544" s="15" t="n">
        <f aca="false">COUNTIFS('Page-Keyword Map'!$A$2:$A$668,B544,'Page-Keyword Map'!$E$2:$E$668,"Provincial")</f>
        <v>0</v>
      </c>
      <c r="W544" s="15" t="n">
        <f aca="false">COUNTIFS('Page-Keyword Map'!$A$2:$A$668,B544,'Page-Keyword Map'!$E$2:$E$668,"City")</f>
        <v>1</v>
      </c>
      <c r="X544" s="15" t="str">
        <f aca="false">IF(O544="","",IF(ISNUMBER(SEARCH(O544,J544)),"Yes","No"))</f>
        <v>Yes</v>
      </c>
      <c r="Y544" s="15" t="n">
        <v>0.5</v>
      </c>
      <c r="Z544" s="15" t="s">
        <v>2089</v>
      </c>
      <c r="AA544" s="15" t="s">
        <v>131</v>
      </c>
      <c r="AB544" s="17"/>
      <c r="AC544" s="17"/>
    </row>
    <row r="545" customFormat="false" ht="23.85" hidden="false" customHeight="false" outlineLevel="0" collapsed="false">
      <c r="A545" s="15" t="s">
        <v>3472</v>
      </c>
      <c r="B545" s="15" t="s">
        <v>3473</v>
      </c>
      <c r="C545" s="15" t="s">
        <v>2076</v>
      </c>
      <c r="D545" s="15" t="s">
        <v>84</v>
      </c>
      <c r="E545" s="15" t="s">
        <v>314</v>
      </c>
      <c r="F545" s="15"/>
      <c r="G545" s="15" t="s">
        <v>729</v>
      </c>
      <c r="H545" s="15" t="s">
        <v>2421</v>
      </c>
      <c r="I545" s="15" t="s">
        <v>126</v>
      </c>
      <c r="J545" s="3" t="s">
        <v>3474</v>
      </c>
      <c r="K545" s="15" t="n">
        <f aca="false">LEN(J545)</f>
        <v>58</v>
      </c>
      <c r="L545" s="3" t="s">
        <v>3475</v>
      </c>
      <c r="M545" s="15" t="n">
        <f aca="false">LEN(L545)</f>
        <v>147</v>
      </c>
      <c r="N545" s="3" t="s">
        <v>3476</v>
      </c>
      <c r="O545" s="15" t="s">
        <v>3477</v>
      </c>
      <c r="P545" s="16" t="n">
        <v>93</v>
      </c>
      <c r="Q545" s="15" t="s">
        <v>104</v>
      </c>
      <c r="R545" s="15"/>
      <c r="S545" s="15" t="n">
        <f aca="false">COUNTIF('Page-Keyword Map'!$A$2:$A$668,B545)</f>
        <v>1</v>
      </c>
      <c r="T545" s="16" t="n">
        <f aca="false">SUMIF('Page-Keyword Map'!$A$2:$A$668,B545,'Page-Keyword Map'!$H$2:$H$668)</f>
        <v>93</v>
      </c>
      <c r="U545" s="15" t="n">
        <f aca="false">COUNTIFS('Page-Keyword Map'!$A$2:$A$668,B545,'Page-Keyword Map'!$E$2:$E$668,"Nationwide")</f>
        <v>0</v>
      </c>
      <c r="V545" s="15" t="n">
        <f aca="false">COUNTIFS('Page-Keyword Map'!$A$2:$A$668,B545,'Page-Keyword Map'!$E$2:$E$668,"Provincial")</f>
        <v>0</v>
      </c>
      <c r="W545" s="15" t="n">
        <f aca="false">COUNTIFS('Page-Keyword Map'!$A$2:$A$668,B545,'Page-Keyword Map'!$E$2:$E$668,"City")</f>
        <v>1</v>
      </c>
      <c r="X545" s="15" t="str">
        <f aca="false">IF(O545="","",IF(ISNUMBER(SEARCH(O545,J545)),"Yes","No"))</f>
        <v>Yes</v>
      </c>
      <c r="Y545" s="15" t="n">
        <v>0.5</v>
      </c>
      <c r="Z545" s="15" t="s">
        <v>2089</v>
      </c>
      <c r="AA545" s="15" t="s">
        <v>131</v>
      </c>
      <c r="AB545" s="17"/>
      <c r="AC545" s="17"/>
    </row>
    <row r="546" customFormat="false" ht="23.85" hidden="false" customHeight="false" outlineLevel="0" collapsed="false">
      <c r="A546" s="15" t="s">
        <v>3478</v>
      </c>
      <c r="B546" s="15" t="s">
        <v>3479</v>
      </c>
      <c r="C546" s="15" t="s">
        <v>2076</v>
      </c>
      <c r="D546" s="15" t="s">
        <v>84</v>
      </c>
      <c r="E546" s="15" t="s">
        <v>314</v>
      </c>
      <c r="F546" s="15"/>
      <c r="G546" s="15" t="s">
        <v>729</v>
      </c>
      <c r="H546" s="15" t="s">
        <v>2428</v>
      </c>
      <c r="I546" s="15" t="s">
        <v>126</v>
      </c>
      <c r="J546" s="3" t="s">
        <v>3480</v>
      </c>
      <c r="K546" s="15" t="n">
        <f aca="false">LEN(J546)</f>
        <v>55</v>
      </c>
      <c r="L546" s="3" t="s">
        <v>3481</v>
      </c>
      <c r="M546" s="15" t="n">
        <f aca="false">LEN(L546)</f>
        <v>144</v>
      </c>
      <c r="N546" s="3" t="s">
        <v>3482</v>
      </c>
      <c r="O546" s="15" t="s">
        <v>3483</v>
      </c>
      <c r="P546" s="16" t="n">
        <v>130</v>
      </c>
      <c r="Q546" s="15" t="s">
        <v>104</v>
      </c>
      <c r="R546" s="15"/>
      <c r="S546" s="15" t="n">
        <f aca="false">COUNTIF('Page-Keyword Map'!$A$2:$A$668,B546)</f>
        <v>1</v>
      </c>
      <c r="T546" s="16" t="n">
        <f aca="false">SUMIF('Page-Keyword Map'!$A$2:$A$668,B546,'Page-Keyword Map'!$H$2:$H$668)</f>
        <v>130</v>
      </c>
      <c r="U546" s="15" t="n">
        <f aca="false">COUNTIFS('Page-Keyword Map'!$A$2:$A$668,B546,'Page-Keyword Map'!$E$2:$E$668,"Nationwide")</f>
        <v>0</v>
      </c>
      <c r="V546" s="15" t="n">
        <f aca="false">COUNTIFS('Page-Keyword Map'!$A$2:$A$668,B546,'Page-Keyword Map'!$E$2:$E$668,"Provincial")</f>
        <v>0</v>
      </c>
      <c r="W546" s="15" t="n">
        <f aca="false">COUNTIFS('Page-Keyword Map'!$A$2:$A$668,B546,'Page-Keyword Map'!$E$2:$E$668,"City")</f>
        <v>1</v>
      </c>
      <c r="X546" s="15" t="str">
        <f aca="false">IF(O546="","",IF(ISNUMBER(SEARCH(O546,J546)),"Yes","No"))</f>
        <v>Yes</v>
      </c>
      <c r="Y546" s="15" t="n">
        <v>0.7</v>
      </c>
      <c r="Z546" s="15" t="s">
        <v>2089</v>
      </c>
      <c r="AA546" s="15" t="s">
        <v>131</v>
      </c>
      <c r="AB546" s="17"/>
      <c r="AC546" s="17"/>
    </row>
    <row r="547" customFormat="false" ht="23.85" hidden="false" customHeight="false" outlineLevel="0" collapsed="false">
      <c r="A547" s="15" t="s">
        <v>3484</v>
      </c>
      <c r="B547" s="15" t="s">
        <v>3485</v>
      </c>
      <c r="C547" s="15" t="s">
        <v>2076</v>
      </c>
      <c r="D547" s="15" t="s">
        <v>84</v>
      </c>
      <c r="E547" s="15" t="s">
        <v>314</v>
      </c>
      <c r="F547" s="15"/>
      <c r="G547" s="15" t="s">
        <v>729</v>
      </c>
      <c r="H547" s="15" t="s">
        <v>2435</v>
      </c>
      <c r="I547" s="15" t="s">
        <v>126</v>
      </c>
      <c r="J547" s="3" t="s">
        <v>3486</v>
      </c>
      <c r="K547" s="15" t="n">
        <f aca="false">LEN(J547)</f>
        <v>59</v>
      </c>
      <c r="L547" s="3" t="s">
        <v>3487</v>
      </c>
      <c r="M547" s="15" t="n">
        <f aca="false">LEN(L547)</f>
        <v>148</v>
      </c>
      <c r="N547" s="3" t="s">
        <v>3488</v>
      </c>
      <c r="O547" s="15" t="s">
        <v>3489</v>
      </c>
      <c r="P547" s="16" t="n">
        <v>84</v>
      </c>
      <c r="Q547" s="15" t="s">
        <v>104</v>
      </c>
      <c r="R547" s="15"/>
      <c r="S547" s="15" t="n">
        <f aca="false">COUNTIF('Page-Keyword Map'!$A$2:$A$668,B547)</f>
        <v>1</v>
      </c>
      <c r="T547" s="16" t="n">
        <f aca="false">SUMIF('Page-Keyword Map'!$A$2:$A$668,B547,'Page-Keyword Map'!$H$2:$H$668)</f>
        <v>84</v>
      </c>
      <c r="U547" s="15" t="n">
        <f aca="false">COUNTIFS('Page-Keyword Map'!$A$2:$A$668,B547,'Page-Keyword Map'!$E$2:$E$668,"Nationwide")</f>
        <v>0</v>
      </c>
      <c r="V547" s="15" t="n">
        <f aca="false">COUNTIFS('Page-Keyword Map'!$A$2:$A$668,B547,'Page-Keyword Map'!$E$2:$E$668,"Provincial")</f>
        <v>0</v>
      </c>
      <c r="W547" s="15" t="n">
        <f aca="false">COUNTIFS('Page-Keyword Map'!$A$2:$A$668,B547,'Page-Keyword Map'!$E$2:$E$668,"City")</f>
        <v>1</v>
      </c>
      <c r="X547" s="15" t="str">
        <f aca="false">IF(O547="","",IF(ISNUMBER(SEARCH(O547,J547)),"Yes","No"))</f>
        <v>Yes</v>
      </c>
      <c r="Y547" s="15" t="n">
        <v>0.5</v>
      </c>
      <c r="Z547" s="15" t="s">
        <v>2089</v>
      </c>
      <c r="AA547" s="15" t="s">
        <v>131</v>
      </c>
      <c r="AB547" s="17"/>
      <c r="AC547" s="17"/>
    </row>
    <row r="548" customFormat="false" ht="23.85" hidden="false" customHeight="false" outlineLevel="0" collapsed="false">
      <c r="A548" s="15" t="s">
        <v>3490</v>
      </c>
      <c r="B548" s="15" t="s">
        <v>3491</v>
      </c>
      <c r="C548" s="15" t="s">
        <v>2076</v>
      </c>
      <c r="D548" s="15" t="s">
        <v>84</v>
      </c>
      <c r="E548" s="15" t="s">
        <v>314</v>
      </c>
      <c r="F548" s="15"/>
      <c r="G548" s="15" t="s">
        <v>729</v>
      </c>
      <c r="H548" s="15" t="s">
        <v>2442</v>
      </c>
      <c r="I548" s="15" t="s">
        <v>126</v>
      </c>
      <c r="J548" s="3" t="s">
        <v>3492</v>
      </c>
      <c r="K548" s="15" t="n">
        <f aca="false">LEN(J548)</f>
        <v>58</v>
      </c>
      <c r="L548" s="3" t="s">
        <v>3493</v>
      </c>
      <c r="M548" s="15" t="n">
        <f aca="false">LEN(L548)</f>
        <v>147</v>
      </c>
      <c r="N548" s="3" t="s">
        <v>3494</v>
      </c>
      <c r="O548" s="15" t="s">
        <v>3495</v>
      </c>
      <c r="P548" s="16" t="n">
        <v>390</v>
      </c>
      <c r="Q548" s="15" t="s">
        <v>104</v>
      </c>
      <c r="R548" s="15"/>
      <c r="S548" s="15" t="n">
        <f aca="false">COUNTIF('Page-Keyword Map'!$A$2:$A$668,B548)</f>
        <v>1</v>
      </c>
      <c r="T548" s="16" t="n">
        <f aca="false">SUMIF('Page-Keyword Map'!$A$2:$A$668,B548,'Page-Keyword Map'!$H$2:$H$668)</f>
        <v>390</v>
      </c>
      <c r="U548" s="15" t="n">
        <f aca="false">COUNTIFS('Page-Keyword Map'!$A$2:$A$668,B548,'Page-Keyword Map'!$E$2:$E$668,"Nationwide")</f>
        <v>0</v>
      </c>
      <c r="V548" s="15" t="n">
        <f aca="false">COUNTIFS('Page-Keyword Map'!$A$2:$A$668,B548,'Page-Keyword Map'!$E$2:$E$668,"Provincial")</f>
        <v>0</v>
      </c>
      <c r="W548" s="15" t="n">
        <f aca="false">COUNTIFS('Page-Keyword Map'!$A$2:$A$668,B548,'Page-Keyword Map'!$E$2:$E$668,"City")</f>
        <v>1</v>
      </c>
      <c r="X548" s="15" t="str">
        <f aca="false">IF(O548="","",IF(ISNUMBER(SEARCH(O548,J548)),"Yes","No"))</f>
        <v>Yes</v>
      </c>
      <c r="Y548" s="15" t="n">
        <v>0.7</v>
      </c>
      <c r="Z548" s="15" t="s">
        <v>2089</v>
      </c>
      <c r="AA548" s="15" t="s">
        <v>131</v>
      </c>
      <c r="AB548" s="17"/>
      <c r="AC548" s="17"/>
    </row>
    <row r="549" customFormat="false" ht="23.85" hidden="false" customHeight="false" outlineLevel="0" collapsed="false">
      <c r="A549" s="15" t="s">
        <v>3496</v>
      </c>
      <c r="B549" s="15" t="s">
        <v>3497</v>
      </c>
      <c r="C549" s="15" t="s">
        <v>2076</v>
      </c>
      <c r="D549" s="15" t="s">
        <v>84</v>
      </c>
      <c r="E549" s="15" t="s">
        <v>314</v>
      </c>
      <c r="F549" s="15"/>
      <c r="G549" s="15" t="s">
        <v>729</v>
      </c>
      <c r="H549" s="15" t="s">
        <v>2449</v>
      </c>
      <c r="I549" s="15" t="s">
        <v>126</v>
      </c>
      <c r="J549" s="3" t="s">
        <v>3498</v>
      </c>
      <c r="K549" s="15" t="n">
        <f aca="false">LEN(J549)</f>
        <v>61</v>
      </c>
      <c r="L549" s="3" t="s">
        <v>3499</v>
      </c>
      <c r="M549" s="15" t="n">
        <f aca="false">LEN(L549)</f>
        <v>150</v>
      </c>
      <c r="N549" s="3" t="s">
        <v>3500</v>
      </c>
      <c r="O549" s="15" t="s">
        <v>3501</v>
      </c>
      <c r="P549" s="16" t="n">
        <v>160</v>
      </c>
      <c r="Q549" s="15" t="s">
        <v>104</v>
      </c>
      <c r="R549" s="15"/>
      <c r="S549" s="15" t="n">
        <f aca="false">COUNTIF('Page-Keyword Map'!$A$2:$A$668,B549)</f>
        <v>1</v>
      </c>
      <c r="T549" s="16" t="n">
        <f aca="false">SUMIF('Page-Keyword Map'!$A$2:$A$668,B549,'Page-Keyword Map'!$H$2:$H$668)</f>
        <v>160</v>
      </c>
      <c r="U549" s="15" t="n">
        <f aca="false">COUNTIFS('Page-Keyword Map'!$A$2:$A$668,B549,'Page-Keyword Map'!$E$2:$E$668,"Nationwide")</f>
        <v>0</v>
      </c>
      <c r="V549" s="15" t="n">
        <f aca="false">COUNTIFS('Page-Keyword Map'!$A$2:$A$668,B549,'Page-Keyword Map'!$E$2:$E$668,"Provincial")</f>
        <v>0</v>
      </c>
      <c r="W549" s="15" t="n">
        <f aca="false">COUNTIFS('Page-Keyword Map'!$A$2:$A$668,B549,'Page-Keyword Map'!$E$2:$E$668,"City")</f>
        <v>1</v>
      </c>
      <c r="X549" s="15" t="str">
        <f aca="false">IF(O549="","",IF(ISNUMBER(SEARCH(O549,J549)),"Yes","No"))</f>
        <v>Yes</v>
      </c>
      <c r="Y549" s="15" t="n">
        <v>0.7</v>
      </c>
      <c r="Z549" s="15" t="s">
        <v>2089</v>
      </c>
      <c r="AA549" s="15" t="s">
        <v>131</v>
      </c>
      <c r="AB549" s="17"/>
      <c r="AC549" s="17"/>
    </row>
    <row r="550" customFormat="false" ht="23.85" hidden="false" customHeight="false" outlineLevel="0" collapsed="false">
      <c r="A550" s="15" t="s">
        <v>3502</v>
      </c>
      <c r="B550" s="15" t="s">
        <v>3503</v>
      </c>
      <c r="C550" s="15" t="s">
        <v>2076</v>
      </c>
      <c r="D550" s="15" t="s">
        <v>84</v>
      </c>
      <c r="E550" s="15" t="s">
        <v>314</v>
      </c>
      <c r="F550" s="15"/>
      <c r="G550" s="15" t="s">
        <v>729</v>
      </c>
      <c r="H550" s="15" t="s">
        <v>2456</v>
      </c>
      <c r="I550" s="15" t="s">
        <v>211</v>
      </c>
      <c r="J550" s="3" t="s">
        <v>3504</v>
      </c>
      <c r="K550" s="15" t="n">
        <f aca="false">LEN(J550)</f>
        <v>60</v>
      </c>
      <c r="L550" s="3" t="s">
        <v>3505</v>
      </c>
      <c r="M550" s="15" t="n">
        <f aca="false">LEN(L550)</f>
        <v>149</v>
      </c>
      <c r="N550" s="3" t="s">
        <v>3506</v>
      </c>
      <c r="O550" s="15" t="s">
        <v>3507</v>
      </c>
      <c r="P550" s="16" t="n">
        <v>62</v>
      </c>
      <c r="Q550" s="15" t="s">
        <v>104</v>
      </c>
      <c r="R550" s="15"/>
      <c r="S550" s="15" t="n">
        <f aca="false">COUNTIF('Page-Keyword Map'!$A$2:$A$668,B550)</f>
        <v>1</v>
      </c>
      <c r="T550" s="16" t="n">
        <f aca="false">SUMIF('Page-Keyword Map'!$A$2:$A$668,B550,'Page-Keyword Map'!$H$2:$H$668)</f>
        <v>62</v>
      </c>
      <c r="U550" s="15" t="n">
        <f aca="false">COUNTIFS('Page-Keyword Map'!$A$2:$A$668,B550,'Page-Keyword Map'!$E$2:$E$668,"Nationwide")</f>
        <v>0</v>
      </c>
      <c r="V550" s="15" t="n">
        <f aca="false">COUNTIFS('Page-Keyword Map'!$A$2:$A$668,B550,'Page-Keyword Map'!$E$2:$E$668,"Provincial")</f>
        <v>0</v>
      </c>
      <c r="W550" s="15" t="n">
        <f aca="false">COUNTIFS('Page-Keyword Map'!$A$2:$A$668,B550,'Page-Keyword Map'!$E$2:$E$668,"City")</f>
        <v>1</v>
      </c>
      <c r="X550" s="15" t="str">
        <f aca="false">IF(O550="","",IF(ISNUMBER(SEARCH(O550,J550)),"Yes","No"))</f>
        <v>Yes</v>
      </c>
      <c r="Y550" s="15" t="n">
        <v>0.5</v>
      </c>
      <c r="Z550" s="15" t="s">
        <v>216</v>
      </c>
      <c r="AA550" s="15" t="s">
        <v>217</v>
      </c>
      <c r="AB550" s="17"/>
      <c r="AC550" s="17"/>
    </row>
    <row r="551" customFormat="false" ht="23.85" hidden="false" customHeight="false" outlineLevel="0" collapsed="false">
      <c r="A551" s="15" t="s">
        <v>3508</v>
      </c>
      <c r="B551" s="15" t="s">
        <v>3509</v>
      </c>
      <c r="C551" s="15" t="s">
        <v>2076</v>
      </c>
      <c r="D551" s="15" t="s">
        <v>84</v>
      </c>
      <c r="E551" s="15" t="s">
        <v>314</v>
      </c>
      <c r="F551" s="15"/>
      <c r="G551" s="15" t="s">
        <v>736</v>
      </c>
      <c r="H551" s="15" t="s">
        <v>2463</v>
      </c>
      <c r="I551" s="15" t="s">
        <v>126</v>
      </c>
      <c r="J551" s="3" t="s">
        <v>3510</v>
      </c>
      <c r="K551" s="15" t="n">
        <f aca="false">LEN(J551)</f>
        <v>56</v>
      </c>
      <c r="L551" s="3" t="s">
        <v>3511</v>
      </c>
      <c r="M551" s="15" t="n">
        <f aca="false">LEN(L551)</f>
        <v>136</v>
      </c>
      <c r="N551" s="3" t="s">
        <v>3512</v>
      </c>
      <c r="O551" s="15" t="s">
        <v>3513</v>
      </c>
      <c r="P551" s="16" t="n">
        <v>250</v>
      </c>
      <c r="Q551" s="15" t="s">
        <v>104</v>
      </c>
      <c r="R551" s="15"/>
      <c r="S551" s="15" t="n">
        <f aca="false">COUNTIF('Page-Keyword Map'!$A$2:$A$668,B551)</f>
        <v>1</v>
      </c>
      <c r="T551" s="16" t="n">
        <f aca="false">SUMIF('Page-Keyword Map'!$A$2:$A$668,B551,'Page-Keyword Map'!$H$2:$H$668)</f>
        <v>250</v>
      </c>
      <c r="U551" s="15" t="n">
        <f aca="false">COUNTIFS('Page-Keyword Map'!$A$2:$A$668,B551,'Page-Keyword Map'!$E$2:$E$668,"Nationwide")</f>
        <v>0</v>
      </c>
      <c r="V551" s="15" t="n">
        <f aca="false">COUNTIFS('Page-Keyword Map'!$A$2:$A$668,B551,'Page-Keyword Map'!$E$2:$E$668,"Provincial")</f>
        <v>0</v>
      </c>
      <c r="W551" s="15" t="n">
        <f aca="false">COUNTIFS('Page-Keyword Map'!$A$2:$A$668,B551,'Page-Keyword Map'!$E$2:$E$668,"City")</f>
        <v>1</v>
      </c>
      <c r="X551" s="15" t="str">
        <f aca="false">IF(O551="","",IF(ISNUMBER(SEARCH(O551,J551)),"Yes","No"))</f>
        <v>Yes</v>
      </c>
      <c r="Y551" s="15" t="n">
        <v>0.7</v>
      </c>
      <c r="Z551" s="15" t="s">
        <v>2089</v>
      </c>
      <c r="AA551" s="15" t="s">
        <v>131</v>
      </c>
      <c r="AB551" s="17"/>
      <c r="AC551" s="17"/>
    </row>
    <row r="552" customFormat="false" ht="23.85" hidden="false" customHeight="false" outlineLevel="0" collapsed="false">
      <c r="A552" s="15" t="s">
        <v>3514</v>
      </c>
      <c r="B552" s="15" t="s">
        <v>3515</v>
      </c>
      <c r="C552" s="15" t="s">
        <v>2076</v>
      </c>
      <c r="D552" s="15" t="s">
        <v>84</v>
      </c>
      <c r="E552" s="15" t="s">
        <v>314</v>
      </c>
      <c r="F552" s="15"/>
      <c r="G552" s="15" t="s">
        <v>736</v>
      </c>
      <c r="H552" s="15" t="s">
        <v>2470</v>
      </c>
      <c r="I552" s="15" t="s">
        <v>126</v>
      </c>
      <c r="J552" s="3" t="s">
        <v>3516</v>
      </c>
      <c r="K552" s="15" t="n">
        <f aca="false">LEN(J552)</f>
        <v>59</v>
      </c>
      <c r="L552" s="3" t="s">
        <v>3517</v>
      </c>
      <c r="M552" s="15" t="n">
        <f aca="false">LEN(L552)</f>
        <v>139</v>
      </c>
      <c r="N552" s="3" t="s">
        <v>3518</v>
      </c>
      <c r="O552" s="15" t="s">
        <v>3519</v>
      </c>
      <c r="P552" s="16" t="n">
        <v>290</v>
      </c>
      <c r="Q552" s="15" t="s">
        <v>104</v>
      </c>
      <c r="R552" s="15"/>
      <c r="S552" s="15" t="n">
        <f aca="false">COUNTIF('Page-Keyword Map'!$A$2:$A$668,B552)</f>
        <v>1</v>
      </c>
      <c r="T552" s="16" t="n">
        <f aca="false">SUMIF('Page-Keyword Map'!$A$2:$A$668,B552,'Page-Keyword Map'!$H$2:$H$668)</f>
        <v>290</v>
      </c>
      <c r="U552" s="15" t="n">
        <f aca="false">COUNTIFS('Page-Keyword Map'!$A$2:$A$668,B552,'Page-Keyword Map'!$E$2:$E$668,"Nationwide")</f>
        <v>0</v>
      </c>
      <c r="V552" s="15" t="n">
        <f aca="false">COUNTIFS('Page-Keyword Map'!$A$2:$A$668,B552,'Page-Keyword Map'!$E$2:$E$668,"Provincial")</f>
        <v>0</v>
      </c>
      <c r="W552" s="15" t="n">
        <f aca="false">COUNTIFS('Page-Keyword Map'!$A$2:$A$668,B552,'Page-Keyword Map'!$E$2:$E$668,"City")</f>
        <v>1</v>
      </c>
      <c r="X552" s="15" t="str">
        <f aca="false">IF(O552="","",IF(ISNUMBER(SEARCH(O552,J552)),"Yes","No"))</f>
        <v>Yes</v>
      </c>
      <c r="Y552" s="15" t="n">
        <v>0.7</v>
      </c>
      <c r="Z552" s="15" t="s">
        <v>2089</v>
      </c>
      <c r="AA552" s="15" t="s">
        <v>131</v>
      </c>
      <c r="AB552" s="17"/>
      <c r="AC552" s="17"/>
    </row>
    <row r="553" customFormat="false" ht="23.85" hidden="false" customHeight="false" outlineLevel="0" collapsed="false">
      <c r="A553" s="15" t="s">
        <v>3520</v>
      </c>
      <c r="B553" s="15" t="s">
        <v>3521</v>
      </c>
      <c r="C553" s="15" t="s">
        <v>2076</v>
      </c>
      <c r="D553" s="15" t="s">
        <v>84</v>
      </c>
      <c r="E553" s="15" t="s">
        <v>314</v>
      </c>
      <c r="F553" s="15"/>
      <c r="G553" s="15" t="s">
        <v>743</v>
      </c>
      <c r="H553" s="15" t="s">
        <v>2477</v>
      </c>
      <c r="I553" s="15" t="s">
        <v>211</v>
      </c>
      <c r="J553" s="3" t="s">
        <v>3522</v>
      </c>
      <c r="K553" s="15" t="n">
        <f aca="false">LEN(J553)</f>
        <v>60</v>
      </c>
      <c r="L553" s="3" t="s">
        <v>3523</v>
      </c>
      <c r="M553" s="15" t="n">
        <f aca="false">LEN(L553)</f>
        <v>146</v>
      </c>
      <c r="N553" s="3" t="s">
        <v>3524</v>
      </c>
      <c r="O553" s="15"/>
      <c r="P553" s="16"/>
      <c r="Q553" s="15"/>
      <c r="R553" s="15" t="s">
        <v>3525</v>
      </c>
      <c r="S553" s="15" t="n">
        <f aca="false">COUNTIF('Page-Keyword Map'!$A$2:$A$668,B553)</f>
        <v>0</v>
      </c>
      <c r="T553" s="16" t="n">
        <f aca="false">SUMIF('Page-Keyword Map'!$A$2:$A$668,B553,'Page-Keyword Map'!$H$2:$H$668)</f>
        <v>0</v>
      </c>
      <c r="U553" s="15" t="n">
        <f aca="false">COUNTIFS('Page-Keyword Map'!$A$2:$A$668,B553,'Page-Keyword Map'!$E$2:$E$668,"Nationwide")</f>
        <v>0</v>
      </c>
      <c r="V553" s="15" t="n">
        <f aca="false">COUNTIFS('Page-Keyword Map'!$A$2:$A$668,B553,'Page-Keyword Map'!$E$2:$E$668,"Provincial")</f>
        <v>0</v>
      </c>
      <c r="W553" s="15" t="n">
        <f aca="false">COUNTIFS('Page-Keyword Map'!$A$2:$A$668,B553,'Page-Keyword Map'!$E$2:$E$668,"City")</f>
        <v>0</v>
      </c>
      <c r="X553" s="15" t="str">
        <f aca="false">IF(O553="","",IF(ISNUMBER(SEARCH(O553,J553)),"Yes","No"))</f>
        <v/>
      </c>
      <c r="Y553" s="15" t="n">
        <v>0.5</v>
      </c>
      <c r="Z553" s="15" t="s">
        <v>216</v>
      </c>
      <c r="AA553" s="15" t="s">
        <v>217</v>
      </c>
      <c r="AB553" s="17"/>
      <c r="AC553" s="17"/>
    </row>
    <row r="554" customFormat="false" ht="23.85" hidden="false" customHeight="false" outlineLevel="0" collapsed="false">
      <c r="A554" s="15" t="s">
        <v>3526</v>
      </c>
      <c r="B554" s="15" t="s">
        <v>3527</v>
      </c>
      <c r="C554" s="15" t="s">
        <v>2076</v>
      </c>
      <c r="D554" s="15" t="s">
        <v>74</v>
      </c>
      <c r="E554" s="15" t="s">
        <v>321</v>
      </c>
      <c r="F554" s="15"/>
      <c r="G554" s="15" t="s">
        <v>657</v>
      </c>
      <c r="H554" s="15" t="s">
        <v>2077</v>
      </c>
      <c r="I554" s="15" t="s">
        <v>211</v>
      </c>
      <c r="J554" s="3" t="s">
        <v>3528</v>
      </c>
      <c r="K554" s="15" t="n">
        <f aca="false">LEN(J554)</f>
        <v>57</v>
      </c>
      <c r="L554" s="3" t="s">
        <v>3529</v>
      </c>
      <c r="M554" s="15" t="n">
        <f aca="false">LEN(L554)</f>
        <v>139</v>
      </c>
      <c r="N554" s="3" t="s">
        <v>3530</v>
      </c>
      <c r="O554" s="15" t="s">
        <v>3531</v>
      </c>
      <c r="P554" s="16" t="n">
        <v>48</v>
      </c>
      <c r="Q554" s="15" t="s">
        <v>104</v>
      </c>
      <c r="R554" s="15"/>
      <c r="S554" s="15" t="n">
        <f aca="false">COUNTIF('Page-Keyword Map'!$A$2:$A$668,B554)</f>
        <v>1</v>
      </c>
      <c r="T554" s="16" t="n">
        <f aca="false">SUMIF('Page-Keyword Map'!$A$2:$A$668,B554,'Page-Keyword Map'!$H$2:$H$668)</f>
        <v>48</v>
      </c>
      <c r="U554" s="15" t="n">
        <f aca="false">COUNTIFS('Page-Keyword Map'!$A$2:$A$668,B554,'Page-Keyword Map'!$E$2:$E$668,"Nationwide")</f>
        <v>0</v>
      </c>
      <c r="V554" s="15" t="n">
        <f aca="false">COUNTIFS('Page-Keyword Map'!$A$2:$A$668,B554,'Page-Keyword Map'!$E$2:$E$668,"Provincial")</f>
        <v>0</v>
      </c>
      <c r="W554" s="15" t="n">
        <f aca="false">COUNTIFS('Page-Keyword Map'!$A$2:$A$668,B554,'Page-Keyword Map'!$E$2:$E$668,"City")</f>
        <v>1</v>
      </c>
      <c r="X554" s="15" t="str">
        <f aca="false">IF(O554="","",IF(ISNUMBER(SEARCH(O554,J554)),"Yes","No"))</f>
        <v>Yes</v>
      </c>
      <c r="Y554" s="15" t="n">
        <v>0.5</v>
      </c>
      <c r="Z554" s="15" t="s">
        <v>216</v>
      </c>
      <c r="AA554" s="15" t="s">
        <v>217</v>
      </c>
      <c r="AB554" s="17"/>
      <c r="AC554" s="17"/>
    </row>
    <row r="555" customFormat="false" ht="23.85" hidden="false" customHeight="false" outlineLevel="0" collapsed="false">
      <c r="A555" s="15" t="s">
        <v>3532</v>
      </c>
      <c r="B555" s="15" t="s">
        <v>3533</v>
      </c>
      <c r="C555" s="15" t="s">
        <v>2076</v>
      </c>
      <c r="D555" s="15" t="s">
        <v>74</v>
      </c>
      <c r="E555" s="15" t="s">
        <v>321</v>
      </c>
      <c r="F555" s="15"/>
      <c r="G555" s="15" t="s">
        <v>657</v>
      </c>
      <c r="H555" s="15" t="s">
        <v>2084</v>
      </c>
      <c r="I555" s="15" t="s">
        <v>126</v>
      </c>
      <c r="J555" s="3" t="s">
        <v>3534</v>
      </c>
      <c r="K555" s="15" t="n">
        <f aca="false">LEN(J555)</f>
        <v>57</v>
      </c>
      <c r="L555" s="3" t="s">
        <v>3535</v>
      </c>
      <c r="M555" s="15" t="n">
        <f aca="false">LEN(L555)</f>
        <v>139</v>
      </c>
      <c r="N555" s="3" t="s">
        <v>3536</v>
      </c>
      <c r="O555" s="15" t="s">
        <v>3537</v>
      </c>
      <c r="P555" s="16" t="n">
        <v>480</v>
      </c>
      <c r="Q555" s="15" t="s">
        <v>104</v>
      </c>
      <c r="R555" s="15"/>
      <c r="S555" s="15" t="n">
        <f aca="false">COUNTIF('Page-Keyword Map'!$A$2:$A$668,B555)</f>
        <v>1</v>
      </c>
      <c r="T555" s="16" t="n">
        <f aca="false">SUMIF('Page-Keyword Map'!$A$2:$A$668,B555,'Page-Keyword Map'!$H$2:$H$668)</f>
        <v>480</v>
      </c>
      <c r="U555" s="15" t="n">
        <f aca="false">COUNTIFS('Page-Keyword Map'!$A$2:$A$668,B555,'Page-Keyword Map'!$E$2:$E$668,"Nationwide")</f>
        <v>0</v>
      </c>
      <c r="V555" s="15" t="n">
        <f aca="false">COUNTIFS('Page-Keyword Map'!$A$2:$A$668,B555,'Page-Keyword Map'!$E$2:$E$668,"Provincial")</f>
        <v>0</v>
      </c>
      <c r="W555" s="15" t="n">
        <f aca="false">COUNTIFS('Page-Keyword Map'!$A$2:$A$668,B555,'Page-Keyword Map'!$E$2:$E$668,"City")</f>
        <v>1</v>
      </c>
      <c r="X555" s="15" t="str">
        <f aca="false">IF(O555="","",IF(ISNUMBER(SEARCH(O555,J555)),"Yes","No"))</f>
        <v>Yes</v>
      </c>
      <c r="Y555" s="15" t="n">
        <v>0.7</v>
      </c>
      <c r="Z555" s="15" t="s">
        <v>2089</v>
      </c>
      <c r="AA555" s="15" t="s">
        <v>131</v>
      </c>
      <c r="AB555" s="17"/>
      <c r="AC555" s="17"/>
    </row>
    <row r="556" customFormat="false" ht="23.85" hidden="false" customHeight="false" outlineLevel="0" collapsed="false">
      <c r="A556" s="15" t="s">
        <v>3538</v>
      </c>
      <c r="B556" s="15" t="s">
        <v>3539</v>
      </c>
      <c r="C556" s="15" t="s">
        <v>2076</v>
      </c>
      <c r="D556" s="15" t="s">
        <v>74</v>
      </c>
      <c r="E556" s="15" t="s">
        <v>321</v>
      </c>
      <c r="F556" s="15"/>
      <c r="G556" s="15" t="s">
        <v>657</v>
      </c>
      <c r="H556" s="15" t="s">
        <v>2092</v>
      </c>
      <c r="I556" s="15" t="s">
        <v>126</v>
      </c>
      <c r="J556" s="3" t="s">
        <v>3540</v>
      </c>
      <c r="K556" s="15" t="n">
        <f aca="false">LEN(J556)</f>
        <v>58</v>
      </c>
      <c r="L556" s="3" t="s">
        <v>3541</v>
      </c>
      <c r="M556" s="15" t="n">
        <f aca="false">LEN(L556)</f>
        <v>140</v>
      </c>
      <c r="N556" s="3" t="s">
        <v>3542</v>
      </c>
      <c r="O556" s="15" t="s">
        <v>3543</v>
      </c>
      <c r="P556" s="16" t="n">
        <v>390</v>
      </c>
      <c r="Q556" s="15" t="s">
        <v>104</v>
      </c>
      <c r="R556" s="15"/>
      <c r="S556" s="15" t="n">
        <f aca="false">COUNTIF('Page-Keyword Map'!$A$2:$A$668,B556)</f>
        <v>1</v>
      </c>
      <c r="T556" s="16" t="n">
        <f aca="false">SUMIF('Page-Keyword Map'!$A$2:$A$668,B556,'Page-Keyword Map'!$H$2:$H$668)</f>
        <v>390</v>
      </c>
      <c r="U556" s="15" t="n">
        <f aca="false">COUNTIFS('Page-Keyword Map'!$A$2:$A$668,B556,'Page-Keyword Map'!$E$2:$E$668,"Nationwide")</f>
        <v>0</v>
      </c>
      <c r="V556" s="15" t="n">
        <f aca="false">COUNTIFS('Page-Keyword Map'!$A$2:$A$668,B556,'Page-Keyword Map'!$E$2:$E$668,"Provincial")</f>
        <v>0</v>
      </c>
      <c r="W556" s="15" t="n">
        <f aca="false">COUNTIFS('Page-Keyword Map'!$A$2:$A$668,B556,'Page-Keyword Map'!$E$2:$E$668,"City")</f>
        <v>1</v>
      </c>
      <c r="X556" s="15" t="str">
        <f aca="false">IF(O556="","",IF(ISNUMBER(SEARCH(O556,J556)),"Yes","No"))</f>
        <v>Yes</v>
      </c>
      <c r="Y556" s="15" t="n">
        <v>0.7</v>
      </c>
      <c r="Z556" s="15" t="s">
        <v>2089</v>
      </c>
      <c r="AA556" s="15" t="s">
        <v>131</v>
      </c>
      <c r="AB556" s="17"/>
      <c r="AC556" s="17"/>
    </row>
    <row r="557" customFormat="false" ht="23.85" hidden="false" customHeight="false" outlineLevel="0" collapsed="false">
      <c r="A557" s="15" t="s">
        <v>3544</v>
      </c>
      <c r="B557" s="15" t="s">
        <v>3545</v>
      </c>
      <c r="C557" s="15" t="s">
        <v>2076</v>
      </c>
      <c r="D557" s="15" t="s">
        <v>74</v>
      </c>
      <c r="E557" s="15" t="s">
        <v>321</v>
      </c>
      <c r="F557" s="15"/>
      <c r="G557" s="15" t="s">
        <v>657</v>
      </c>
      <c r="H557" s="15" t="s">
        <v>2099</v>
      </c>
      <c r="I557" s="15" t="s">
        <v>211</v>
      </c>
      <c r="J557" s="3" t="s">
        <v>3546</v>
      </c>
      <c r="K557" s="15" t="n">
        <f aca="false">LEN(J557)</f>
        <v>60</v>
      </c>
      <c r="L557" s="3" t="s">
        <v>3547</v>
      </c>
      <c r="M557" s="15" t="n">
        <f aca="false">LEN(L557)</f>
        <v>142</v>
      </c>
      <c r="N557" s="3" t="s">
        <v>3548</v>
      </c>
      <c r="O557" s="15" t="s">
        <v>3549</v>
      </c>
      <c r="P557" s="16" t="n">
        <v>60</v>
      </c>
      <c r="Q557" s="15" t="s">
        <v>104</v>
      </c>
      <c r="R557" s="15"/>
      <c r="S557" s="15" t="n">
        <f aca="false">COUNTIF('Page-Keyword Map'!$A$2:$A$668,B557)</f>
        <v>1</v>
      </c>
      <c r="T557" s="16" t="n">
        <f aca="false">SUMIF('Page-Keyword Map'!$A$2:$A$668,B557,'Page-Keyword Map'!$H$2:$H$668)</f>
        <v>60</v>
      </c>
      <c r="U557" s="15" t="n">
        <f aca="false">COUNTIFS('Page-Keyword Map'!$A$2:$A$668,B557,'Page-Keyword Map'!$E$2:$E$668,"Nationwide")</f>
        <v>0</v>
      </c>
      <c r="V557" s="15" t="n">
        <f aca="false">COUNTIFS('Page-Keyword Map'!$A$2:$A$668,B557,'Page-Keyword Map'!$E$2:$E$668,"Provincial")</f>
        <v>0</v>
      </c>
      <c r="W557" s="15" t="n">
        <f aca="false">COUNTIFS('Page-Keyword Map'!$A$2:$A$668,B557,'Page-Keyword Map'!$E$2:$E$668,"City")</f>
        <v>1</v>
      </c>
      <c r="X557" s="15" t="str">
        <f aca="false">IF(O557="","",IF(ISNUMBER(SEARCH(O557,J557)),"Yes","No"))</f>
        <v>Yes</v>
      </c>
      <c r="Y557" s="15" t="n">
        <v>0.5</v>
      </c>
      <c r="Z557" s="15" t="s">
        <v>216</v>
      </c>
      <c r="AA557" s="15" t="s">
        <v>217</v>
      </c>
      <c r="AB557" s="17"/>
      <c r="AC557" s="17"/>
    </row>
    <row r="558" customFormat="false" ht="23.85" hidden="false" customHeight="false" outlineLevel="0" collapsed="false">
      <c r="A558" s="15" t="s">
        <v>3550</v>
      </c>
      <c r="B558" s="15" t="s">
        <v>3551</v>
      </c>
      <c r="C558" s="15" t="s">
        <v>2076</v>
      </c>
      <c r="D558" s="15" t="s">
        <v>74</v>
      </c>
      <c r="E558" s="15" t="s">
        <v>321</v>
      </c>
      <c r="F558" s="15"/>
      <c r="G558" s="15" t="s">
        <v>657</v>
      </c>
      <c r="H558" s="15" t="s">
        <v>2106</v>
      </c>
      <c r="I558" s="15" t="s">
        <v>211</v>
      </c>
      <c r="J558" s="3" t="s">
        <v>3552</v>
      </c>
      <c r="K558" s="15" t="n">
        <f aca="false">LEN(J558)</f>
        <v>58</v>
      </c>
      <c r="L558" s="3" t="s">
        <v>3553</v>
      </c>
      <c r="M558" s="15" t="n">
        <f aca="false">LEN(L558)</f>
        <v>140</v>
      </c>
      <c r="N558" s="3" t="s">
        <v>3554</v>
      </c>
      <c r="O558" s="15" t="s">
        <v>3555</v>
      </c>
      <c r="P558" s="16" t="n">
        <v>61</v>
      </c>
      <c r="Q558" s="15" t="s">
        <v>104</v>
      </c>
      <c r="R558" s="15"/>
      <c r="S558" s="15" t="n">
        <f aca="false">COUNTIF('Page-Keyword Map'!$A$2:$A$668,B558)</f>
        <v>1</v>
      </c>
      <c r="T558" s="16" t="n">
        <f aca="false">SUMIF('Page-Keyword Map'!$A$2:$A$668,B558,'Page-Keyword Map'!$H$2:$H$668)</f>
        <v>61</v>
      </c>
      <c r="U558" s="15" t="n">
        <f aca="false">COUNTIFS('Page-Keyword Map'!$A$2:$A$668,B558,'Page-Keyword Map'!$E$2:$E$668,"Nationwide")</f>
        <v>0</v>
      </c>
      <c r="V558" s="15" t="n">
        <f aca="false">COUNTIFS('Page-Keyword Map'!$A$2:$A$668,B558,'Page-Keyword Map'!$E$2:$E$668,"Provincial")</f>
        <v>0</v>
      </c>
      <c r="W558" s="15" t="n">
        <f aca="false">COUNTIFS('Page-Keyword Map'!$A$2:$A$668,B558,'Page-Keyword Map'!$E$2:$E$668,"City")</f>
        <v>1</v>
      </c>
      <c r="X558" s="15" t="str">
        <f aca="false">IF(O558="","",IF(ISNUMBER(SEARCH(O558,J558)),"Yes","No"))</f>
        <v>Yes</v>
      </c>
      <c r="Y558" s="15" t="n">
        <v>0.5</v>
      </c>
      <c r="Z558" s="15" t="s">
        <v>216</v>
      </c>
      <c r="AA558" s="15" t="s">
        <v>217</v>
      </c>
      <c r="AB558" s="17"/>
      <c r="AC558" s="17"/>
    </row>
    <row r="559" customFormat="false" ht="23.85" hidden="false" customHeight="false" outlineLevel="0" collapsed="false">
      <c r="A559" s="15" t="s">
        <v>3556</v>
      </c>
      <c r="B559" s="15" t="s">
        <v>3557</v>
      </c>
      <c r="C559" s="15" t="s">
        <v>2076</v>
      </c>
      <c r="D559" s="15" t="s">
        <v>74</v>
      </c>
      <c r="E559" s="15" t="s">
        <v>321</v>
      </c>
      <c r="F559" s="15"/>
      <c r="G559" s="15" t="s">
        <v>666</v>
      </c>
      <c r="H559" s="15" t="s">
        <v>2113</v>
      </c>
      <c r="I559" s="15" t="s">
        <v>211</v>
      </c>
      <c r="J559" s="3" t="s">
        <v>3558</v>
      </c>
      <c r="K559" s="15" t="n">
        <f aca="false">LEN(J559)</f>
        <v>60</v>
      </c>
      <c r="L559" s="3" t="s">
        <v>3559</v>
      </c>
      <c r="M559" s="15" t="n">
        <f aca="false">LEN(L559)</f>
        <v>151</v>
      </c>
      <c r="N559" s="3" t="s">
        <v>3560</v>
      </c>
      <c r="O559" s="15" t="s">
        <v>3561</v>
      </c>
      <c r="P559" s="16" t="n">
        <v>86</v>
      </c>
      <c r="Q559" s="15" t="s">
        <v>104</v>
      </c>
      <c r="R559" s="15"/>
      <c r="S559" s="15" t="n">
        <f aca="false">COUNTIF('Page-Keyword Map'!$A$2:$A$668,B559)</f>
        <v>1</v>
      </c>
      <c r="T559" s="16" t="n">
        <f aca="false">SUMIF('Page-Keyword Map'!$A$2:$A$668,B559,'Page-Keyword Map'!$H$2:$H$668)</f>
        <v>86</v>
      </c>
      <c r="U559" s="15" t="n">
        <f aca="false">COUNTIFS('Page-Keyword Map'!$A$2:$A$668,B559,'Page-Keyword Map'!$E$2:$E$668,"Nationwide")</f>
        <v>0</v>
      </c>
      <c r="V559" s="15" t="n">
        <f aca="false">COUNTIFS('Page-Keyword Map'!$A$2:$A$668,B559,'Page-Keyword Map'!$E$2:$E$668,"Provincial")</f>
        <v>0</v>
      </c>
      <c r="W559" s="15" t="n">
        <f aca="false">COUNTIFS('Page-Keyword Map'!$A$2:$A$668,B559,'Page-Keyword Map'!$E$2:$E$668,"City")</f>
        <v>1</v>
      </c>
      <c r="X559" s="15" t="str">
        <f aca="false">IF(O559="","",IF(ISNUMBER(SEARCH(O559,J559)),"Yes","No"))</f>
        <v>Yes</v>
      </c>
      <c r="Y559" s="15" t="n">
        <v>0.5</v>
      </c>
      <c r="Z559" s="15" t="s">
        <v>216</v>
      </c>
      <c r="AA559" s="15" t="s">
        <v>217</v>
      </c>
      <c r="AB559" s="17"/>
      <c r="AC559" s="17"/>
    </row>
    <row r="560" customFormat="false" ht="23.85" hidden="false" customHeight="false" outlineLevel="0" collapsed="false">
      <c r="A560" s="15" t="s">
        <v>3562</v>
      </c>
      <c r="B560" s="15" t="s">
        <v>3563</v>
      </c>
      <c r="C560" s="15" t="s">
        <v>2076</v>
      </c>
      <c r="D560" s="15" t="s">
        <v>74</v>
      </c>
      <c r="E560" s="15" t="s">
        <v>321</v>
      </c>
      <c r="F560" s="15"/>
      <c r="G560" s="15" t="s">
        <v>666</v>
      </c>
      <c r="H560" s="15" t="s">
        <v>2120</v>
      </c>
      <c r="I560" s="15" t="s">
        <v>126</v>
      </c>
      <c r="J560" s="3" t="s">
        <v>3564</v>
      </c>
      <c r="K560" s="15" t="n">
        <f aca="false">LEN(J560)</f>
        <v>57</v>
      </c>
      <c r="L560" s="3" t="s">
        <v>3565</v>
      </c>
      <c r="M560" s="15" t="n">
        <f aca="false">LEN(L560)</f>
        <v>148</v>
      </c>
      <c r="N560" s="3" t="s">
        <v>3566</v>
      </c>
      <c r="O560" s="15" t="s">
        <v>3567</v>
      </c>
      <c r="P560" s="16" t="n">
        <v>130</v>
      </c>
      <c r="Q560" s="15" t="s">
        <v>104</v>
      </c>
      <c r="R560" s="15"/>
      <c r="S560" s="15" t="n">
        <f aca="false">COUNTIF('Page-Keyword Map'!$A$2:$A$668,B560)</f>
        <v>1</v>
      </c>
      <c r="T560" s="16" t="n">
        <f aca="false">SUMIF('Page-Keyword Map'!$A$2:$A$668,B560,'Page-Keyword Map'!$H$2:$H$668)</f>
        <v>130</v>
      </c>
      <c r="U560" s="15" t="n">
        <f aca="false">COUNTIFS('Page-Keyword Map'!$A$2:$A$668,B560,'Page-Keyword Map'!$E$2:$E$668,"Nationwide")</f>
        <v>0</v>
      </c>
      <c r="V560" s="15" t="n">
        <f aca="false">COUNTIFS('Page-Keyword Map'!$A$2:$A$668,B560,'Page-Keyword Map'!$E$2:$E$668,"Provincial")</f>
        <v>0</v>
      </c>
      <c r="W560" s="15" t="n">
        <f aca="false">COUNTIFS('Page-Keyword Map'!$A$2:$A$668,B560,'Page-Keyword Map'!$E$2:$E$668,"City")</f>
        <v>1</v>
      </c>
      <c r="X560" s="15" t="str">
        <f aca="false">IF(O560="","",IF(ISNUMBER(SEARCH(O560,J560)),"Yes","No"))</f>
        <v>Yes</v>
      </c>
      <c r="Y560" s="15" t="n">
        <v>0.7</v>
      </c>
      <c r="Z560" s="15" t="s">
        <v>2089</v>
      </c>
      <c r="AA560" s="15" t="s">
        <v>131</v>
      </c>
      <c r="AB560" s="17"/>
      <c r="AC560" s="17"/>
    </row>
    <row r="561" customFormat="false" ht="23.85" hidden="false" customHeight="false" outlineLevel="0" collapsed="false">
      <c r="A561" s="15" t="s">
        <v>3568</v>
      </c>
      <c r="B561" s="15" t="s">
        <v>3569</v>
      </c>
      <c r="C561" s="15" t="s">
        <v>2076</v>
      </c>
      <c r="D561" s="15" t="s">
        <v>74</v>
      </c>
      <c r="E561" s="15" t="s">
        <v>321</v>
      </c>
      <c r="F561" s="15"/>
      <c r="G561" s="15" t="s">
        <v>666</v>
      </c>
      <c r="H561" s="15" t="s">
        <v>2127</v>
      </c>
      <c r="I561" s="15" t="s">
        <v>211</v>
      </c>
      <c r="J561" s="3" t="s">
        <v>3570</v>
      </c>
      <c r="K561" s="15" t="n">
        <f aca="false">LEN(J561)</f>
        <v>59</v>
      </c>
      <c r="L561" s="3" t="s">
        <v>3571</v>
      </c>
      <c r="M561" s="15" t="n">
        <f aca="false">LEN(L561)</f>
        <v>150</v>
      </c>
      <c r="N561" s="3" t="s">
        <v>3572</v>
      </c>
      <c r="O561" s="15" t="s">
        <v>3573</v>
      </c>
      <c r="P561" s="16" t="n">
        <v>84</v>
      </c>
      <c r="Q561" s="15" t="s">
        <v>104</v>
      </c>
      <c r="R561" s="15"/>
      <c r="S561" s="15" t="n">
        <f aca="false">COUNTIF('Page-Keyword Map'!$A$2:$A$668,B561)</f>
        <v>1</v>
      </c>
      <c r="T561" s="16" t="n">
        <f aca="false">SUMIF('Page-Keyword Map'!$A$2:$A$668,B561,'Page-Keyword Map'!$H$2:$H$668)</f>
        <v>84</v>
      </c>
      <c r="U561" s="15" t="n">
        <f aca="false">COUNTIFS('Page-Keyword Map'!$A$2:$A$668,B561,'Page-Keyword Map'!$E$2:$E$668,"Nationwide")</f>
        <v>0</v>
      </c>
      <c r="V561" s="15" t="n">
        <f aca="false">COUNTIFS('Page-Keyword Map'!$A$2:$A$668,B561,'Page-Keyword Map'!$E$2:$E$668,"Provincial")</f>
        <v>0</v>
      </c>
      <c r="W561" s="15" t="n">
        <f aca="false">COUNTIFS('Page-Keyword Map'!$A$2:$A$668,B561,'Page-Keyword Map'!$E$2:$E$668,"City")</f>
        <v>1</v>
      </c>
      <c r="X561" s="15" t="str">
        <f aca="false">IF(O561="","",IF(ISNUMBER(SEARCH(O561,J561)),"Yes","No"))</f>
        <v>Yes</v>
      </c>
      <c r="Y561" s="15" t="n">
        <v>0.5</v>
      </c>
      <c r="Z561" s="15" t="s">
        <v>216</v>
      </c>
      <c r="AA561" s="15" t="s">
        <v>217</v>
      </c>
      <c r="AB561" s="17"/>
      <c r="AC561" s="17"/>
    </row>
    <row r="562" customFormat="false" ht="23.85" hidden="false" customHeight="false" outlineLevel="0" collapsed="false">
      <c r="A562" s="15" t="s">
        <v>3574</v>
      </c>
      <c r="B562" s="15" t="s">
        <v>3575</v>
      </c>
      <c r="C562" s="15" t="s">
        <v>2076</v>
      </c>
      <c r="D562" s="15" t="s">
        <v>74</v>
      </c>
      <c r="E562" s="15" t="s">
        <v>321</v>
      </c>
      <c r="F562" s="15"/>
      <c r="G562" s="15" t="s">
        <v>666</v>
      </c>
      <c r="H562" s="15" t="s">
        <v>2134</v>
      </c>
      <c r="I562" s="15" t="s">
        <v>126</v>
      </c>
      <c r="J562" s="3" t="s">
        <v>3576</v>
      </c>
      <c r="K562" s="15" t="n">
        <f aca="false">LEN(J562)</f>
        <v>57</v>
      </c>
      <c r="L562" s="3" t="s">
        <v>3577</v>
      </c>
      <c r="M562" s="15" t="n">
        <f aca="false">LEN(L562)</f>
        <v>148</v>
      </c>
      <c r="N562" s="3" t="s">
        <v>3578</v>
      </c>
      <c r="O562" s="15" t="s">
        <v>3579</v>
      </c>
      <c r="P562" s="16" t="n">
        <v>82</v>
      </c>
      <c r="Q562" s="15" t="s">
        <v>104</v>
      </c>
      <c r="R562" s="15"/>
      <c r="S562" s="15" t="n">
        <f aca="false">COUNTIF('Page-Keyword Map'!$A$2:$A$668,B562)</f>
        <v>1</v>
      </c>
      <c r="T562" s="16" t="n">
        <f aca="false">SUMIF('Page-Keyword Map'!$A$2:$A$668,B562,'Page-Keyword Map'!$H$2:$H$668)</f>
        <v>82</v>
      </c>
      <c r="U562" s="15" t="n">
        <f aca="false">COUNTIFS('Page-Keyword Map'!$A$2:$A$668,B562,'Page-Keyword Map'!$E$2:$E$668,"Nationwide")</f>
        <v>0</v>
      </c>
      <c r="V562" s="15" t="n">
        <f aca="false">COUNTIFS('Page-Keyword Map'!$A$2:$A$668,B562,'Page-Keyword Map'!$E$2:$E$668,"Provincial")</f>
        <v>0</v>
      </c>
      <c r="W562" s="15" t="n">
        <f aca="false">COUNTIFS('Page-Keyword Map'!$A$2:$A$668,B562,'Page-Keyword Map'!$E$2:$E$668,"City")</f>
        <v>1</v>
      </c>
      <c r="X562" s="15" t="str">
        <f aca="false">IF(O562="","",IF(ISNUMBER(SEARCH(O562,J562)),"Yes","No"))</f>
        <v>Yes</v>
      </c>
      <c r="Y562" s="15" t="n">
        <v>0.7</v>
      </c>
      <c r="Z562" s="15" t="s">
        <v>2089</v>
      </c>
      <c r="AA562" s="15" t="s">
        <v>131</v>
      </c>
      <c r="AB562" s="17"/>
      <c r="AC562" s="17"/>
    </row>
    <row r="563" customFormat="false" ht="23.85" hidden="false" customHeight="false" outlineLevel="0" collapsed="false">
      <c r="A563" s="15" t="s">
        <v>3580</v>
      </c>
      <c r="B563" s="15" t="s">
        <v>3581</v>
      </c>
      <c r="C563" s="15" t="s">
        <v>2076</v>
      </c>
      <c r="D563" s="15" t="s">
        <v>74</v>
      </c>
      <c r="E563" s="15" t="s">
        <v>321</v>
      </c>
      <c r="F563" s="15"/>
      <c r="G563" s="15" t="s">
        <v>666</v>
      </c>
      <c r="H563" s="15" t="s">
        <v>2141</v>
      </c>
      <c r="I563" s="15" t="s">
        <v>211</v>
      </c>
      <c r="J563" s="3" t="s">
        <v>3582</v>
      </c>
      <c r="K563" s="15" t="n">
        <f aca="false">LEN(J563)</f>
        <v>57</v>
      </c>
      <c r="L563" s="3" t="s">
        <v>3583</v>
      </c>
      <c r="M563" s="15" t="n">
        <f aca="false">LEN(L563)</f>
        <v>148</v>
      </c>
      <c r="N563" s="3" t="s">
        <v>3584</v>
      </c>
      <c r="O563" s="15" t="s">
        <v>3585</v>
      </c>
      <c r="P563" s="16" t="n">
        <v>76</v>
      </c>
      <c r="Q563" s="15" t="s">
        <v>104</v>
      </c>
      <c r="R563" s="15"/>
      <c r="S563" s="15" t="n">
        <f aca="false">COUNTIF('Page-Keyword Map'!$A$2:$A$668,B563)</f>
        <v>1</v>
      </c>
      <c r="T563" s="16" t="n">
        <f aca="false">SUMIF('Page-Keyword Map'!$A$2:$A$668,B563,'Page-Keyword Map'!$H$2:$H$668)</f>
        <v>76</v>
      </c>
      <c r="U563" s="15" t="n">
        <f aca="false">COUNTIFS('Page-Keyword Map'!$A$2:$A$668,B563,'Page-Keyword Map'!$E$2:$E$668,"Nationwide")</f>
        <v>0</v>
      </c>
      <c r="V563" s="15" t="n">
        <f aca="false">COUNTIFS('Page-Keyword Map'!$A$2:$A$668,B563,'Page-Keyword Map'!$E$2:$E$668,"Provincial")</f>
        <v>0</v>
      </c>
      <c r="W563" s="15" t="n">
        <f aca="false">COUNTIFS('Page-Keyword Map'!$A$2:$A$668,B563,'Page-Keyword Map'!$E$2:$E$668,"City")</f>
        <v>1</v>
      </c>
      <c r="X563" s="15" t="str">
        <f aca="false">IF(O563="","",IF(ISNUMBER(SEARCH(O563,J563)),"Yes","No"))</f>
        <v>Yes</v>
      </c>
      <c r="Y563" s="15" t="n">
        <v>0.5</v>
      </c>
      <c r="Z563" s="15" t="s">
        <v>216</v>
      </c>
      <c r="AA563" s="15" t="s">
        <v>217</v>
      </c>
      <c r="AB563" s="17"/>
      <c r="AC563" s="17"/>
    </row>
    <row r="564" customFormat="false" ht="23.85" hidden="false" customHeight="false" outlineLevel="0" collapsed="false">
      <c r="A564" s="15" t="s">
        <v>3586</v>
      </c>
      <c r="B564" s="15" t="s">
        <v>3587</v>
      </c>
      <c r="C564" s="15" t="s">
        <v>2076</v>
      </c>
      <c r="D564" s="15" t="s">
        <v>74</v>
      </c>
      <c r="E564" s="15" t="s">
        <v>321</v>
      </c>
      <c r="F564" s="15"/>
      <c r="G564" s="15" t="s">
        <v>666</v>
      </c>
      <c r="H564" s="15" t="s">
        <v>2148</v>
      </c>
      <c r="I564" s="15" t="s">
        <v>211</v>
      </c>
      <c r="J564" s="3" t="s">
        <v>3588</v>
      </c>
      <c r="K564" s="15" t="n">
        <f aca="false">LEN(J564)</f>
        <v>58</v>
      </c>
      <c r="L564" s="3" t="s">
        <v>3589</v>
      </c>
      <c r="M564" s="15" t="n">
        <f aca="false">LEN(L564)</f>
        <v>149</v>
      </c>
      <c r="N564" s="3" t="s">
        <v>3590</v>
      </c>
      <c r="O564" s="15" t="s">
        <v>3591</v>
      </c>
      <c r="P564" s="16" t="n">
        <v>110</v>
      </c>
      <c r="Q564" s="15" t="s">
        <v>104</v>
      </c>
      <c r="R564" s="15"/>
      <c r="S564" s="15" t="n">
        <f aca="false">COUNTIF('Page-Keyword Map'!$A$2:$A$668,B564)</f>
        <v>1</v>
      </c>
      <c r="T564" s="16" t="n">
        <f aca="false">SUMIF('Page-Keyword Map'!$A$2:$A$668,B564,'Page-Keyword Map'!$H$2:$H$668)</f>
        <v>110</v>
      </c>
      <c r="U564" s="15" t="n">
        <f aca="false">COUNTIFS('Page-Keyword Map'!$A$2:$A$668,B564,'Page-Keyword Map'!$E$2:$E$668,"Nationwide")</f>
        <v>0</v>
      </c>
      <c r="V564" s="15" t="n">
        <f aca="false">COUNTIFS('Page-Keyword Map'!$A$2:$A$668,B564,'Page-Keyword Map'!$E$2:$E$668,"Provincial")</f>
        <v>0</v>
      </c>
      <c r="W564" s="15" t="n">
        <f aca="false">COUNTIFS('Page-Keyword Map'!$A$2:$A$668,B564,'Page-Keyword Map'!$E$2:$E$668,"City")</f>
        <v>1</v>
      </c>
      <c r="X564" s="15" t="str">
        <f aca="false">IF(O564="","",IF(ISNUMBER(SEARCH(O564,J564)),"Yes","No"))</f>
        <v>No</v>
      </c>
      <c r="Y564" s="15" t="n">
        <v>0.5</v>
      </c>
      <c r="Z564" s="15" t="s">
        <v>216</v>
      </c>
      <c r="AA564" s="15" t="s">
        <v>217</v>
      </c>
      <c r="AB564" s="17"/>
      <c r="AC564" s="17"/>
    </row>
    <row r="565" customFormat="false" ht="23.85" hidden="false" customHeight="false" outlineLevel="0" collapsed="false">
      <c r="A565" s="15" t="s">
        <v>3592</v>
      </c>
      <c r="B565" s="15" t="s">
        <v>3593</v>
      </c>
      <c r="C565" s="15" t="s">
        <v>2076</v>
      </c>
      <c r="D565" s="15" t="s">
        <v>74</v>
      </c>
      <c r="E565" s="15" t="s">
        <v>321</v>
      </c>
      <c r="F565" s="15"/>
      <c r="G565" s="15" t="s">
        <v>666</v>
      </c>
      <c r="H565" s="15" t="s">
        <v>2155</v>
      </c>
      <c r="I565" s="15" t="s">
        <v>126</v>
      </c>
      <c r="J565" s="3" t="s">
        <v>3594</v>
      </c>
      <c r="K565" s="15" t="n">
        <f aca="false">LEN(J565)</f>
        <v>56</v>
      </c>
      <c r="L565" s="3" t="s">
        <v>3595</v>
      </c>
      <c r="M565" s="15" t="n">
        <f aca="false">LEN(L565)</f>
        <v>147</v>
      </c>
      <c r="N565" s="3" t="s">
        <v>3596</v>
      </c>
      <c r="O565" s="15" t="s">
        <v>3597</v>
      </c>
      <c r="P565" s="16" t="n">
        <v>240</v>
      </c>
      <c r="Q565" s="15" t="s">
        <v>104</v>
      </c>
      <c r="R565" s="15"/>
      <c r="S565" s="15" t="n">
        <f aca="false">COUNTIF('Page-Keyword Map'!$A$2:$A$668,B565)</f>
        <v>1</v>
      </c>
      <c r="T565" s="16" t="n">
        <f aca="false">SUMIF('Page-Keyword Map'!$A$2:$A$668,B565,'Page-Keyword Map'!$H$2:$H$668)</f>
        <v>240</v>
      </c>
      <c r="U565" s="15" t="n">
        <f aca="false">COUNTIFS('Page-Keyword Map'!$A$2:$A$668,B565,'Page-Keyword Map'!$E$2:$E$668,"Nationwide")</f>
        <v>0</v>
      </c>
      <c r="V565" s="15" t="n">
        <f aca="false">COUNTIFS('Page-Keyword Map'!$A$2:$A$668,B565,'Page-Keyword Map'!$E$2:$E$668,"Provincial")</f>
        <v>0</v>
      </c>
      <c r="W565" s="15" t="n">
        <f aca="false">COUNTIFS('Page-Keyword Map'!$A$2:$A$668,B565,'Page-Keyword Map'!$E$2:$E$668,"City")</f>
        <v>1</v>
      </c>
      <c r="X565" s="15" t="str">
        <f aca="false">IF(O565="","",IF(ISNUMBER(SEARCH(O565,J565)),"Yes","No"))</f>
        <v>Yes</v>
      </c>
      <c r="Y565" s="15" t="n">
        <v>0.7</v>
      </c>
      <c r="Z565" s="15" t="s">
        <v>2089</v>
      </c>
      <c r="AA565" s="15" t="s">
        <v>131</v>
      </c>
      <c r="AB565" s="17"/>
      <c r="AC565" s="17"/>
    </row>
    <row r="566" customFormat="false" ht="23.85" hidden="false" customHeight="false" outlineLevel="0" collapsed="false">
      <c r="A566" s="15" t="s">
        <v>3598</v>
      </c>
      <c r="B566" s="15" t="s">
        <v>3599</v>
      </c>
      <c r="C566" s="15" t="s">
        <v>2076</v>
      </c>
      <c r="D566" s="15" t="s">
        <v>74</v>
      </c>
      <c r="E566" s="15" t="s">
        <v>321</v>
      </c>
      <c r="F566" s="15"/>
      <c r="G566" s="15" t="s">
        <v>666</v>
      </c>
      <c r="H566" s="15" t="s">
        <v>2162</v>
      </c>
      <c r="I566" s="15" t="s">
        <v>126</v>
      </c>
      <c r="J566" s="3" t="s">
        <v>3600</v>
      </c>
      <c r="K566" s="15" t="n">
        <f aca="false">LEN(J566)</f>
        <v>59</v>
      </c>
      <c r="L566" s="3" t="s">
        <v>3601</v>
      </c>
      <c r="M566" s="15" t="n">
        <f aca="false">LEN(L566)</f>
        <v>150</v>
      </c>
      <c r="N566" s="3" t="s">
        <v>3602</v>
      </c>
      <c r="O566" s="15" t="s">
        <v>3603</v>
      </c>
      <c r="P566" s="16" t="n">
        <v>280</v>
      </c>
      <c r="Q566" s="15" t="s">
        <v>104</v>
      </c>
      <c r="R566" s="15"/>
      <c r="S566" s="15" t="n">
        <f aca="false">COUNTIF('Page-Keyword Map'!$A$2:$A$668,B566)</f>
        <v>1</v>
      </c>
      <c r="T566" s="16" t="n">
        <f aca="false">SUMIF('Page-Keyword Map'!$A$2:$A$668,B566,'Page-Keyword Map'!$H$2:$H$668)</f>
        <v>280</v>
      </c>
      <c r="U566" s="15" t="n">
        <f aca="false">COUNTIFS('Page-Keyword Map'!$A$2:$A$668,B566,'Page-Keyword Map'!$E$2:$E$668,"Nationwide")</f>
        <v>0</v>
      </c>
      <c r="V566" s="15" t="n">
        <f aca="false">COUNTIFS('Page-Keyword Map'!$A$2:$A$668,B566,'Page-Keyword Map'!$E$2:$E$668,"Provincial")</f>
        <v>0</v>
      </c>
      <c r="W566" s="15" t="n">
        <f aca="false">COUNTIFS('Page-Keyword Map'!$A$2:$A$668,B566,'Page-Keyword Map'!$E$2:$E$668,"City")</f>
        <v>1</v>
      </c>
      <c r="X566" s="15" t="str">
        <f aca="false">IF(O566="","",IF(ISNUMBER(SEARCH(O566,J566)),"Yes","No"))</f>
        <v>Yes</v>
      </c>
      <c r="Y566" s="15" t="n">
        <v>0.7</v>
      </c>
      <c r="Z566" s="15" t="s">
        <v>2089</v>
      </c>
      <c r="AA566" s="15" t="s">
        <v>131</v>
      </c>
      <c r="AB566" s="17"/>
      <c r="AC566" s="17"/>
    </row>
    <row r="567" customFormat="false" ht="23.85" hidden="false" customHeight="false" outlineLevel="0" collapsed="false">
      <c r="A567" s="15" t="s">
        <v>3604</v>
      </c>
      <c r="B567" s="15" t="s">
        <v>3605</v>
      </c>
      <c r="C567" s="15" t="s">
        <v>2076</v>
      </c>
      <c r="D567" s="15" t="s">
        <v>74</v>
      </c>
      <c r="E567" s="15" t="s">
        <v>321</v>
      </c>
      <c r="F567" s="15"/>
      <c r="G567" s="15" t="s">
        <v>666</v>
      </c>
      <c r="H567" s="15" t="s">
        <v>2169</v>
      </c>
      <c r="I567" s="15" t="s">
        <v>126</v>
      </c>
      <c r="J567" s="3" t="s">
        <v>3606</v>
      </c>
      <c r="K567" s="15" t="n">
        <f aca="false">LEN(J567)</f>
        <v>58</v>
      </c>
      <c r="L567" s="3" t="s">
        <v>3607</v>
      </c>
      <c r="M567" s="15" t="n">
        <f aca="false">LEN(L567)</f>
        <v>149</v>
      </c>
      <c r="N567" s="3" t="s">
        <v>3608</v>
      </c>
      <c r="O567" s="15" t="s">
        <v>3609</v>
      </c>
      <c r="P567" s="16" t="n">
        <v>57</v>
      </c>
      <c r="Q567" s="15" t="s">
        <v>104</v>
      </c>
      <c r="R567" s="15"/>
      <c r="S567" s="15" t="n">
        <f aca="false">COUNTIF('Page-Keyword Map'!$A$2:$A$668,B567)</f>
        <v>1</v>
      </c>
      <c r="T567" s="16" t="n">
        <f aca="false">SUMIF('Page-Keyword Map'!$A$2:$A$668,B567,'Page-Keyword Map'!$H$2:$H$668)</f>
        <v>57</v>
      </c>
      <c r="U567" s="15" t="n">
        <f aca="false">COUNTIFS('Page-Keyword Map'!$A$2:$A$668,B567,'Page-Keyword Map'!$E$2:$E$668,"Nationwide")</f>
        <v>0</v>
      </c>
      <c r="V567" s="15" t="n">
        <f aca="false">COUNTIFS('Page-Keyword Map'!$A$2:$A$668,B567,'Page-Keyword Map'!$E$2:$E$668,"Provincial")</f>
        <v>0</v>
      </c>
      <c r="W567" s="15" t="n">
        <f aca="false">COUNTIFS('Page-Keyword Map'!$A$2:$A$668,B567,'Page-Keyword Map'!$E$2:$E$668,"City")</f>
        <v>1</v>
      </c>
      <c r="X567" s="15" t="str">
        <f aca="false">IF(O567="","",IF(ISNUMBER(SEARCH(O567,J567)),"Yes","No"))</f>
        <v>Yes</v>
      </c>
      <c r="Y567" s="15" t="n">
        <v>0.7</v>
      </c>
      <c r="Z567" s="15" t="s">
        <v>2089</v>
      </c>
      <c r="AA567" s="15" t="s">
        <v>131</v>
      </c>
      <c r="AB567" s="17"/>
      <c r="AC567" s="17"/>
    </row>
    <row r="568" customFormat="false" ht="23.85" hidden="false" customHeight="false" outlineLevel="0" collapsed="false">
      <c r="A568" s="15" t="s">
        <v>3610</v>
      </c>
      <c r="B568" s="15" t="s">
        <v>3611</v>
      </c>
      <c r="C568" s="15" t="s">
        <v>2076</v>
      </c>
      <c r="D568" s="15" t="s">
        <v>74</v>
      </c>
      <c r="E568" s="15" t="s">
        <v>321</v>
      </c>
      <c r="F568" s="15"/>
      <c r="G568" s="15" t="s">
        <v>673</v>
      </c>
      <c r="H568" s="15" t="s">
        <v>2176</v>
      </c>
      <c r="I568" s="15" t="s">
        <v>211</v>
      </c>
      <c r="J568" s="3" t="s">
        <v>3612</v>
      </c>
      <c r="K568" s="15" t="n">
        <f aca="false">LEN(J568)</f>
        <v>57</v>
      </c>
      <c r="L568" s="3" t="s">
        <v>3613</v>
      </c>
      <c r="M568" s="15" t="n">
        <f aca="false">LEN(L568)</f>
        <v>140</v>
      </c>
      <c r="N568" s="3" t="s">
        <v>3614</v>
      </c>
      <c r="O568" s="15" t="s">
        <v>3615</v>
      </c>
      <c r="P568" s="16" t="n">
        <v>36</v>
      </c>
      <c r="Q568" s="15" t="s">
        <v>104</v>
      </c>
      <c r="R568" s="15"/>
      <c r="S568" s="15" t="n">
        <f aca="false">COUNTIF('Page-Keyword Map'!$A$2:$A$668,B568)</f>
        <v>1</v>
      </c>
      <c r="T568" s="16" t="n">
        <f aca="false">SUMIF('Page-Keyword Map'!$A$2:$A$668,B568,'Page-Keyword Map'!$H$2:$H$668)</f>
        <v>36</v>
      </c>
      <c r="U568" s="15" t="n">
        <f aca="false">COUNTIFS('Page-Keyword Map'!$A$2:$A$668,B568,'Page-Keyword Map'!$E$2:$E$668,"Nationwide")</f>
        <v>0</v>
      </c>
      <c r="V568" s="15" t="n">
        <f aca="false">COUNTIFS('Page-Keyword Map'!$A$2:$A$668,B568,'Page-Keyword Map'!$E$2:$E$668,"Provincial")</f>
        <v>0</v>
      </c>
      <c r="W568" s="15" t="n">
        <f aca="false">COUNTIFS('Page-Keyword Map'!$A$2:$A$668,B568,'Page-Keyword Map'!$E$2:$E$668,"City")</f>
        <v>1</v>
      </c>
      <c r="X568" s="15" t="str">
        <f aca="false">IF(O568="","",IF(ISNUMBER(SEARCH(O568,J568)),"Yes","No"))</f>
        <v>Yes</v>
      </c>
      <c r="Y568" s="15" t="n">
        <v>0.5</v>
      </c>
      <c r="Z568" s="15" t="s">
        <v>216</v>
      </c>
      <c r="AA568" s="15" t="s">
        <v>217</v>
      </c>
      <c r="AB568" s="17"/>
      <c r="AC568" s="17"/>
    </row>
    <row r="569" customFormat="false" ht="23.85" hidden="false" customHeight="false" outlineLevel="0" collapsed="false">
      <c r="A569" s="15" t="s">
        <v>3616</v>
      </c>
      <c r="B569" s="15" t="s">
        <v>3617</v>
      </c>
      <c r="C569" s="15" t="s">
        <v>2076</v>
      </c>
      <c r="D569" s="15" t="s">
        <v>74</v>
      </c>
      <c r="E569" s="15" t="s">
        <v>321</v>
      </c>
      <c r="F569" s="15"/>
      <c r="G569" s="15" t="s">
        <v>673</v>
      </c>
      <c r="H569" s="15" t="s">
        <v>2183</v>
      </c>
      <c r="I569" s="15" t="s">
        <v>126</v>
      </c>
      <c r="J569" s="3" t="s">
        <v>3618</v>
      </c>
      <c r="K569" s="15" t="n">
        <f aca="false">LEN(J569)</f>
        <v>58</v>
      </c>
      <c r="L569" s="3" t="s">
        <v>3619</v>
      </c>
      <c r="M569" s="15" t="n">
        <f aca="false">LEN(L569)</f>
        <v>141</v>
      </c>
      <c r="N569" s="3" t="s">
        <v>3620</v>
      </c>
      <c r="O569" s="15" t="s">
        <v>3621</v>
      </c>
      <c r="P569" s="16" t="n">
        <v>310</v>
      </c>
      <c r="Q569" s="15" t="s">
        <v>104</v>
      </c>
      <c r="R569" s="15"/>
      <c r="S569" s="15" t="n">
        <f aca="false">COUNTIF('Page-Keyword Map'!$A$2:$A$668,B569)</f>
        <v>1</v>
      </c>
      <c r="T569" s="16" t="n">
        <f aca="false">SUMIF('Page-Keyword Map'!$A$2:$A$668,B569,'Page-Keyword Map'!$H$2:$H$668)</f>
        <v>310</v>
      </c>
      <c r="U569" s="15" t="n">
        <f aca="false">COUNTIFS('Page-Keyword Map'!$A$2:$A$668,B569,'Page-Keyword Map'!$E$2:$E$668,"Nationwide")</f>
        <v>0</v>
      </c>
      <c r="V569" s="15" t="n">
        <f aca="false">COUNTIFS('Page-Keyword Map'!$A$2:$A$668,B569,'Page-Keyword Map'!$E$2:$E$668,"Provincial")</f>
        <v>0</v>
      </c>
      <c r="W569" s="15" t="n">
        <f aca="false">COUNTIFS('Page-Keyword Map'!$A$2:$A$668,B569,'Page-Keyword Map'!$E$2:$E$668,"City")</f>
        <v>1</v>
      </c>
      <c r="X569" s="15" t="str">
        <f aca="false">IF(O569="","",IF(ISNUMBER(SEARCH(O569,J569)),"Yes","No"))</f>
        <v>Yes</v>
      </c>
      <c r="Y569" s="15" t="n">
        <v>0.7</v>
      </c>
      <c r="Z569" s="15" t="s">
        <v>2089</v>
      </c>
      <c r="AA569" s="15" t="s">
        <v>131</v>
      </c>
      <c r="AB569" s="17"/>
      <c r="AC569" s="17"/>
    </row>
    <row r="570" customFormat="false" ht="23.85" hidden="false" customHeight="false" outlineLevel="0" collapsed="false">
      <c r="A570" s="15" t="s">
        <v>3622</v>
      </c>
      <c r="B570" s="15" t="s">
        <v>3623</v>
      </c>
      <c r="C570" s="15" t="s">
        <v>2076</v>
      </c>
      <c r="D570" s="15" t="s">
        <v>74</v>
      </c>
      <c r="E570" s="15" t="s">
        <v>321</v>
      </c>
      <c r="F570" s="15"/>
      <c r="G570" s="15" t="s">
        <v>680</v>
      </c>
      <c r="H570" s="15" t="s">
        <v>2190</v>
      </c>
      <c r="I570" s="15" t="s">
        <v>211</v>
      </c>
      <c r="J570" s="3" t="s">
        <v>3624</v>
      </c>
      <c r="K570" s="15" t="n">
        <f aca="false">LEN(J570)</f>
        <v>61</v>
      </c>
      <c r="L570" s="3" t="s">
        <v>3625</v>
      </c>
      <c r="M570" s="15" t="n">
        <f aca="false">LEN(L570)</f>
        <v>149</v>
      </c>
      <c r="N570" s="3" t="s">
        <v>3626</v>
      </c>
      <c r="O570" s="15" t="s">
        <v>3627</v>
      </c>
      <c r="P570" s="16" t="n">
        <v>42</v>
      </c>
      <c r="Q570" s="15" t="s">
        <v>104</v>
      </c>
      <c r="R570" s="15"/>
      <c r="S570" s="15" t="n">
        <f aca="false">COUNTIF('Page-Keyword Map'!$A$2:$A$668,B570)</f>
        <v>1</v>
      </c>
      <c r="T570" s="16" t="n">
        <f aca="false">SUMIF('Page-Keyword Map'!$A$2:$A$668,B570,'Page-Keyword Map'!$H$2:$H$668)</f>
        <v>42</v>
      </c>
      <c r="U570" s="15" t="n">
        <f aca="false">COUNTIFS('Page-Keyword Map'!$A$2:$A$668,B570,'Page-Keyword Map'!$E$2:$E$668,"Nationwide")</f>
        <v>0</v>
      </c>
      <c r="V570" s="15" t="n">
        <f aca="false">COUNTIFS('Page-Keyword Map'!$A$2:$A$668,B570,'Page-Keyword Map'!$E$2:$E$668,"Provincial")</f>
        <v>0</v>
      </c>
      <c r="W570" s="15" t="n">
        <f aca="false">COUNTIFS('Page-Keyword Map'!$A$2:$A$668,B570,'Page-Keyword Map'!$E$2:$E$668,"City")</f>
        <v>1</v>
      </c>
      <c r="X570" s="15" t="str">
        <f aca="false">IF(O570="","",IF(ISNUMBER(SEARCH(O570,J570)),"Yes","No"))</f>
        <v>Yes</v>
      </c>
      <c r="Y570" s="15" t="n">
        <v>0.5</v>
      </c>
      <c r="Z570" s="15" t="s">
        <v>216</v>
      </c>
      <c r="AA570" s="15" t="s">
        <v>217</v>
      </c>
      <c r="AB570" s="17"/>
      <c r="AC570" s="17"/>
    </row>
    <row r="571" customFormat="false" ht="23.85" hidden="false" customHeight="false" outlineLevel="0" collapsed="false">
      <c r="A571" s="15" t="s">
        <v>3628</v>
      </c>
      <c r="B571" s="15" t="s">
        <v>3629</v>
      </c>
      <c r="C571" s="15" t="s">
        <v>2076</v>
      </c>
      <c r="D571" s="15" t="s">
        <v>74</v>
      </c>
      <c r="E571" s="15" t="s">
        <v>321</v>
      </c>
      <c r="F571" s="15"/>
      <c r="G571" s="15" t="s">
        <v>680</v>
      </c>
      <c r="H571" s="15" t="s">
        <v>2197</v>
      </c>
      <c r="I571" s="15" t="s">
        <v>211</v>
      </c>
      <c r="J571" s="3" t="s">
        <v>3630</v>
      </c>
      <c r="K571" s="15" t="n">
        <f aca="false">LEN(J571)</f>
        <v>57</v>
      </c>
      <c r="L571" s="3" t="s">
        <v>3631</v>
      </c>
      <c r="M571" s="15" t="n">
        <f aca="false">LEN(L571)</f>
        <v>145</v>
      </c>
      <c r="N571" s="3" t="s">
        <v>3632</v>
      </c>
      <c r="O571" s="15" t="s">
        <v>3633</v>
      </c>
      <c r="P571" s="16" t="n">
        <v>51</v>
      </c>
      <c r="Q571" s="15" t="s">
        <v>104</v>
      </c>
      <c r="R571" s="15"/>
      <c r="S571" s="15" t="n">
        <f aca="false">COUNTIF('Page-Keyword Map'!$A$2:$A$668,B571)</f>
        <v>1</v>
      </c>
      <c r="T571" s="16" t="n">
        <f aca="false">SUMIF('Page-Keyword Map'!$A$2:$A$668,B571,'Page-Keyword Map'!$H$2:$H$668)</f>
        <v>51</v>
      </c>
      <c r="U571" s="15" t="n">
        <f aca="false">COUNTIFS('Page-Keyword Map'!$A$2:$A$668,B571,'Page-Keyword Map'!$E$2:$E$668,"Nationwide")</f>
        <v>0</v>
      </c>
      <c r="V571" s="15" t="n">
        <f aca="false">COUNTIFS('Page-Keyword Map'!$A$2:$A$668,B571,'Page-Keyword Map'!$E$2:$E$668,"Provincial")</f>
        <v>0</v>
      </c>
      <c r="W571" s="15" t="n">
        <f aca="false">COUNTIFS('Page-Keyword Map'!$A$2:$A$668,B571,'Page-Keyword Map'!$E$2:$E$668,"City")</f>
        <v>1</v>
      </c>
      <c r="X571" s="15" t="str">
        <f aca="false">IF(O571="","",IF(ISNUMBER(SEARCH(O571,J571)),"Yes","No"))</f>
        <v>Yes</v>
      </c>
      <c r="Y571" s="15" t="n">
        <v>0.5</v>
      </c>
      <c r="Z571" s="15" t="s">
        <v>216</v>
      </c>
      <c r="AA571" s="15" t="s">
        <v>217</v>
      </c>
      <c r="AB571" s="17"/>
      <c r="AC571" s="17"/>
    </row>
    <row r="572" customFormat="false" ht="23.85" hidden="false" customHeight="false" outlineLevel="0" collapsed="false">
      <c r="A572" s="15" t="s">
        <v>3634</v>
      </c>
      <c r="B572" s="15" t="s">
        <v>3635</v>
      </c>
      <c r="C572" s="15" t="s">
        <v>2076</v>
      </c>
      <c r="D572" s="15" t="s">
        <v>74</v>
      </c>
      <c r="E572" s="15" t="s">
        <v>321</v>
      </c>
      <c r="F572" s="15"/>
      <c r="G572" s="15" t="s">
        <v>680</v>
      </c>
      <c r="H572" s="15" t="s">
        <v>2204</v>
      </c>
      <c r="I572" s="15" t="s">
        <v>211</v>
      </c>
      <c r="J572" s="3" t="s">
        <v>3636</v>
      </c>
      <c r="K572" s="15" t="n">
        <f aca="false">LEN(J572)</f>
        <v>60</v>
      </c>
      <c r="L572" s="3" t="s">
        <v>3637</v>
      </c>
      <c r="M572" s="15" t="n">
        <f aca="false">LEN(L572)</f>
        <v>148</v>
      </c>
      <c r="N572" s="3" t="s">
        <v>3638</v>
      </c>
      <c r="O572" s="15" t="s">
        <v>3639</v>
      </c>
      <c r="P572" s="16" t="n">
        <v>46</v>
      </c>
      <c r="Q572" s="15" t="s">
        <v>104</v>
      </c>
      <c r="R572" s="15"/>
      <c r="S572" s="15" t="n">
        <f aca="false">COUNTIF('Page-Keyword Map'!$A$2:$A$668,B572)</f>
        <v>1</v>
      </c>
      <c r="T572" s="16" t="n">
        <f aca="false">SUMIF('Page-Keyword Map'!$A$2:$A$668,B572,'Page-Keyword Map'!$H$2:$H$668)</f>
        <v>46</v>
      </c>
      <c r="U572" s="15" t="n">
        <f aca="false">COUNTIFS('Page-Keyword Map'!$A$2:$A$668,B572,'Page-Keyword Map'!$E$2:$E$668,"Nationwide")</f>
        <v>0</v>
      </c>
      <c r="V572" s="15" t="n">
        <f aca="false">COUNTIFS('Page-Keyword Map'!$A$2:$A$668,B572,'Page-Keyword Map'!$E$2:$E$668,"Provincial")</f>
        <v>0</v>
      </c>
      <c r="W572" s="15" t="n">
        <f aca="false">COUNTIFS('Page-Keyword Map'!$A$2:$A$668,B572,'Page-Keyword Map'!$E$2:$E$668,"City")</f>
        <v>1</v>
      </c>
      <c r="X572" s="15" t="str">
        <f aca="false">IF(O572="","",IF(ISNUMBER(SEARCH(O572,J572)),"Yes","No"))</f>
        <v>Yes</v>
      </c>
      <c r="Y572" s="15" t="n">
        <v>0.5</v>
      </c>
      <c r="Z572" s="15" t="s">
        <v>216</v>
      </c>
      <c r="AA572" s="15" t="s">
        <v>217</v>
      </c>
      <c r="AB572" s="17"/>
      <c r="AC572" s="17"/>
    </row>
    <row r="573" customFormat="false" ht="23.85" hidden="false" customHeight="false" outlineLevel="0" collapsed="false">
      <c r="A573" s="15" t="s">
        <v>3640</v>
      </c>
      <c r="B573" s="15" t="s">
        <v>3641</v>
      </c>
      <c r="C573" s="15" t="s">
        <v>2076</v>
      </c>
      <c r="D573" s="15" t="s">
        <v>74</v>
      </c>
      <c r="E573" s="15" t="s">
        <v>321</v>
      </c>
      <c r="F573" s="15"/>
      <c r="G573" s="15" t="s">
        <v>687</v>
      </c>
      <c r="H573" s="15" t="s">
        <v>2211</v>
      </c>
      <c r="I573" s="15" t="s">
        <v>126</v>
      </c>
      <c r="J573" s="3" t="s">
        <v>3642</v>
      </c>
      <c r="K573" s="15" t="n">
        <f aca="false">LEN(J573)</f>
        <v>60</v>
      </c>
      <c r="L573" s="3" t="s">
        <v>3643</v>
      </c>
      <c r="M573" s="15" t="n">
        <f aca="false">LEN(L573)</f>
        <v>160</v>
      </c>
      <c r="N573" s="3" t="s">
        <v>3644</v>
      </c>
      <c r="O573" s="15" t="s">
        <v>3645</v>
      </c>
      <c r="P573" s="16" t="n">
        <v>66</v>
      </c>
      <c r="Q573" s="15" t="s">
        <v>104</v>
      </c>
      <c r="R573" s="15"/>
      <c r="S573" s="15" t="n">
        <f aca="false">COUNTIF('Page-Keyword Map'!$A$2:$A$668,B573)</f>
        <v>1</v>
      </c>
      <c r="T573" s="16" t="n">
        <f aca="false">SUMIF('Page-Keyword Map'!$A$2:$A$668,B573,'Page-Keyword Map'!$H$2:$H$668)</f>
        <v>66</v>
      </c>
      <c r="U573" s="15" t="n">
        <f aca="false">COUNTIFS('Page-Keyword Map'!$A$2:$A$668,B573,'Page-Keyword Map'!$E$2:$E$668,"Nationwide")</f>
        <v>0</v>
      </c>
      <c r="V573" s="15" t="n">
        <f aca="false">COUNTIFS('Page-Keyword Map'!$A$2:$A$668,B573,'Page-Keyword Map'!$E$2:$E$668,"Provincial")</f>
        <v>0</v>
      </c>
      <c r="W573" s="15" t="n">
        <f aca="false">COUNTIFS('Page-Keyword Map'!$A$2:$A$668,B573,'Page-Keyword Map'!$E$2:$E$668,"City")</f>
        <v>1</v>
      </c>
      <c r="X573" s="15" t="str">
        <f aca="false">IF(O573="","",IF(ISNUMBER(SEARCH(O573,J573)),"Yes","No"))</f>
        <v>No</v>
      </c>
      <c r="Y573" s="15" t="n">
        <v>0.7</v>
      </c>
      <c r="Z573" s="15" t="s">
        <v>2089</v>
      </c>
      <c r="AA573" s="15" t="s">
        <v>131</v>
      </c>
      <c r="AB573" s="17"/>
      <c r="AC573" s="17"/>
    </row>
    <row r="574" customFormat="false" ht="23.85" hidden="false" customHeight="false" outlineLevel="0" collapsed="false">
      <c r="A574" s="15" t="s">
        <v>3646</v>
      </c>
      <c r="B574" s="15" t="s">
        <v>3647</v>
      </c>
      <c r="C574" s="15" t="s">
        <v>2076</v>
      </c>
      <c r="D574" s="15" t="s">
        <v>74</v>
      </c>
      <c r="E574" s="15" t="s">
        <v>321</v>
      </c>
      <c r="F574" s="15"/>
      <c r="G574" s="15" t="s">
        <v>694</v>
      </c>
      <c r="H574" s="15" t="s">
        <v>2218</v>
      </c>
      <c r="I574" s="15" t="s">
        <v>211</v>
      </c>
      <c r="J574" s="3" t="s">
        <v>3648</v>
      </c>
      <c r="K574" s="15" t="n">
        <f aca="false">LEN(J574)</f>
        <v>61</v>
      </c>
      <c r="L574" s="3" t="s">
        <v>3649</v>
      </c>
      <c r="M574" s="15" t="n">
        <f aca="false">LEN(L574)</f>
        <v>158</v>
      </c>
      <c r="N574" s="3" t="s">
        <v>3650</v>
      </c>
      <c r="O574" s="15"/>
      <c r="P574" s="16"/>
      <c r="Q574" s="15"/>
      <c r="R574" s="15" t="s">
        <v>3651</v>
      </c>
      <c r="S574" s="15" t="n">
        <f aca="false">COUNTIF('Page-Keyword Map'!$A$2:$A$668,B574)</f>
        <v>0</v>
      </c>
      <c r="T574" s="16" t="n">
        <f aca="false">SUMIF('Page-Keyword Map'!$A$2:$A$668,B574,'Page-Keyword Map'!$H$2:$H$668)</f>
        <v>0</v>
      </c>
      <c r="U574" s="15" t="n">
        <f aca="false">COUNTIFS('Page-Keyword Map'!$A$2:$A$668,B574,'Page-Keyword Map'!$E$2:$E$668,"Nationwide")</f>
        <v>0</v>
      </c>
      <c r="V574" s="15" t="n">
        <f aca="false">COUNTIFS('Page-Keyword Map'!$A$2:$A$668,B574,'Page-Keyword Map'!$E$2:$E$668,"Provincial")</f>
        <v>0</v>
      </c>
      <c r="W574" s="15" t="n">
        <f aca="false">COUNTIFS('Page-Keyword Map'!$A$2:$A$668,B574,'Page-Keyword Map'!$E$2:$E$668,"City")</f>
        <v>0</v>
      </c>
      <c r="X574" s="15" t="str">
        <f aca="false">IF(O574="","",IF(ISNUMBER(SEARCH(O574,J574)),"Yes","No"))</f>
        <v/>
      </c>
      <c r="Y574" s="15" t="n">
        <v>0.5</v>
      </c>
      <c r="Z574" s="15" t="s">
        <v>216</v>
      </c>
      <c r="AA574" s="15" t="s">
        <v>217</v>
      </c>
      <c r="AB574" s="17"/>
      <c r="AC574" s="17"/>
    </row>
    <row r="575" customFormat="false" ht="23.85" hidden="false" customHeight="false" outlineLevel="0" collapsed="false">
      <c r="A575" s="15" t="s">
        <v>3652</v>
      </c>
      <c r="B575" s="15" t="s">
        <v>3653</v>
      </c>
      <c r="C575" s="15" t="s">
        <v>2076</v>
      </c>
      <c r="D575" s="15" t="s">
        <v>74</v>
      </c>
      <c r="E575" s="15" t="s">
        <v>321</v>
      </c>
      <c r="F575" s="15"/>
      <c r="G575" s="15" t="s">
        <v>701</v>
      </c>
      <c r="H575" s="15" t="s">
        <v>2225</v>
      </c>
      <c r="I575" s="15" t="s">
        <v>126</v>
      </c>
      <c r="J575" s="3" t="s">
        <v>3654</v>
      </c>
      <c r="K575" s="15" t="n">
        <f aca="false">LEN(J575)</f>
        <v>57</v>
      </c>
      <c r="L575" s="3" t="s">
        <v>3655</v>
      </c>
      <c r="M575" s="15" t="n">
        <f aca="false">LEN(L575)</f>
        <v>143</v>
      </c>
      <c r="N575" s="3" t="s">
        <v>3656</v>
      </c>
      <c r="O575" s="15" t="s">
        <v>3657</v>
      </c>
      <c r="P575" s="16" t="n">
        <v>200</v>
      </c>
      <c r="Q575" s="15" t="s">
        <v>104</v>
      </c>
      <c r="R575" s="15"/>
      <c r="S575" s="15" t="n">
        <f aca="false">COUNTIF('Page-Keyword Map'!$A$2:$A$668,B575)</f>
        <v>1</v>
      </c>
      <c r="T575" s="16" t="n">
        <f aca="false">SUMIF('Page-Keyword Map'!$A$2:$A$668,B575,'Page-Keyword Map'!$H$2:$H$668)</f>
        <v>200</v>
      </c>
      <c r="U575" s="15" t="n">
        <f aca="false">COUNTIFS('Page-Keyword Map'!$A$2:$A$668,B575,'Page-Keyword Map'!$E$2:$E$668,"Nationwide")</f>
        <v>0</v>
      </c>
      <c r="V575" s="15" t="n">
        <f aca="false">COUNTIFS('Page-Keyword Map'!$A$2:$A$668,B575,'Page-Keyword Map'!$E$2:$E$668,"Provincial")</f>
        <v>0</v>
      </c>
      <c r="W575" s="15" t="n">
        <f aca="false">COUNTIFS('Page-Keyword Map'!$A$2:$A$668,B575,'Page-Keyword Map'!$E$2:$E$668,"City")</f>
        <v>1</v>
      </c>
      <c r="X575" s="15" t="str">
        <f aca="false">IF(O575="","",IF(ISNUMBER(SEARCH(O575,J575)),"Yes","No"))</f>
        <v>Yes</v>
      </c>
      <c r="Y575" s="15" t="n">
        <v>0.7</v>
      </c>
      <c r="Z575" s="15" t="s">
        <v>2089</v>
      </c>
      <c r="AA575" s="15" t="s">
        <v>131</v>
      </c>
      <c r="AB575" s="17"/>
      <c r="AC575" s="17"/>
    </row>
    <row r="576" customFormat="false" ht="23.85" hidden="false" customHeight="false" outlineLevel="0" collapsed="false">
      <c r="A576" s="15" t="s">
        <v>3658</v>
      </c>
      <c r="B576" s="15" t="s">
        <v>3659</v>
      </c>
      <c r="C576" s="15" t="s">
        <v>2076</v>
      </c>
      <c r="D576" s="15" t="s">
        <v>74</v>
      </c>
      <c r="E576" s="15" t="s">
        <v>321</v>
      </c>
      <c r="F576" s="15"/>
      <c r="G576" s="15" t="s">
        <v>715</v>
      </c>
      <c r="H576" s="15" t="s">
        <v>2232</v>
      </c>
      <c r="I576" s="15" t="s">
        <v>211</v>
      </c>
      <c r="J576" s="3" t="s">
        <v>3660</v>
      </c>
      <c r="K576" s="15" t="n">
        <f aca="false">LEN(J576)</f>
        <v>54</v>
      </c>
      <c r="L576" s="3" t="s">
        <v>3661</v>
      </c>
      <c r="M576" s="15" t="n">
        <f aca="false">LEN(L576)</f>
        <v>136</v>
      </c>
      <c r="N576" s="3" t="s">
        <v>3662</v>
      </c>
      <c r="O576" s="15" t="s">
        <v>3663</v>
      </c>
      <c r="P576" s="16" t="n">
        <v>74</v>
      </c>
      <c r="Q576" s="15" t="s">
        <v>104</v>
      </c>
      <c r="R576" s="15"/>
      <c r="S576" s="15" t="n">
        <f aca="false">COUNTIF('Page-Keyword Map'!$A$2:$A$668,B576)</f>
        <v>1</v>
      </c>
      <c r="T576" s="16" t="n">
        <f aca="false">SUMIF('Page-Keyword Map'!$A$2:$A$668,B576,'Page-Keyword Map'!$H$2:$H$668)</f>
        <v>74</v>
      </c>
      <c r="U576" s="15" t="n">
        <f aca="false">COUNTIFS('Page-Keyword Map'!$A$2:$A$668,B576,'Page-Keyword Map'!$E$2:$E$668,"Nationwide")</f>
        <v>0</v>
      </c>
      <c r="V576" s="15" t="n">
        <f aca="false">COUNTIFS('Page-Keyword Map'!$A$2:$A$668,B576,'Page-Keyword Map'!$E$2:$E$668,"Provincial")</f>
        <v>0</v>
      </c>
      <c r="W576" s="15" t="n">
        <f aca="false">COUNTIFS('Page-Keyword Map'!$A$2:$A$668,B576,'Page-Keyword Map'!$E$2:$E$668,"City")</f>
        <v>1</v>
      </c>
      <c r="X576" s="15" t="str">
        <f aca="false">IF(O576="","",IF(ISNUMBER(SEARCH(O576,J576)),"Yes","No"))</f>
        <v>Yes</v>
      </c>
      <c r="Y576" s="15" t="n">
        <v>0.5</v>
      </c>
      <c r="Z576" s="15" t="s">
        <v>216</v>
      </c>
      <c r="AA576" s="15" t="s">
        <v>217</v>
      </c>
      <c r="AB576" s="17"/>
      <c r="AC576" s="17"/>
    </row>
    <row r="577" customFormat="false" ht="23.85" hidden="false" customHeight="false" outlineLevel="0" collapsed="false">
      <c r="A577" s="15" t="s">
        <v>3664</v>
      </c>
      <c r="B577" s="15" t="s">
        <v>3665</v>
      </c>
      <c r="C577" s="15" t="s">
        <v>2076</v>
      </c>
      <c r="D577" s="15" t="s">
        <v>74</v>
      </c>
      <c r="E577" s="15" t="s">
        <v>321</v>
      </c>
      <c r="F577" s="15"/>
      <c r="G577" s="15" t="s">
        <v>715</v>
      </c>
      <c r="H577" s="15" t="s">
        <v>2239</v>
      </c>
      <c r="I577" s="15" t="s">
        <v>211</v>
      </c>
      <c r="J577" s="3" t="s">
        <v>3666</v>
      </c>
      <c r="K577" s="15" t="n">
        <f aca="false">LEN(J577)</f>
        <v>56</v>
      </c>
      <c r="L577" s="3" t="s">
        <v>3667</v>
      </c>
      <c r="M577" s="15" t="n">
        <f aca="false">LEN(L577)</f>
        <v>138</v>
      </c>
      <c r="N577" s="3" t="s">
        <v>3668</v>
      </c>
      <c r="O577" s="15" t="s">
        <v>3669</v>
      </c>
      <c r="P577" s="16" t="n">
        <v>83</v>
      </c>
      <c r="Q577" s="15" t="s">
        <v>104</v>
      </c>
      <c r="R577" s="15"/>
      <c r="S577" s="15" t="n">
        <f aca="false">COUNTIF('Page-Keyword Map'!$A$2:$A$668,B577)</f>
        <v>1</v>
      </c>
      <c r="T577" s="16" t="n">
        <f aca="false">SUMIF('Page-Keyword Map'!$A$2:$A$668,B577,'Page-Keyword Map'!$H$2:$H$668)</f>
        <v>83</v>
      </c>
      <c r="U577" s="15" t="n">
        <f aca="false">COUNTIFS('Page-Keyword Map'!$A$2:$A$668,B577,'Page-Keyword Map'!$E$2:$E$668,"Nationwide")</f>
        <v>0</v>
      </c>
      <c r="V577" s="15" t="n">
        <f aca="false">COUNTIFS('Page-Keyword Map'!$A$2:$A$668,B577,'Page-Keyword Map'!$E$2:$E$668,"Provincial")</f>
        <v>0</v>
      </c>
      <c r="W577" s="15" t="n">
        <f aca="false">COUNTIFS('Page-Keyword Map'!$A$2:$A$668,B577,'Page-Keyword Map'!$E$2:$E$668,"City")</f>
        <v>1</v>
      </c>
      <c r="X577" s="15" t="str">
        <f aca="false">IF(O577="","",IF(ISNUMBER(SEARCH(O577,J577)),"Yes","No"))</f>
        <v>Yes</v>
      </c>
      <c r="Y577" s="15" t="n">
        <v>0.5</v>
      </c>
      <c r="Z577" s="15" t="s">
        <v>216</v>
      </c>
      <c r="AA577" s="15" t="s">
        <v>217</v>
      </c>
      <c r="AB577" s="17"/>
      <c r="AC577" s="17"/>
    </row>
    <row r="578" customFormat="false" ht="23.85" hidden="false" customHeight="false" outlineLevel="0" collapsed="false">
      <c r="A578" s="15" t="s">
        <v>3670</v>
      </c>
      <c r="B578" s="15" t="s">
        <v>3671</v>
      </c>
      <c r="C578" s="15" t="s">
        <v>2076</v>
      </c>
      <c r="D578" s="15" t="s">
        <v>74</v>
      </c>
      <c r="E578" s="15" t="s">
        <v>321</v>
      </c>
      <c r="F578" s="15"/>
      <c r="G578" s="15" t="s">
        <v>715</v>
      </c>
      <c r="H578" s="15" t="s">
        <v>2246</v>
      </c>
      <c r="I578" s="15" t="s">
        <v>126</v>
      </c>
      <c r="J578" s="3" t="s">
        <v>3672</v>
      </c>
      <c r="K578" s="15" t="n">
        <f aca="false">LEN(J578)</f>
        <v>58</v>
      </c>
      <c r="L578" s="3" t="s">
        <v>3673</v>
      </c>
      <c r="M578" s="15" t="n">
        <f aca="false">LEN(L578)</f>
        <v>140</v>
      </c>
      <c r="N578" s="3" t="s">
        <v>3674</v>
      </c>
      <c r="O578" s="15" t="s">
        <v>3675</v>
      </c>
      <c r="P578" s="16" t="n">
        <v>270</v>
      </c>
      <c r="Q578" s="15" t="s">
        <v>104</v>
      </c>
      <c r="R578" s="15"/>
      <c r="S578" s="15" t="n">
        <f aca="false">COUNTIF('Page-Keyword Map'!$A$2:$A$668,B578)</f>
        <v>1</v>
      </c>
      <c r="T578" s="16" t="n">
        <f aca="false">SUMIF('Page-Keyword Map'!$A$2:$A$668,B578,'Page-Keyword Map'!$H$2:$H$668)</f>
        <v>270</v>
      </c>
      <c r="U578" s="15" t="n">
        <f aca="false">COUNTIFS('Page-Keyword Map'!$A$2:$A$668,B578,'Page-Keyword Map'!$E$2:$E$668,"Nationwide")</f>
        <v>0</v>
      </c>
      <c r="V578" s="15" t="n">
        <f aca="false">COUNTIFS('Page-Keyword Map'!$A$2:$A$668,B578,'Page-Keyword Map'!$E$2:$E$668,"Provincial")</f>
        <v>0</v>
      </c>
      <c r="W578" s="15" t="n">
        <f aca="false">COUNTIFS('Page-Keyword Map'!$A$2:$A$668,B578,'Page-Keyword Map'!$E$2:$E$668,"City")</f>
        <v>1</v>
      </c>
      <c r="X578" s="15" t="str">
        <f aca="false">IF(O578="","",IF(ISNUMBER(SEARCH(O578,J578)),"Yes","No"))</f>
        <v>Yes</v>
      </c>
      <c r="Y578" s="15" t="n">
        <v>0.7</v>
      </c>
      <c r="Z578" s="15" t="s">
        <v>2089</v>
      </c>
      <c r="AA578" s="15" t="s">
        <v>131</v>
      </c>
      <c r="AB578" s="17"/>
      <c r="AC578" s="17"/>
    </row>
    <row r="579" customFormat="false" ht="23.85" hidden="false" customHeight="false" outlineLevel="0" collapsed="false">
      <c r="A579" s="15" t="s">
        <v>3676</v>
      </c>
      <c r="B579" s="15" t="s">
        <v>3677</v>
      </c>
      <c r="C579" s="15" t="s">
        <v>2076</v>
      </c>
      <c r="D579" s="15" t="s">
        <v>74</v>
      </c>
      <c r="E579" s="15" t="s">
        <v>321</v>
      </c>
      <c r="F579" s="15"/>
      <c r="G579" s="15" t="s">
        <v>715</v>
      </c>
      <c r="H579" s="15" t="s">
        <v>2253</v>
      </c>
      <c r="I579" s="15" t="s">
        <v>211</v>
      </c>
      <c r="J579" s="3" t="s">
        <v>3678</v>
      </c>
      <c r="K579" s="15" t="n">
        <f aca="false">LEN(J579)</f>
        <v>60</v>
      </c>
      <c r="L579" s="3" t="s">
        <v>3679</v>
      </c>
      <c r="M579" s="15" t="n">
        <f aca="false">LEN(L579)</f>
        <v>142</v>
      </c>
      <c r="N579" s="3" t="s">
        <v>3680</v>
      </c>
      <c r="O579" s="15" t="s">
        <v>3681</v>
      </c>
      <c r="P579" s="16" t="n">
        <v>100</v>
      </c>
      <c r="Q579" s="15" t="s">
        <v>104</v>
      </c>
      <c r="R579" s="15"/>
      <c r="S579" s="15" t="n">
        <f aca="false">COUNTIF('Page-Keyword Map'!$A$2:$A$668,B579)</f>
        <v>1</v>
      </c>
      <c r="T579" s="16" t="n">
        <f aca="false">SUMIF('Page-Keyword Map'!$A$2:$A$668,B579,'Page-Keyword Map'!$H$2:$H$668)</f>
        <v>100</v>
      </c>
      <c r="U579" s="15" t="n">
        <f aca="false">COUNTIFS('Page-Keyword Map'!$A$2:$A$668,B579,'Page-Keyword Map'!$E$2:$E$668,"Nationwide")</f>
        <v>0</v>
      </c>
      <c r="V579" s="15" t="n">
        <f aca="false">COUNTIFS('Page-Keyword Map'!$A$2:$A$668,B579,'Page-Keyword Map'!$E$2:$E$668,"Provincial")</f>
        <v>0</v>
      </c>
      <c r="W579" s="15" t="n">
        <f aca="false">COUNTIFS('Page-Keyword Map'!$A$2:$A$668,B579,'Page-Keyword Map'!$E$2:$E$668,"City")</f>
        <v>1</v>
      </c>
      <c r="X579" s="15" t="str">
        <f aca="false">IF(O579="","",IF(ISNUMBER(SEARCH(O579,J579)),"Yes","No"))</f>
        <v>Yes</v>
      </c>
      <c r="Y579" s="15" t="n">
        <v>0.5</v>
      </c>
      <c r="Z579" s="15" t="s">
        <v>216</v>
      </c>
      <c r="AA579" s="15" t="s">
        <v>217</v>
      </c>
      <c r="AB579" s="17"/>
      <c r="AC579" s="17"/>
    </row>
    <row r="580" customFormat="false" ht="23.85" hidden="false" customHeight="false" outlineLevel="0" collapsed="false">
      <c r="A580" s="15" t="s">
        <v>3682</v>
      </c>
      <c r="B580" s="15" t="s">
        <v>3683</v>
      </c>
      <c r="C580" s="15" t="s">
        <v>2076</v>
      </c>
      <c r="D580" s="15" t="s">
        <v>74</v>
      </c>
      <c r="E580" s="15" t="s">
        <v>321</v>
      </c>
      <c r="F580" s="15"/>
      <c r="G580" s="15" t="s">
        <v>715</v>
      </c>
      <c r="H580" s="15" t="s">
        <v>2260</v>
      </c>
      <c r="I580" s="15" t="s">
        <v>211</v>
      </c>
      <c r="J580" s="3" t="s">
        <v>3684</v>
      </c>
      <c r="K580" s="15" t="n">
        <f aca="false">LEN(J580)</f>
        <v>59</v>
      </c>
      <c r="L580" s="3" t="s">
        <v>3685</v>
      </c>
      <c r="M580" s="15" t="n">
        <f aca="false">LEN(L580)</f>
        <v>141</v>
      </c>
      <c r="N580" s="3" t="s">
        <v>3686</v>
      </c>
      <c r="O580" s="15" t="s">
        <v>3687</v>
      </c>
      <c r="P580" s="16" t="n">
        <v>79</v>
      </c>
      <c r="Q580" s="15" t="s">
        <v>104</v>
      </c>
      <c r="R580" s="15"/>
      <c r="S580" s="15" t="n">
        <f aca="false">COUNTIF('Page-Keyword Map'!$A$2:$A$668,B580)</f>
        <v>1</v>
      </c>
      <c r="T580" s="16" t="n">
        <f aca="false">SUMIF('Page-Keyword Map'!$A$2:$A$668,B580,'Page-Keyword Map'!$H$2:$H$668)</f>
        <v>79</v>
      </c>
      <c r="U580" s="15" t="n">
        <f aca="false">COUNTIFS('Page-Keyword Map'!$A$2:$A$668,B580,'Page-Keyword Map'!$E$2:$E$668,"Nationwide")</f>
        <v>0</v>
      </c>
      <c r="V580" s="15" t="n">
        <f aca="false">COUNTIFS('Page-Keyword Map'!$A$2:$A$668,B580,'Page-Keyword Map'!$E$2:$E$668,"Provincial")</f>
        <v>0</v>
      </c>
      <c r="W580" s="15" t="n">
        <f aca="false">COUNTIFS('Page-Keyword Map'!$A$2:$A$668,B580,'Page-Keyword Map'!$E$2:$E$668,"City")</f>
        <v>1</v>
      </c>
      <c r="X580" s="15" t="str">
        <f aca="false">IF(O580="","",IF(ISNUMBER(SEARCH(O580,J580)),"Yes","No"))</f>
        <v>Yes</v>
      </c>
      <c r="Y580" s="15" t="n">
        <v>0.5</v>
      </c>
      <c r="Z580" s="15" t="s">
        <v>216</v>
      </c>
      <c r="AA580" s="15" t="s">
        <v>217</v>
      </c>
      <c r="AB580" s="17"/>
      <c r="AC580" s="17"/>
    </row>
    <row r="581" customFormat="false" ht="23.85" hidden="false" customHeight="false" outlineLevel="0" collapsed="false">
      <c r="A581" s="15" t="s">
        <v>3688</v>
      </c>
      <c r="B581" s="15" t="s">
        <v>3689</v>
      </c>
      <c r="C581" s="15" t="s">
        <v>2076</v>
      </c>
      <c r="D581" s="15" t="s">
        <v>74</v>
      </c>
      <c r="E581" s="15" t="s">
        <v>321</v>
      </c>
      <c r="F581" s="15"/>
      <c r="G581" s="15" t="s">
        <v>715</v>
      </c>
      <c r="H581" s="15" t="s">
        <v>2267</v>
      </c>
      <c r="I581" s="15" t="s">
        <v>211</v>
      </c>
      <c r="J581" s="3" t="s">
        <v>3690</v>
      </c>
      <c r="K581" s="15" t="n">
        <f aca="false">LEN(J581)</f>
        <v>56</v>
      </c>
      <c r="L581" s="3" t="s">
        <v>3691</v>
      </c>
      <c r="M581" s="15" t="n">
        <f aca="false">LEN(L581)</f>
        <v>138</v>
      </c>
      <c r="N581" s="3" t="s">
        <v>3692</v>
      </c>
      <c r="O581" s="15" t="s">
        <v>3693</v>
      </c>
      <c r="P581" s="16" t="n">
        <v>82</v>
      </c>
      <c r="Q581" s="15" t="s">
        <v>104</v>
      </c>
      <c r="R581" s="15"/>
      <c r="S581" s="15" t="n">
        <f aca="false">COUNTIF('Page-Keyword Map'!$A$2:$A$668,B581)</f>
        <v>1</v>
      </c>
      <c r="T581" s="16" t="n">
        <f aca="false">SUMIF('Page-Keyword Map'!$A$2:$A$668,B581,'Page-Keyword Map'!$H$2:$H$668)</f>
        <v>82</v>
      </c>
      <c r="U581" s="15" t="n">
        <f aca="false">COUNTIFS('Page-Keyword Map'!$A$2:$A$668,B581,'Page-Keyword Map'!$E$2:$E$668,"Nationwide")</f>
        <v>0</v>
      </c>
      <c r="V581" s="15" t="n">
        <f aca="false">COUNTIFS('Page-Keyword Map'!$A$2:$A$668,B581,'Page-Keyword Map'!$E$2:$E$668,"Provincial")</f>
        <v>0</v>
      </c>
      <c r="W581" s="15" t="n">
        <f aca="false">COUNTIFS('Page-Keyword Map'!$A$2:$A$668,B581,'Page-Keyword Map'!$E$2:$E$668,"City")</f>
        <v>1</v>
      </c>
      <c r="X581" s="15" t="str">
        <f aca="false">IF(O581="","",IF(ISNUMBER(SEARCH(O581,J581)),"Yes","No"))</f>
        <v>Yes</v>
      </c>
      <c r="Y581" s="15" t="n">
        <v>0.5</v>
      </c>
      <c r="Z581" s="15" t="s">
        <v>216</v>
      </c>
      <c r="AA581" s="15" t="s">
        <v>217</v>
      </c>
      <c r="AB581" s="17"/>
      <c r="AC581" s="17"/>
    </row>
    <row r="582" customFormat="false" ht="23.85" hidden="false" customHeight="false" outlineLevel="0" collapsed="false">
      <c r="A582" s="15" t="s">
        <v>3694</v>
      </c>
      <c r="B582" s="15" t="s">
        <v>3695</v>
      </c>
      <c r="C582" s="15" t="s">
        <v>2076</v>
      </c>
      <c r="D582" s="15" t="s">
        <v>74</v>
      </c>
      <c r="E582" s="15" t="s">
        <v>321</v>
      </c>
      <c r="F582" s="15"/>
      <c r="G582" s="15" t="s">
        <v>715</v>
      </c>
      <c r="H582" s="15" t="s">
        <v>2274</v>
      </c>
      <c r="I582" s="15" t="s">
        <v>126</v>
      </c>
      <c r="J582" s="3" t="s">
        <v>3696</v>
      </c>
      <c r="K582" s="15" t="n">
        <f aca="false">LEN(J582)</f>
        <v>58</v>
      </c>
      <c r="L582" s="3" t="s">
        <v>3697</v>
      </c>
      <c r="M582" s="15" t="n">
        <f aca="false">LEN(L582)</f>
        <v>140</v>
      </c>
      <c r="N582" s="3" t="s">
        <v>3698</v>
      </c>
      <c r="O582" s="15" t="s">
        <v>3699</v>
      </c>
      <c r="P582" s="16" t="n">
        <v>250</v>
      </c>
      <c r="Q582" s="15" t="s">
        <v>104</v>
      </c>
      <c r="R582" s="15"/>
      <c r="S582" s="15" t="n">
        <f aca="false">COUNTIF('Page-Keyword Map'!$A$2:$A$668,B582)</f>
        <v>1</v>
      </c>
      <c r="T582" s="16" t="n">
        <f aca="false">SUMIF('Page-Keyword Map'!$A$2:$A$668,B582,'Page-Keyword Map'!$H$2:$H$668)</f>
        <v>250</v>
      </c>
      <c r="U582" s="15" t="n">
        <f aca="false">COUNTIFS('Page-Keyword Map'!$A$2:$A$668,B582,'Page-Keyword Map'!$E$2:$E$668,"Nationwide")</f>
        <v>0</v>
      </c>
      <c r="V582" s="15" t="n">
        <f aca="false">COUNTIFS('Page-Keyword Map'!$A$2:$A$668,B582,'Page-Keyword Map'!$E$2:$E$668,"Provincial")</f>
        <v>0</v>
      </c>
      <c r="W582" s="15" t="n">
        <f aca="false">COUNTIFS('Page-Keyword Map'!$A$2:$A$668,B582,'Page-Keyword Map'!$E$2:$E$668,"City")</f>
        <v>1</v>
      </c>
      <c r="X582" s="15" t="str">
        <f aca="false">IF(O582="","",IF(ISNUMBER(SEARCH(O582,J582)),"Yes","No"))</f>
        <v>Yes</v>
      </c>
      <c r="Y582" s="15" t="n">
        <v>0.7</v>
      </c>
      <c r="Z582" s="15" t="s">
        <v>2089</v>
      </c>
      <c r="AA582" s="15" t="s">
        <v>131</v>
      </c>
      <c r="AB582" s="17"/>
      <c r="AC582" s="17"/>
    </row>
    <row r="583" customFormat="false" ht="23.85" hidden="false" customHeight="false" outlineLevel="0" collapsed="false">
      <c r="A583" s="15" t="s">
        <v>3700</v>
      </c>
      <c r="B583" s="15" t="s">
        <v>3701</v>
      </c>
      <c r="C583" s="15" t="s">
        <v>2076</v>
      </c>
      <c r="D583" s="15" t="s">
        <v>74</v>
      </c>
      <c r="E583" s="15" t="s">
        <v>321</v>
      </c>
      <c r="F583" s="15"/>
      <c r="G583" s="15" t="s">
        <v>715</v>
      </c>
      <c r="H583" s="15" t="s">
        <v>2281</v>
      </c>
      <c r="I583" s="15" t="s">
        <v>211</v>
      </c>
      <c r="J583" s="3" t="s">
        <v>3702</v>
      </c>
      <c r="K583" s="15" t="n">
        <f aca="false">LEN(J583)</f>
        <v>58</v>
      </c>
      <c r="L583" s="3" t="s">
        <v>3703</v>
      </c>
      <c r="M583" s="15" t="n">
        <f aca="false">LEN(L583)</f>
        <v>140</v>
      </c>
      <c r="N583" s="3" t="s">
        <v>3704</v>
      </c>
      <c r="O583" s="15" t="s">
        <v>3705</v>
      </c>
      <c r="P583" s="16" t="n">
        <v>76</v>
      </c>
      <c r="Q583" s="15" t="s">
        <v>104</v>
      </c>
      <c r="R583" s="15"/>
      <c r="S583" s="15" t="n">
        <f aca="false">COUNTIF('Page-Keyword Map'!$A$2:$A$668,B583)</f>
        <v>1</v>
      </c>
      <c r="T583" s="16" t="n">
        <f aca="false">SUMIF('Page-Keyword Map'!$A$2:$A$668,B583,'Page-Keyword Map'!$H$2:$H$668)</f>
        <v>76</v>
      </c>
      <c r="U583" s="15" t="n">
        <f aca="false">COUNTIFS('Page-Keyword Map'!$A$2:$A$668,B583,'Page-Keyword Map'!$E$2:$E$668,"Nationwide")</f>
        <v>0</v>
      </c>
      <c r="V583" s="15" t="n">
        <f aca="false">COUNTIFS('Page-Keyword Map'!$A$2:$A$668,B583,'Page-Keyword Map'!$E$2:$E$668,"Provincial")</f>
        <v>0</v>
      </c>
      <c r="W583" s="15" t="n">
        <f aca="false">COUNTIFS('Page-Keyword Map'!$A$2:$A$668,B583,'Page-Keyword Map'!$E$2:$E$668,"City")</f>
        <v>1</v>
      </c>
      <c r="X583" s="15" t="str">
        <f aca="false">IF(O583="","",IF(ISNUMBER(SEARCH(O583,J583)),"Yes","No"))</f>
        <v>Yes</v>
      </c>
      <c r="Y583" s="15" t="n">
        <v>0.5</v>
      </c>
      <c r="Z583" s="15" t="s">
        <v>216</v>
      </c>
      <c r="AA583" s="15" t="s">
        <v>217</v>
      </c>
      <c r="AB583" s="17"/>
      <c r="AC583" s="17"/>
    </row>
    <row r="584" customFormat="false" ht="23.85" hidden="false" customHeight="false" outlineLevel="0" collapsed="false">
      <c r="A584" s="15" t="s">
        <v>3706</v>
      </c>
      <c r="B584" s="15" t="s">
        <v>3707</v>
      </c>
      <c r="C584" s="15" t="s">
        <v>2076</v>
      </c>
      <c r="D584" s="15" t="s">
        <v>74</v>
      </c>
      <c r="E584" s="15" t="s">
        <v>321</v>
      </c>
      <c r="F584" s="15"/>
      <c r="G584" s="15" t="s">
        <v>715</v>
      </c>
      <c r="H584" s="15" t="s">
        <v>2288</v>
      </c>
      <c r="I584" s="15" t="s">
        <v>126</v>
      </c>
      <c r="J584" s="3" t="s">
        <v>3708</v>
      </c>
      <c r="K584" s="15" t="n">
        <f aca="false">LEN(J584)</f>
        <v>59</v>
      </c>
      <c r="L584" s="3" t="s">
        <v>3709</v>
      </c>
      <c r="M584" s="15" t="n">
        <f aca="false">LEN(L584)</f>
        <v>141</v>
      </c>
      <c r="N584" s="3" t="s">
        <v>3710</v>
      </c>
      <c r="O584" s="15" t="s">
        <v>3711</v>
      </c>
      <c r="P584" s="16" t="n">
        <v>130</v>
      </c>
      <c r="Q584" s="15" t="s">
        <v>104</v>
      </c>
      <c r="R584" s="15"/>
      <c r="S584" s="15" t="n">
        <f aca="false">COUNTIF('Page-Keyword Map'!$A$2:$A$668,B584)</f>
        <v>1</v>
      </c>
      <c r="T584" s="16" t="n">
        <f aca="false">SUMIF('Page-Keyword Map'!$A$2:$A$668,B584,'Page-Keyword Map'!$H$2:$H$668)</f>
        <v>130</v>
      </c>
      <c r="U584" s="15" t="n">
        <f aca="false">COUNTIFS('Page-Keyword Map'!$A$2:$A$668,B584,'Page-Keyword Map'!$E$2:$E$668,"Nationwide")</f>
        <v>0</v>
      </c>
      <c r="V584" s="15" t="n">
        <f aca="false">COUNTIFS('Page-Keyword Map'!$A$2:$A$668,B584,'Page-Keyword Map'!$E$2:$E$668,"Provincial")</f>
        <v>0</v>
      </c>
      <c r="W584" s="15" t="n">
        <f aca="false">COUNTIFS('Page-Keyword Map'!$A$2:$A$668,B584,'Page-Keyword Map'!$E$2:$E$668,"City")</f>
        <v>1</v>
      </c>
      <c r="X584" s="15" t="str">
        <f aca="false">IF(O584="","",IF(ISNUMBER(SEARCH(O584,J584)),"Yes","No"))</f>
        <v>Yes</v>
      </c>
      <c r="Y584" s="15" t="n">
        <v>0.7</v>
      </c>
      <c r="Z584" s="15" t="s">
        <v>2089</v>
      </c>
      <c r="AA584" s="15" t="s">
        <v>131</v>
      </c>
      <c r="AB584" s="17"/>
      <c r="AC584" s="17"/>
    </row>
    <row r="585" customFormat="false" ht="23.85" hidden="false" customHeight="false" outlineLevel="0" collapsed="false">
      <c r="A585" s="15" t="s">
        <v>3712</v>
      </c>
      <c r="B585" s="15" t="s">
        <v>3713</v>
      </c>
      <c r="C585" s="15" t="s">
        <v>2076</v>
      </c>
      <c r="D585" s="15" t="s">
        <v>74</v>
      </c>
      <c r="E585" s="15" t="s">
        <v>321</v>
      </c>
      <c r="F585" s="15"/>
      <c r="G585" s="15" t="s">
        <v>715</v>
      </c>
      <c r="H585" s="15" t="s">
        <v>2295</v>
      </c>
      <c r="I585" s="15" t="s">
        <v>126</v>
      </c>
      <c r="J585" s="3" t="s">
        <v>3714</v>
      </c>
      <c r="K585" s="15" t="n">
        <f aca="false">LEN(J585)</f>
        <v>56</v>
      </c>
      <c r="L585" s="3" t="s">
        <v>3715</v>
      </c>
      <c r="M585" s="15" t="n">
        <f aca="false">LEN(L585)</f>
        <v>138</v>
      </c>
      <c r="N585" s="3" t="s">
        <v>3716</v>
      </c>
      <c r="O585" s="15" t="s">
        <v>3717</v>
      </c>
      <c r="P585" s="16" t="n">
        <v>190</v>
      </c>
      <c r="Q585" s="15" t="s">
        <v>104</v>
      </c>
      <c r="R585" s="15"/>
      <c r="S585" s="15" t="n">
        <f aca="false">COUNTIF('Page-Keyword Map'!$A$2:$A$668,B585)</f>
        <v>1</v>
      </c>
      <c r="T585" s="16" t="n">
        <f aca="false">SUMIF('Page-Keyword Map'!$A$2:$A$668,B585,'Page-Keyword Map'!$H$2:$H$668)</f>
        <v>190</v>
      </c>
      <c r="U585" s="15" t="n">
        <f aca="false">COUNTIFS('Page-Keyword Map'!$A$2:$A$668,B585,'Page-Keyword Map'!$E$2:$E$668,"Nationwide")</f>
        <v>0</v>
      </c>
      <c r="V585" s="15" t="n">
        <f aca="false">COUNTIFS('Page-Keyword Map'!$A$2:$A$668,B585,'Page-Keyword Map'!$E$2:$E$668,"Provincial")</f>
        <v>0</v>
      </c>
      <c r="W585" s="15" t="n">
        <f aca="false">COUNTIFS('Page-Keyword Map'!$A$2:$A$668,B585,'Page-Keyword Map'!$E$2:$E$668,"City")</f>
        <v>1</v>
      </c>
      <c r="X585" s="15" t="str">
        <f aca="false">IF(O585="","",IF(ISNUMBER(SEARCH(O585,J585)),"Yes","No"))</f>
        <v>No</v>
      </c>
      <c r="Y585" s="15" t="n">
        <v>0.7</v>
      </c>
      <c r="Z585" s="15" t="s">
        <v>2089</v>
      </c>
      <c r="AA585" s="15" t="s">
        <v>131</v>
      </c>
      <c r="AB585" s="17"/>
      <c r="AC585" s="17"/>
    </row>
    <row r="586" customFormat="false" ht="23.85" hidden="false" customHeight="false" outlineLevel="0" collapsed="false">
      <c r="A586" s="15" t="s">
        <v>3718</v>
      </c>
      <c r="B586" s="15" t="s">
        <v>3719</v>
      </c>
      <c r="C586" s="15" t="s">
        <v>2076</v>
      </c>
      <c r="D586" s="15" t="s">
        <v>74</v>
      </c>
      <c r="E586" s="15" t="s">
        <v>321</v>
      </c>
      <c r="F586" s="15"/>
      <c r="G586" s="15" t="s">
        <v>715</v>
      </c>
      <c r="H586" s="15" t="s">
        <v>2302</v>
      </c>
      <c r="I586" s="15" t="s">
        <v>126</v>
      </c>
      <c r="J586" s="3" t="s">
        <v>3720</v>
      </c>
      <c r="K586" s="15" t="n">
        <f aca="false">LEN(J586)</f>
        <v>57</v>
      </c>
      <c r="L586" s="3" t="s">
        <v>3721</v>
      </c>
      <c r="M586" s="15" t="n">
        <f aca="false">LEN(L586)</f>
        <v>139</v>
      </c>
      <c r="N586" s="3" t="s">
        <v>3722</v>
      </c>
      <c r="O586" s="15" t="s">
        <v>3723</v>
      </c>
      <c r="P586" s="16" t="n">
        <v>160</v>
      </c>
      <c r="Q586" s="15" t="s">
        <v>104</v>
      </c>
      <c r="R586" s="15"/>
      <c r="S586" s="15" t="n">
        <f aca="false">COUNTIF('Page-Keyword Map'!$A$2:$A$668,B586)</f>
        <v>1</v>
      </c>
      <c r="T586" s="16" t="n">
        <f aca="false">SUMIF('Page-Keyword Map'!$A$2:$A$668,B586,'Page-Keyword Map'!$H$2:$H$668)</f>
        <v>160</v>
      </c>
      <c r="U586" s="15" t="n">
        <f aca="false">COUNTIFS('Page-Keyword Map'!$A$2:$A$668,B586,'Page-Keyword Map'!$E$2:$E$668,"Nationwide")</f>
        <v>0</v>
      </c>
      <c r="V586" s="15" t="n">
        <f aca="false">COUNTIFS('Page-Keyword Map'!$A$2:$A$668,B586,'Page-Keyword Map'!$E$2:$E$668,"Provincial")</f>
        <v>0</v>
      </c>
      <c r="W586" s="15" t="n">
        <f aca="false">COUNTIFS('Page-Keyword Map'!$A$2:$A$668,B586,'Page-Keyword Map'!$E$2:$E$668,"City")</f>
        <v>1</v>
      </c>
      <c r="X586" s="15" t="str">
        <f aca="false">IF(O586="","",IF(ISNUMBER(SEARCH(O586,J586)),"Yes","No"))</f>
        <v>Yes</v>
      </c>
      <c r="Y586" s="15" t="n">
        <v>0.7</v>
      </c>
      <c r="Z586" s="15" t="s">
        <v>2089</v>
      </c>
      <c r="AA586" s="15" t="s">
        <v>131</v>
      </c>
      <c r="AB586" s="17"/>
      <c r="AC586" s="17"/>
    </row>
    <row r="587" customFormat="false" ht="23.85" hidden="false" customHeight="false" outlineLevel="0" collapsed="false">
      <c r="A587" s="15" t="s">
        <v>3724</v>
      </c>
      <c r="B587" s="15" t="s">
        <v>3725</v>
      </c>
      <c r="C587" s="15" t="s">
        <v>2076</v>
      </c>
      <c r="D587" s="15" t="s">
        <v>74</v>
      </c>
      <c r="E587" s="15" t="s">
        <v>321</v>
      </c>
      <c r="F587" s="15"/>
      <c r="G587" s="15" t="s">
        <v>715</v>
      </c>
      <c r="H587" s="15" t="s">
        <v>2309</v>
      </c>
      <c r="I587" s="15" t="s">
        <v>211</v>
      </c>
      <c r="J587" s="3" t="s">
        <v>3726</v>
      </c>
      <c r="K587" s="15" t="n">
        <f aca="false">LEN(J587)</f>
        <v>56</v>
      </c>
      <c r="L587" s="3" t="s">
        <v>3727</v>
      </c>
      <c r="M587" s="15" t="n">
        <f aca="false">LEN(L587)</f>
        <v>138</v>
      </c>
      <c r="N587" s="3" t="s">
        <v>3728</v>
      </c>
      <c r="O587" s="15" t="s">
        <v>3729</v>
      </c>
      <c r="P587" s="16" t="n">
        <v>77</v>
      </c>
      <c r="Q587" s="15" t="s">
        <v>104</v>
      </c>
      <c r="R587" s="15"/>
      <c r="S587" s="15" t="n">
        <f aca="false">COUNTIF('Page-Keyword Map'!$A$2:$A$668,B587)</f>
        <v>1</v>
      </c>
      <c r="T587" s="16" t="n">
        <f aca="false">SUMIF('Page-Keyword Map'!$A$2:$A$668,B587,'Page-Keyword Map'!$H$2:$H$668)</f>
        <v>77</v>
      </c>
      <c r="U587" s="15" t="n">
        <f aca="false">COUNTIFS('Page-Keyword Map'!$A$2:$A$668,B587,'Page-Keyword Map'!$E$2:$E$668,"Nationwide")</f>
        <v>0</v>
      </c>
      <c r="V587" s="15" t="n">
        <f aca="false">COUNTIFS('Page-Keyword Map'!$A$2:$A$668,B587,'Page-Keyword Map'!$E$2:$E$668,"Provincial")</f>
        <v>0</v>
      </c>
      <c r="W587" s="15" t="n">
        <f aca="false">COUNTIFS('Page-Keyword Map'!$A$2:$A$668,B587,'Page-Keyword Map'!$E$2:$E$668,"City")</f>
        <v>1</v>
      </c>
      <c r="X587" s="15" t="str">
        <f aca="false">IF(O587="","",IF(ISNUMBER(SEARCH(O587,J587)),"Yes","No"))</f>
        <v>Yes</v>
      </c>
      <c r="Y587" s="15" t="n">
        <v>0.5</v>
      </c>
      <c r="Z587" s="15" t="s">
        <v>216</v>
      </c>
      <c r="AA587" s="15" t="s">
        <v>217</v>
      </c>
      <c r="AB587" s="17"/>
      <c r="AC587" s="17"/>
    </row>
    <row r="588" customFormat="false" ht="23.85" hidden="false" customHeight="false" outlineLevel="0" collapsed="false">
      <c r="A588" s="15" t="s">
        <v>3730</v>
      </c>
      <c r="B588" s="15" t="s">
        <v>3731</v>
      </c>
      <c r="C588" s="15" t="s">
        <v>2076</v>
      </c>
      <c r="D588" s="15" t="s">
        <v>74</v>
      </c>
      <c r="E588" s="15" t="s">
        <v>321</v>
      </c>
      <c r="F588" s="15"/>
      <c r="G588" s="15" t="s">
        <v>715</v>
      </c>
      <c r="H588" s="15" t="s">
        <v>2316</v>
      </c>
      <c r="I588" s="15" t="s">
        <v>126</v>
      </c>
      <c r="J588" s="3" t="s">
        <v>3732</v>
      </c>
      <c r="K588" s="15" t="n">
        <f aca="false">LEN(J588)</f>
        <v>61</v>
      </c>
      <c r="L588" s="3" t="s">
        <v>3733</v>
      </c>
      <c r="M588" s="15" t="n">
        <f aca="false">LEN(L588)</f>
        <v>143</v>
      </c>
      <c r="N588" s="3" t="s">
        <v>3734</v>
      </c>
      <c r="O588" s="15" t="s">
        <v>3735</v>
      </c>
      <c r="P588" s="16" t="n">
        <v>300</v>
      </c>
      <c r="Q588" s="15" t="s">
        <v>104</v>
      </c>
      <c r="R588" s="15"/>
      <c r="S588" s="15" t="n">
        <f aca="false">COUNTIF('Page-Keyword Map'!$A$2:$A$668,B588)</f>
        <v>1</v>
      </c>
      <c r="T588" s="16" t="n">
        <f aca="false">SUMIF('Page-Keyword Map'!$A$2:$A$668,B588,'Page-Keyword Map'!$H$2:$H$668)</f>
        <v>300</v>
      </c>
      <c r="U588" s="15" t="n">
        <f aca="false">COUNTIFS('Page-Keyword Map'!$A$2:$A$668,B588,'Page-Keyword Map'!$E$2:$E$668,"Nationwide")</f>
        <v>0</v>
      </c>
      <c r="V588" s="15" t="n">
        <f aca="false">COUNTIFS('Page-Keyword Map'!$A$2:$A$668,B588,'Page-Keyword Map'!$E$2:$E$668,"Provincial")</f>
        <v>0</v>
      </c>
      <c r="W588" s="15" t="n">
        <f aca="false">COUNTIFS('Page-Keyword Map'!$A$2:$A$668,B588,'Page-Keyword Map'!$E$2:$E$668,"City")</f>
        <v>1</v>
      </c>
      <c r="X588" s="15" t="str">
        <f aca="false">IF(O588="","",IF(ISNUMBER(SEARCH(O588,J588)),"Yes","No"))</f>
        <v>Yes</v>
      </c>
      <c r="Y588" s="15" t="n">
        <v>0.7</v>
      </c>
      <c r="Z588" s="15" t="s">
        <v>2089</v>
      </c>
      <c r="AA588" s="15" t="s">
        <v>131</v>
      </c>
      <c r="AB588" s="17"/>
      <c r="AC588" s="17"/>
    </row>
    <row r="589" customFormat="false" ht="23.85" hidden="false" customHeight="false" outlineLevel="0" collapsed="false">
      <c r="A589" s="15" t="s">
        <v>3736</v>
      </c>
      <c r="B589" s="15" t="s">
        <v>3737</v>
      </c>
      <c r="C589" s="15" t="s">
        <v>2076</v>
      </c>
      <c r="D589" s="15" t="s">
        <v>74</v>
      </c>
      <c r="E589" s="15" t="s">
        <v>321</v>
      </c>
      <c r="F589" s="15"/>
      <c r="G589" s="15" t="s">
        <v>715</v>
      </c>
      <c r="H589" s="15" t="s">
        <v>2323</v>
      </c>
      <c r="I589" s="15" t="s">
        <v>211</v>
      </c>
      <c r="J589" s="3" t="s">
        <v>3738</v>
      </c>
      <c r="K589" s="15" t="n">
        <f aca="false">LEN(J589)</f>
        <v>58</v>
      </c>
      <c r="L589" s="3" t="s">
        <v>3739</v>
      </c>
      <c r="M589" s="15" t="n">
        <f aca="false">LEN(L589)</f>
        <v>140</v>
      </c>
      <c r="N589" s="3" t="s">
        <v>3740</v>
      </c>
      <c r="O589" s="15" t="s">
        <v>3741</v>
      </c>
      <c r="P589" s="16" t="n">
        <v>110</v>
      </c>
      <c r="Q589" s="15" t="s">
        <v>104</v>
      </c>
      <c r="R589" s="15"/>
      <c r="S589" s="15" t="n">
        <f aca="false">COUNTIF('Page-Keyword Map'!$A$2:$A$668,B589)</f>
        <v>1</v>
      </c>
      <c r="T589" s="16" t="n">
        <f aca="false">SUMIF('Page-Keyword Map'!$A$2:$A$668,B589,'Page-Keyword Map'!$H$2:$H$668)</f>
        <v>110</v>
      </c>
      <c r="U589" s="15" t="n">
        <f aca="false">COUNTIFS('Page-Keyword Map'!$A$2:$A$668,B589,'Page-Keyword Map'!$E$2:$E$668,"Nationwide")</f>
        <v>0</v>
      </c>
      <c r="V589" s="15" t="n">
        <f aca="false">COUNTIFS('Page-Keyword Map'!$A$2:$A$668,B589,'Page-Keyword Map'!$E$2:$E$668,"Provincial")</f>
        <v>0</v>
      </c>
      <c r="W589" s="15" t="n">
        <f aca="false">COUNTIFS('Page-Keyword Map'!$A$2:$A$668,B589,'Page-Keyword Map'!$E$2:$E$668,"City")</f>
        <v>1</v>
      </c>
      <c r="X589" s="15" t="str">
        <f aca="false">IF(O589="","",IF(ISNUMBER(SEARCH(O589,J589)),"Yes","No"))</f>
        <v>Yes</v>
      </c>
      <c r="Y589" s="15" t="n">
        <v>0.5</v>
      </c>
      <c r="Z589" s="15" t="s">
        <v>216</v>
      </c>
      <c r="AA589" s="15" t="s">
        <v>217</v>
      </c>
      <c r="AB589" s="17"/>
      <c r="AC589" s="17"/>
    </row>
    <row r="590" customFormat="false" ht="23.85" hidden="false" customHeight="false" outlineLevel="0" collapsed="false">
      <c r="A590" s="15" t="s">
        <v>3742</v>
      </c>
      <c r="B590" s="15" t="s">
        <v>3743</v>
      </c>
      <c r="C590" s="15" t="s">
        <v>2076</v>
      </c>
      <c r="D590" s="15" t="s">
        <v>74</v>
      </c>
      <c r="E590" s="15" t="s">
        <v>321</v>
      </c>
      <c r="F590" s="15"/>
      <c r="G590" s="15" t="s">
        <v>715</v>
      </c>
      <c r="H590" s="15" t="s">
        <v>2330</v>
      </c>
      <c r="I590" s="15" t="s">
        <v>211</v>
      </c>
      <c r="J590" s="3" t="s">
        <v>3744</v>
      </c>
      <c r="K590" s="15" t="n">
        <f aca="false">LEN(J590)</f>
        <v>56</v>
      </c>
      <c r="L590" s="3" t="s">
        <v>3745</v>
      </c>
      <c r="M590" s="15" t="n">
        <f aca="false">LEN(L590)</f>
        <v>138</v>
      </c>
      <c r="N590" s="3" t="s">
        <v>3746</v>
      </c>
      <c r="O590" s="15" t="s">
        <v>3747</v>
      </c>
      <c r="P590" s="16" t="n">
        <v>96</v>
      </c>
      <c r="Q590" s="15" t="s">
        <v>104</v>
      </c>
      <c r="R590" s="15"/>
      <c r="S590" s="15" t="n">
        <f aca="false">COUNTIF('Page-Keyword Map'!$A$2:$A$668,B590)</f>
        <v>1</v>
      </c>
      <c r="T590" s="16" t="n">
        <f aca="false">SUMIF('Page-Keyword Map'!$A$2:$A$668,B590,'Page-Keyword Map'!$H$2:$H$668)</f>
        <v>96</v>
      </c>
      <c r="U590" s="15" t="n">
        <f aca="false">COUNTIFS('Page-Keyword Map'!$A$2:$A$668,B590,'Page-Keyword Map'!$E$2:$E$668,"Nationwide")</f>
        <v>0</v>
      </c>
      <c r="V590" s="15" t="n">
        <f aca="false">COUNTIFS('Page-Keyword Map'!$A$2:$A$668,B590,'Page-Keyword Map'!$E$2:$E$668,"Provincial")</f>
        <v>0</v>
      </c>
      <c r="W590" s="15" t="n">
        <f aca="false">COUNTIFS('Page-Keyword Map'!$A$2:$A$668,B590,'Page-Keyword Map'!$E$2:$E$668,"City")</f>
        <v>1</v>
      </c>
      <c r="X590" s="15" t="str">
        <f aca="false">IF(O590="","",IF(ISNUMBER(SEARCH(O590,J590)),"Yes","No"))</f>
        <v>Yes</v>
      </c>
      <c r="Y590" s="15" t="n">
        <v>0.5</v>
      </c>
      <c r="Z590" s="15" t="s">
        <v>216</v>
      </c>
      <c r="AA590" s="15" t="s">
        <v>217</v>
      </c>
      <c r="AB590" s="17"/>
      <c r="AC590" s="17"/>
    </row>
    <row r="591" customFormat="false" ht="23.85" hidden="false" customHeight="false" outlineLevel="0" collapsed="false">
      <c r="A591" s="15" t="s">
        <v>3748</v>
      </c>
      <c r="B591" s="15" t="s">
        <v>3749</v>
      </c>
      <c r="C591" s="15" t="s">
        <v>2076</v>
      </c>
      <c r="D591" s="15" t="s">
        <v>74</v>
      </c>
      <c r="E591" s="15" t="s">
        <v>321</v>
      </c>
      <c r="F591" s="15"/>
      <c r="G591" s="15" t="s">
        <v>715</v>
      </c>
      <c r="H591" s="15" t="s">
        <v>2337</v>
      </c>
      <c r="I591" s="15" t="s">
        <v>126</v>
      </c>
      <c r="J591" s="3" t="s">
        <v>3750</v>
      </c>
      <c r="K591" s="15" t="n">
        <f aca="false">LEN(J591)</f>
        <v>56</v>
      </c>
      <c r="L591" s="3" t="s">
        <v>3751</v>
      </c>
      <c r="M591" s="15" t="n">
        <f aca="false">LEN(L591)</f>
        <v>138</v>
      </c>
      <c r="N591" s="3" t="s">
        <v>3752</v>
      </c>
      <c r="O591" s="15" t="s">
        <v>3753</v>
      </c>
      <c r="P591" s="16" t="n">
        <v>390</v>
      </c>
      <c r="Q591" s="15" t="s">
        <v>104</v>
      </c>
      <c r="R591" s="15"/>
      <c r="S591" s="15" t="n">
        <f aca="false">COUNTIF('Page-Keyword Map'!$A$2:$A$668,B591)</f>
        <v>1</v>
      </c>
      <c r="T591" s="16" t="n">
        <f aca="false">SUMIF('Page-Keyword Map'!$A$2:$A$668,B591,'Page-Keyword Map'!$H$2:$H$668)</f>
        <v>390</v>
      </c>
      <c r="U591" s="15" t="n">
        <f aca="false">COUNTIFS('Page-Keyword Map'!$A$2:$A$668,B591,'Page-Keyword Map'!$E$2:$E$668,"Nationwide")</f>
        <v>0</v>
      </c>
      <c r="V591" s="15" t="n">
        <f aca="false">COUNTIFS('Page-Keyword Map'!$A$2:$A$668,B591,'Page-Keyword Map'!$E$2:$E$668,"Provincial")</f>
        <v>0</v>
      </c>
      <c r="W591" s="15" t="n">
        <f aca="false">COUNTIFS('Page-Keyword Map'!$A$2:$A$668,B591,'Page-Keyword Map'!$E$2:$E$668,"City")</f>
        <v>1</v>
      </c>
      <c r="X591" s="15" t="str">
        <f aca="false">IF(O591="","",IF(ISNUMBER(SEARCH(O591,J591)),"Yes","No"))</f>
        <v>Yes</v>
      </c>
      <c r="Y591" s="15" t="n">
        <v>0.7</v>
      </c>
      <c r="Z591" s="15" t="s">
        <v>2089</v>
      </c>
      <c r="AA591" s="15" t="s">
        <v>131</v>
      </c>
      <c r="AB591" s="17"/>
      <c r="AC591" s="17"/>
    </row>
    <row r="592" customFormat="false" ht="23.85" hidden="false" customHeight="false" outlineLevel="0" collapsed="false">
      <c r="A592" s="15" t="s">
        <v>3754</v>
      </c>
      <c r="B592" s="15" t="s">
        <v>3755</v>
      </c>
      <c r="C592" s="15" t="s">
        <v>2076</v>
      </c>
      <c r="D592" s="15" t="s">
        <v>74</v>
      </c>
      <c r="E592" s="15" t="s">
        <v>321</v>
      </c>
      <c r="F592" s="15"/>
      <c r="G592" s="15" t="s">
        <v>715</v>
      </c>
      <c r="H592" s="15" t="s">
        <v>2344</v>
      </c>
      <c r="I592" s="15" t="s">
        <v>211</v>
      </c>
      <c r="J592" s="3" t="s">
        <v>3756</v>
      </c>
      <c r="K592" s="15" t="n">
        <f aca="false">LEN(J592)</f>
        <v>59</v>
      </c>
      <c r="L592" s="3" t="s">
        <v>3757</v>
      </c>
      <c r="M592" s="15" t="n">
        <f aca="false">LEN(L592)</f>
        <v>141</v>
      </c>
      <c r="N592" s="3" t="s">
        <v>3758</v>
      </c>
      <c r="O592" s="15" t="s">
        <v>3759</v>
      </c>
      <c r="P592" s="16" t="n">
        <v>61</v>
      </c>
      <c r="Q592" s="15" t="s">
        <v>104</v>
      </c>
      <c r="R592" s="15"/>
      <c r="S592" s="15" t="n">
        <f aca="false">COUNTIF('Page-Keyword Map'!$A$2:$A$668,B592)</f>
        <v>1</v>
      </c>
      <c r="T592" s="16" t="n">
        <f aca="false">SUMIF('Page-Keyword Map'!$A$2:$A$668,B592,'Page-Keyword Map'!$H$2:$H$668)</f>
        <v>61</v>
      </c>
      <c r="U592" s="15" t="n">
        <f aca="false">COUNTIFS('Page-Keyword Map'!$A$2:$A$668,B592,'Page-Keyword Map'!$E$2:$E$668,"Nationwide")</f>
        <v>0</v>
      </c>
      <c r="V592" s="15" t="n">
        <f aca="false">COUNTIFS('Page-Keyword Map'!$A$2:$A$668,B592,'Page-Keyword Map'!$E$2:$E$668,"Provincial")</f>
        <v>0</v>
      </c>
      <c r="W592" s="15" t="n">
        <f aca="false">COUNTIFS('Page-Keyword Map'!$A$2:$A$668,B592,'Page-Keyword Map'!$E$2:$E$668,"City")</f>
        <v>1</v>
      </c>
      <c r="X592" s="15" t="str">
        <f aca="false">IF(O592="","",IF(ISNUMBER(SEARCH(O592,J592)),"Yes","No"))</f>
        <v>Yes</v>
      </c>
      <c r="Y592" s="15" t="n">
        <v>0.5</v>
      </c>
      <c r="Z592" s="15" t="s">
        <v>216</v>
      </c>
      <c r="AA592" s="15" t="s">
        <v>217</v>
      </c>
      <c r="AB592" s="17"/>
      <c r="AC592" s="17"/>
    </row>
    <row r="593" customFormat="false" ht="23.85" hidden="false" customHeight="false" outlineLevel="0" collapsed="false">
      <c r="A593" s="15" t="s">
        <v>3760</v>
      </c>
      <c r="B593" s="15" t="s">
        <v>3761</v>
      </c>
      <c r="C593" s="15" t="s">
        <v>2076</v>
      </c>
      <c r="D593" s="15" t="s">
        <v>74</v>
      </c>
      <c r="E593" s="15" t="s">
        <v>321</v>
      </c>
      <c r="F593" s="15"/>
      <c r="G593" s="15" t="s">
        <v>715</v>
      </c>
      <c r="H593" s="15" t="s">
        <v>2351</v>
      </c>
      <c r="I593" s="15" t="s">
        <v>211</v>
      </c>
      <c r="J593" s="3" t="s">
        <v>3762</v>
      </c>
      <c r="K593" s="15" t="n">
        <f aca="false">LEN(J593)</f>
        <v>63</v>
      </c>
      <c r="L593" s="3" t="s">
        <v>3763</v>
      </c>
      <c r="M593" s="15" t="n">
        <f aca="false">LEN(L593)</f>
        <v>145</v>
      </c>
      <c r="N593" s="3" t="s">
        <v>3764</v>
      </c>
      <c r="O593" s="15" t="s">
        <v>3765</v>
      </c>
      <c r="P593" s="16" t="n">
        <v>110</v>
      </c>
      <c r="Q593" s="15" t="s">
        <v>104</v>
      </c>
      <c r="R593" s="15"/>
      <c r="S593" s="15" t="n">
        <f aca="false">COUNTIF('Page-Keyword Map'!$A$2:$A$668,B593)</f>
        <v>1</v>
      </c>
      <c r="T593" s="16" t="n">
        <f aca="false">SUMIF('Page-Keyword Map'!$A$2:$A$668,B593,'Page-Keyword Map'!$H$2:$H$668)</f>
        <v>110</v>
      </c>
      <c r="U593" s="15" t="n">
        <f aca="false">COUNTIFS('Page-Keyword Map'!$A$2:$A$668,B593,'Page-Keyword Map'!$E$2:$E$668,"Nationwide")</f>
        <v>0</v>
      </c>
      <c r="V593" s="15" t="n">
        <f aca="false">COUNTIFS('Page-Keyword Map'!$A$2:$A$668,B593,'Page-Keyword Map'!$E$2:$E$668,"Provincial")</f>
        <v>0</v>
      </c>
      <c r="W593" s="15" t="n">
        <f aca="false">COUNTIFS('Page-Keyword Map'!$A$2:$A$668,B593,'Page-Keyword Map'!$E$2:$E$668,"City")</f>
        <v>1</v>
      </c>
      <c r="X593" s="15" t="str">
        <f aca="false">IF(O593="","",IF(ISNUMBER(SEARCH(O593,J593)),"Yes","No"))</f>
        <v>Yes</v>
      </c>
      <c r="Y593" s="15" t="n">
        <v>0.5</v>
      </c>
      <c r="Z593" s="15" t="s">
        <v>216</v>
      </c>
      <c r="AA593" s="15" t="s">
        <v>217</v>
      </c>
      <c r="AB593" s="17"/>
      <c r="AC593" s="17"/>
    </row>
    <row r="594" customFormat="false" ht="23.85" hidden="false" customHeight="false" outlineLevel="0" collapsed="false">
      <c r="A594" s="15" t="s">
        <v>3766</v>
      </c>
      <c r="B594" s="15" t="s">
        <v>3767</v>
      </c>
      <c r="C594" s="15" t="s">
        <v>2076</v>
      </c>
      <c r="D594" s="15" t="s">
        <v>74</v>
      </c>
      <c r="E594" s="15" t="s">
        <v>321</v>
      </c>
      <c r="F594" s="15"/>
      <c r="G594" s="15" t="s">
        <v>715</v>
      </c>
      <c r="H594" s="15" t="s">
        <v>2358</v>
      </c>
      <c r="I594" s="15" t="s">
        <v>211</v>
      </c>
      <c r="J594" s="3" t="s">
        <v>3768</v>
      </c>
      <c r="K594" s="15" t="n">
        <f aca="false">LEN(J594)</f>
        <v>64</v>
      </c>
      <c r="L594" s="3" t="s">
        <v>3769</v>
      </c>
      <c r="M594" s="15" t="n">
        <f aca="false">LEN(L594)</f>
        <v>146</v>
      </c>
      <c r="N594" s="3" t="s">
        <v>3770</v>
      </c>
      <c r="O594" s="15" t="s">
        <v>3771</v>
      </c>
      <c r="P594" s="16" t="n">
        <v>78</v>
      </c>
      <c r="Q594" s="15" t="s">
        <v>104</v>
      </c>
      <c r="R594" s="15"/>
      <c r="S594" s="15" t="n">
        <f aca="false">COUNTIF('Page-Keyword Map'!$A$2:$A$668,B594)</f>
        <v>1</v>
      </c>
      <c r="T594" s="16" t="n">
        <f aca="false">SUMIF('Page-Keyword Map'!$A$2:$A$668,B594,'Page-Keyword Map'!$H$2:$H$668)</f>
        <v>78</v>
      </c>
      <c r="U594" s="15" t="n">
        <f aca="false">COUNTIFS('Page-Keyword Map'!$A$2:$A$668,B594,'Page-Keyword Map'!$E$2:$E$668,"Nationwide")</f>
        <v>0</v>
      </c>
      <c r="V594" s="15" t="n">
        <f aca="false">COUNTIFS('Page-Keyword Map'!$A$2:$A$668,B594,'Page-Keyword Map'!$E$2:$E$668,"Provincial")</f>
        <v>0</v>
      </c>
      <c r="W594" s="15" t="n">
        <f aca="false">COUNTIFS('Page-Keyword Map'!$A$2:$A$668,B594,'Page-Keyword Map'!$E$2:$E$668,"City")</f>
        <v>1</v>
      </c>
      <c r="X594" s="15" t="str">
        <f aca="false">IF(O594="","",IF(ISNUMBER(SEARCH(O594,J594)),"Yes","No"))</f>
        <v>No</v>
      </c>
      <c r="Y594" s="15" t="n">
        <v>0.5</v>
      </c>
      <c r="Z594" s="15" t="s">
        <v>216</v>
      </c>
      <c r="AA594" s="15" t="s">
        <v>217</v>
      </c>
      <c r="AB594" s="17"/>
      <c r="AC594" s="17"/>
    </row>
    <row r="595" customFormat="false" ht="23.85" hidden="false" customHeight="false" outlineLevel="0" collapsed="false">
      <c r="A595" s="15" t="s">
        <v>3772</v>
      </c>
      <c r="B595" s="15" t="s">
        <v>3773</v>
      </c>
      <c r="C595" s="15" t="s">
        <v>2076</v>
      </c>
      <c r="D595" s="15" t="s">
        <v>74</v>
      </c>
      <c r="E595" s="15" t="s">
        <v>321</v>
      </c>
      <c r="F595" s="15"/>
      <c r="G595" s="15" t="s">
        <v>715</v>
      </c>
      <c r="H595" s="15" t="s">
        <v>2365</v>
      </c>
      <c r="I595" s="15" t="s">
        <v>211</v>
      </c>
      <c r="J595" s="3" t="s">
        <v>3774</v>
      </c>
      <c r="K595" s="15" t="n">
        <f aca="false">LEN(J595)</f>
        <v>57</v>
      </c>
      <c r="L595" s="3" t="s">
        <v>3775</v>
      </c>
      <c r="M595" s="15" t="n">
        <f aca="false">LEN(L595)</f>
        <v>139</v>
      </c>
      <c r="N595" s="3" t="s">
        <v>3776</v>
      </c>
      <c r="O595" s="15" t="s">
        <v>3777</v>
      </c>
      <c r="P595" s="16" t="n">
        <v>92</v>
      </c>
      <c r="Q595" s="15" t="s">
        <v>104</v>
      </c>
      <c r="R595" s="15"/>
      <c r="S595" s="15" t="n">
        <f aca="false">COUNTIF('Page-Keyword Map'!$A$2:$A$668,B595)</f>
        <v>1</v>
      </c>
      <c r="T595" s="16" t="n">
        <f aca="false">SUMIF('Page-Keyword Map'!$A$2:$A$668,B595,'Page-Keyword Map'!$H$2:$H$668)</f>
        <v>92</v>
      </c>
      <c r="U595" s="15" t="n">
        <f aca="false">COUNTIFS('Page-Keyword Map'!$A$2:$A$668,B595,'Page-Keyword Map'!$E$2:$E$668,"Nationwide")</f>
        <v>0</v>
      </c>
      <c r="V595" s="15" t="n">
        <f aca="false">COUNTIFS('Page-Keyword Map'!$A$2:$A$668,B595,'Page-Keyword Map'!$E$2:$E$668,"Provincial")</f>
        <v>0</v>
      </c>
      <c r="W595" s="15" t="n">
        <f aca="false">COUNTIFS('Page-Keyword Map'!$A$2:$A$668,B595,'Page-Keyword Map'!$E$2:$E$668,"City")</f>
        <v>1</v>
      </c>
      <c r="X595" s="15" t="str">
        <f aca="false">IF(O595="","",IF(ISNUMBER(SEARCH(O595,J595)),"Yes","No"))</f>
        <v>Yes</v>
      </c>
      <c r="Y595" s="15" t="n">
        <v>0.5</v>
      </c>
      <c r="Z595" s="15" t="s">
        <v>216</v>
      </c>
      <c r="AA595" s="15" t="s">
        <v>217</v>
      </c>
      <c r="AB595" s="17"/>
      <c r="AC595" s="17"/>
    </row>
    <row r="596" customFormat="false" ht="23.85" hidden="false" customHeight="false" outlineLevel="0" collapsed="false">
      <c r="A596" s="15" t="s">
        <v>3778</v>
      </c>
      <c r="B596" s="15" t="s">
        <v>3779</v>
      </c>
      <c r="C596" s="15" t="s">
        <v>2076</v>
      </c>
      <c r="D596" s="15" t="s">
        <v>74</v>
      </c>
      <c r="E596" s="15" t="s">
        <v>321</v>
      </c>
      <c r="F596" s="15"/>
      <c r="G596" s="15" t="s">
        <v>715</v>
      </c>
      <c r="H596" s="15" t="s">
        <v>2372</v>
      </c>
      <c r="I596" s="15" t="s">
        <v>211</v>
      </c>
      <c r="J596" s="3" t="s">
        <v>3780</v>
      </c>
      <c r="K596" s="15" t="n">
        <f aca="false">LEN(J596)</f>
        <v>61</v>
      </c>
      <c r="L596" s="3" t="s">
        <v>3781</v>
      </c>
      <c r="M596" s="15" t="n">
        <f aca="false">LEN(L596)</f>
        <v>143</v>
      </c>
      <c r="N596" s="3" t="s">
        <v>3782</v>
      </c>
      <c r="O596" s="15" t="s">
        <v>3783</v>
      </c>
      <c r="P596" s="16" t="n">
        <v>65</v>
      </c>
      <c r="Q596" s="15" t="s">
        <v>104</v>
      </c>
      <c r="R596" s="15"/>
      <c r="S596" s="15" t="n">
        <f aca="false">COUNTIF('Page-Keyword Map'!$A$2:$A$668,B596)</f>
        <v>1</v>
      </c>
      <c r="T596" s="16" t="n">
        <f aca="false">SUMIF('Page-Keyword Map'!$A$2:$A$668,B596,'Page-Keyword Map'!$H$2:$H$668)</f>
        <v>65</v>
      </c>
      <c r="U596" s="15" t="n">
        <f aca="false">COUNTIFS('Page-Keyword Map'!$A$2:$A$668,B596,'Page-Keyword Map'!$E$2:$E$668,"Nationwide")</f>
        <v>0</v>
      </c>
      <c r="V596" s="15" t="n">
        <f aca="false">COUNTIFS('Page-Keyword Map'!$A$2:$A$668,B596,'Page-Keyword Map'!$E$2:$E$668,"Provincial")</f>
        <v>0</v>
      </c>
      <c r="W596" s="15" t="n">
        <f aca="false">COUNTIFS('Page-Keyword Map'!$A$2:$A$668,B596,'Page-Keyword Map'!$E$2:$E$668,"City")</f>
        <v>1</v>
      </c>
      <c r="X596" s="15" t="str">
        <f aca="false">IF(O596="","",IF(ISNUMBER(SEARCH(O596,J596)),"Yes","No"))</f>
        <v>Yes</v>
      </c>
      <c r="Y596" s="15" t="n">
        <v>0.5</v>
      </c>
      <c r="Z596" s="15" t="s">
        <v>216</v>
      </c>
      <c r="AA596" s="15" t="s">
        <v>217</v>
      </c>
      <c r="AB596" s="17"/>
      <c r="AC596" s="17"/>
    </row>
    <row r="597" customFormat="false" ht="23.85" hidden="false" customHeight="false" outlineLevel="0" collapsed="false">
      <c r="A597" s="15" t="s">
        <v>3784</v>
      </c>
      <c r="B597" s="15" t="s">
        <v>3785</v>
      </c>
      <c r="C597" s="15" t="s">
        <v>2076</v>
      </c>
      <c r="D597" s="15" t="s">
        <v>74</v>
      </c>
      <c r="E597" s="15" t="s">
        <v>321</v>
      </c>
      <c r="F597" s="15"/>
      <c r="G597" s="15" t="s">
        <v>715</v>
      </c>
      <c r="H597" s="15" t="s">
        <v>2379</v>
      </c>
      <c r="I597" s="15" t="s">
        <v>126</v>
      </c>
      <c r="J597" s="3" t="s">
        <v>3786</v>
      </c>
      <c r="K597" s="15" t="n">
        <f aca="false">LEN(J597)</f>
        <v>57</v>
      </c>
      <c r="L597" s="3" t="s">
        <v>3787</v>
      </c>
      <c r="M597" s="15" t="n">
        <f aca="false">LEN(L597)</f>
        <v>139</v>
      </c>
      <c r="N597" s="3" t="s">
        <v>3788</v>
      </c>
      <c r="O597" s="15" t="s">
        <v>3789</v>
      </c>
      <c r="P597" s="16" t="n">
        <v>880</v>
      </c>
      <c r="Q597" s="15" t="s">
        <v>104</v>
      </c>
      <c r="R597" s="15"/>
      <c r="S597" s="15" t="n">
        <f aca="false">COUNTIF('Page-Keyword Map'!$A$2:$A$668,B597)</f>
        <v>1</v>
      </c>
      <c r="T597" s="16" t="n">
        <f aca="false">SUMIF('Page-Keyword Map'!$A$2:$A$668,B597,'Page-Keyword Map'!$H$2:$H$668)</f>
        <v>880</v>
      </c>
      <c r="U597" s="15" t="n">
        <f aca="false">COUNTIFS('Page-Keyword Map'!$A$2:$A$668,B597,'Page-Keyword Map'!$E$2:$E$668,"Nationwide")</f>
        <v>0</v>
      </c>
      <c r="V597" s="15" t="n">
        <f aca="false">COUNTIFS('Page-Keyword Map'!$A$2:$A$668,B597,'Page-Keyword Map'!$E$2:$E$668,"Provincial")</f>
        <v>0</v>
      </c>
      <c r="W597" s="15" t="n">
        <f aca="false">COUNTIFS('Page-Keyword Map'!$A$2:$A$668,B597,'Page-Keyword Map'!$E$2:$E$668,"City")</f>
        <v>1</v>
      </c>
      <c r="X597" s="15" t="str">
        <f aca="false">IF(O597="","",IF(ISNUMBER(SEARCH(O597,J597)),"Yes","No"))</f>
        <v>Yes</v>
      </c>
      <c r="Y597" s="15" t="n">
        <v>0.7</v>
      </c>
      <c r="Z597" s="15" t="s">
        <v>2089</v>
      </c>
      <c r="AA597" s="15" t="s">
        <v>131</v>
      </c>
      <c r="AB597" s="17"/>
      <c r="AC597" s="17"/>
    </row>
    <row r="598" customFormat="false" ht="23.85" hidden="false" customHeight="false" outlineLevel="0" collapsed="false">
      <c r="A598" s="15" t="s">
        <v>3790</v>
      </c>
      <c r="B598" s="15" t="s">
        <v>3791</v>
      </c>
      <c r="C598" s="15" t="s">
        <v>2076</v>
      </c>
      <c r="D598" s="15" t="s">
        <v>74</v>
      </c>
      <c r="E598" s="15" t="s">
        <v>321</v>
      </c>
      <c r="F598" s="15"/>
      <c r="G598" s="15" t="s">
        <v>715</v>
      </c>
      <c r="H598" s="15" t="s">
        <v>2386</v>
      </c>
      <c r="I598" s="15" t="s">
        <v>126</v>
      </c>
      <c r="J598" s="3" t="s">
        <v>3792</v>
      </c>
      <c r="K598" s="15" t="n">
        <f aca="false">LEN(J598)</f>
        <v>57</v>
      </c>
      <c r="L598" s="3" t="s">
        <v>3793</v>
      </c>
      <c r="M598" s="15" t="n">
        <f aca="false">LEN(L598)</f>
        <v>139</v>
      </c>
      <c r="N598" s="3" t="s">
        <v>3794</v>
      </c>
      <c r="O598" s="15" t="s">
        <v>3795</v>
      </c>
      <c r="P598" s="16" t="n">
        <v>160</v>
      </c>
      <c r="Q598" s="15" t="s">
        <v>104</v>
      </c>
      <c r="R598" s="15"/>
      <c r="S598" s="15" t="n">
        <f aca="false">COUNTIF('Page-Keyword Map'!$A$2:$A$668,B598)</f>
        <v>1</v>
      </c>
      <c r="T598" s="16" t="n">
        <f aca="false">SUMIF('Page-Keyword Map'!$A$2:$A$668,B598,'Page-Keyword Map'!$H$2:$H$668)</f>
        <v>160</v>
      </c>
      <c r="U598" s="15" t="n">
        <f aca="false">COUNTIFS('Page-Keyword Map'!$A$2:$A$668,B598,'Page-Keyword Map'!$E$2:$E$668,"Nationwide")</f>
        <v>0</v>
      </c>
      <c r="V598" s="15" t="n">
        <f aca="false">COUNTIFS('Page-Keyword Map'!$A$2:$A$668,B598,'Page-Keyword Map'!$E$2:$E$668,"Provincial")</f>
        <v>0</v>
      </c>
      <c r="W598" s="15" t="n">
        <f aca="false">COUNTIFS('Page-Keyword Map'!$A$2:$A$668,B598,'Page-Keyword Map'!$E$2:$E$668,"City")</f>
        <v>1</v>
      </c>
      <c r="X598" s="15" t="str">
        <f aca="false">IF(O598="","",IF(ISNUMBER(SEARCH(O598,J598)),"Yes","No"))</f>
        <v>Yes</v>
      </c>
      <c r="Y598" s="15" t="n">
        <v>0.7</v>
      </c>
      <c r="Z598" s="15" t="s">
        <v>2089</v>
      </c>
      <c r="AA598" s="15" t="s">
        <v>131</v>
      </c>
      <c r="AB598" s="17"/>
      <c r="AC598" s="17"/>
    </row>
    <row r="599" customFormat="false" ht="23.85" hidden="false" customHeight="false" outlineLevel="0" collapsed="false">
      <c r="A599" s="15" t="s">
        <v>3796</v>
      </c>
      <c r="B599" s="15" t="s">
        <v>3797</v>
      </c>
      <c r="C599" s="15" t="s">
        <v>2076</v>
      </c>
      <c r="D599" s="15" t="s">
        <v>74</v>
      </c>
      <c r="E599" s="15" t="s">
        <v>321</v>
      </c>
      <c r="F599" s="15"/>
      <c r="G599" s="15" t="s">
        <v>715</v>
      </c>
      <c r="H599" s="15" t="s">
        <v>2393</v>
      </c>
      <c r="I599" s="15" t="s">
        <v>211</v>
      </c>
      <c r="J599" s="3" t="s">
        <v>3798</v>
      </c>
      <c r="K599" s="15" t="n">
        <f aca="false">LEN(J599)</f>
        <v>58</v>
      </c>
      <c r="L599" s="3" t="s">
        <v>3799</v>
      </c>
      <c r="M599" s="15" t="n">
        <f aca="false">LEN(L599)</f>
        <v>140</v>
      </c>
      <c r="N599" s="3" t="s">
        <v>3800</v>
      </c>
      <c r="O599" s="15" t="s">
        <v>3801</v>
      </c>
      <c r="P599" s="16" t="n">
        <v>71</v>
      </c>
      <c r="Q599" s="15" t="s">
        <v>104</v>
      </c>
      <c r="R599" s="15"/>
      <c r="S599" s="15" t="n">
        <f aca="false">COUNTIF('Page-Keyword Map'!$A$2:$A$668,B599)</f>
        <v>1</v>
      </c>
      <c r="T599" s="16" t="n">
        <f aca="false">SUMIF('Page-Keyword Map'!$A$2:$A$668,B599,'Page-Keyword Map'!$H$2:$H$668)</f>
        <v>71</v>
      </c>
      <c r="U599" s="15" t="n">
        <f aca="false">COUNTIFS('Page-Keyword Map'!$A$2:$A$668,B599,'Page-Keyword Map'!$E$2:$E$668,"Nationwide")</f>
        <v>0</v>
      </c>
      <c r="V599" s="15" t="n">
        <f aca="false">COUNTIFS('Page-Keyword Map'!$A$2:$A$668,B599,'Page-Keyword Map'!$E$2:$E$668,"Provincial")</f>
        <v>0</v>
      </c>
      <c r="W599" s="15" t="n">
        <f aca="false">COUNTIFS('Page-Keyword Map'!$A$2:$A$668,B599,'Page-Keyword Map'!$E$2:$E$668,"City")</f>
        <v>1</v>
      </c>
      <c r="X599" s="15" t="str">
        <f aca="false">IF(O599="","",IF(ISNUMBER(SEARCH(O599,J599)),"Yes","No"))</f>
        <v>Yes</v>
      </c>
      <c r="Y599" s="15" t="n">
        <v>0.5</v>
      </c>
      <c r="Z599" s="15" t="s">
        <v>216</v>
      </c>
      <c r="AA599" s="15" t="s">
        <v>217</v>
      </c>
      <c r="AB599" s="17"/>
      <c r="AC599" s="17"/>
    </row>
    <row r="600" customFormat="false" ht="23.85" hidden="false" customHeight="false" outlineLevel="0" collapsed="false">
      <c r="A600" s="15" t="s">
        <v>3802</v>
      </c>
      <c r="B600" s="15" t="s">
        <v>3803</v>
      </c>
      <c r="C600" s="15" t="s">
        <v>2076</v>
      </c>
      <c r="D600" s="15" t="s">
        <v>74</v>
      </c>
      <c r="E600" s="15" t="s">
        <v>321</v>
      </c>
      <c r="F600" s="15"/>
      <c r="G600" s="15" t="s">
        <v>715</v>
      </c>
      <c r="H600" s="15" t="s">
        <v>2400</v>
      </c>
      <c r="I600" s="15" t="s">
        <v>211</v>
      </c>
      <c r="J600" s="3" t="s">
        <v>3804</v>
      </c>
      <c r="K600" s="15" t="n">
        <f aca="false">LEN(J600)</f>
        <v>56</v>
      </c>
      <c r="L600" s="3" t="s">
        <v>3805</v>
      </c>
      <c r="M600" s="15" t="n">
        <f aca="false">LEN(L600)</f>
        <v>138</v>
      </c>
      <c r="N600" s="3" t="s">
        <v>3806</v>
      </c>
      <c r="O600" s="15" t="s">
        <v>3807</v>
      </c>
      <c r="P600" s="16" t="n">
        <v>79</v>
      </c>
      <c r="Q600" s="15" t="s">
        <v>104</v>
      </c>
      <c r="R600" s="15"/>
      <c r="S600" s="15" t="n">
        <f aca="false">COUNTIF('Page-Keyword Map'!$A$2:$A$668,B600)</f>
        <v>1</v>
      </c>
      <c r="T600" s="16" t="n">
        <f aca="false">SUMIF('Page-Keyword Map'!$A$2:$A$668,B600,'Page-Keyword Map'!$H$2:$H$668)</f>
        <v>79</v>
      </c>
      <c r="U600" s="15" t="n">
        <f aca="false">COUNTIFS('Page-Keyword Map'!$A$2:$A$668,B600,'Page-Keyword Map'!$E$2:$E$668,"Nationwide")</f>
        <v>0</v>
      </c>
      <c r="V600" s="15" t="n">
        <f aca="false">COUNTIFS('Page-Keyword Map'!$A$2:$A$668,B600,'Page-Keyword Map'!$E$2:$E$668,"Provincial")</f>
        <v>0</v>
      </c>
      <c r="W600" s="15" t="n">
        <f aca="false">COUNTIFS('Page-Keyword Map'!$A$2:$A$668,B600,'Page-Keyword Map'!$E$2:$E$668,"City")</f>
        <v>1</v>
      </c>
      <c r="X600" s="15" t="str">
        <f aca="false">IF(O600="","",IF(ISNUMBER(SEARCH(O600,J600)),"Yes","No"))</f>
        <v>Yes</v>
      </c>
      <c r="Y600" s="15" t="n">
        <v>0.5</v>
      </c>
      <c r="Z600" s="15" t="s">
        <v>216</v>
      </c>
      <c r="AA600" s="15" t="s">
        <v>217</v>
      </c>
      <c r="AB600" s="17"/>
      <c r="AC600" s="17"/>
    </row>
    <row r="601" customFormat="false" ht="23.85" hidden="false" customHeight="false" outlineLevel="0" collapsed="false">
      <c r="A601" s="15" t="s">
        <v>3808</v>
      </c>
      <c r="B601" s="15" t="s">
        <v>3809</v>
      </c>
      <c r="C601" s="15" t="s">
        <v>2076</v>
      </c>
      <c r="D601" s="15" t="s">
        <v>74</v>
      </c>
      <c r="E601" s="15" t="s">
        <v>321</v>
      </c>
      <c r="F601" s="15"/>
      <c r="G601" s="15" t="s">
        <v>715</v>
      </c>
      <c r="H601" s="15" t="s">
        <v>2407</v>
      </c>
      <c r="I601" s="15" t="s">
        <v>126</v>
      </c>
      <c r="J601" s="3" t="s">
        <v>3810</v>
      </c>
      <c r="K601" s="15" t="n">
        <f aca="false">LEN(J601)</f>
        <v>57</v>
      </c>
      <c r="L601" s="3" t="s">
        <v>3811</v>
      </c>
      <c r="M601" s="15" t="n">
        <f aca="false">LEN(L601)</f>
        <v>139</v>
      </c>
      <c r="N601" s="3" t="s">
        <v>3812</v>
      </c>
      <c r="O601" s="15" t="s">
        <v>3813</v>
      </c>
      <c r="P601" s="16" t="n">
        <v>120</v>
      </c>
      <c r="Q601" s="15" t="s">
        <v>104</v>
      </c>
      <c r="R601" s="15"/>
      <c r="S601" s="15" t="n">
        <f aca="false">COUNTIF('Page-Keyword Map'!$A$2:$A$668,B601)</f>
        <v>1</v>
      </c>
      <c r="T601" s="16" t="n">
        <f aca="false">SUMIF('Page-Keyword Map'!$A$2:$A$668,B601,'Page-Keyword Map'!$H$2:$H$668)</f>
        <v>120</v>
      </c>
      <c r="U601" s="15" t="n">
        <f aca="false">COUNTIFS('Page-Keyword Map'!$A$2:$A$668,B601,'Page-Keyword Map'!$E$2:$E$668,"Nationwide")</f>
        <v>0</v>
      </c>
      <c r="V601" s="15" t="n">
        <f aca="false">COUNTIFS('Page-Keyword Map'!$A$2:$A$668,B601,'Page-Keyword Map'!$E$2:$E$668,"Provincial")</f>
        <v>0</v>
      </c>
      <c r="W601" s="15" t="n">
        <f aca="false">COUNTIFS('Page-Keyword Map'!$A$2:$A$668,B601,'Page-Keyword Map'!$E$2:$E$668,"City")</f>
        <v>1</v>
      </c>
      <c r="X601" s="15" t="str">
        <f aca="false">IF(O601="","",IF(ISNUMBER(SEARCH(O601,J601)),"Yes","No"))</f>
        <v>Yes</v>
      </c>
      <c r="Y601" s="15" t="n">
        <v>0.7</v>
      </c>
      <c r="Z601" s="15" t="s">
        <v>2089</v>
      </c>
      <c r="AA601" s="15" t="s">
        <v>131</v>
      </c>
      <c r="AB601" s="17"/>
      <c r="AC601" s="17"/>
    </row>
    <row r="602" customFormat="false" ht="23.85" hidden="false" customHeight="false" outlineLevel="0" collapsed="false">
      <c r="A602" s="15" t="s">
        <v>3814</v>
      </c>
      <c r="B602" s="15" t="s">
        <v>3815</v>
      </c>
      <c r="C602" s="15" t="s">
        <v>2076</v>
      </c>
      <c r="D602" s="15" t="s">
        <v>74</v>
      </c>
      <c r="E602" s="15" t="s">
        <v>321</v>
      </c>
      <c r="F602" s="15"/>
      <c r="G602" s="15" t="s">
        <v>722</v>
      </c>
      <c r="H602" s="15" t="s">
        <v>2414</v>
      </c>
      <c r="I602" s="15" t="s">
        <v>211</v>
      </c>
      <c r="J602" s="3" t="s">
        <v>3816</v>
      </c>
      <c r="K602" s="15" t="n">
        <f aca="false">LEN(J602)</f>
        <v>63</v>
      </c>
      <c r="L602" s="3" t="s">
        <v>3817</v>
      </c>
      <c r="M602" s="15" t="n">
        <f aca="false">LEN(L602)</f>
        <v>158</v>
      </c>
      <c r="N602" s="3" t="s">
        <v>3818</v>
      </c>
      <c r="O602" s="15" t="s">
        <v>3819</v>
      </c>
      <c r="P602" s="16" t="n">
        <v>29</v>
      </c>
      <c r="Q602" s="15" t="s">
        <v>104</v>
      </c>
      <c r="R602" s="15"/>
      <c r="S602" s="15" t="n">
        <f aca="false">COUNTIF('Page-Keyword Map'!$A$2:$A$668,B602)</f>
        <v>1</v>
      </c>
      <c r="T602" s="16" t="n">
        <f aca="false">SUMIF('Page-Keyword Map'!$A$2:$A$668,B602,'Page-Keyword Map'!$H$2:$H$668)</f>
        <v>29</v>
      </c>
      <c r="U602" s="15" t="n">
        <f aca="false">COUNTIFS('Page-Keyword Map'!$A$2:$A$668,B602,'Page-Keyword Map'!$E$2:$E$668,"Nationwide")</f>
        <v>0</v>
      </c>
      <c r="V602" s="15" t="n">
        <f aca="false">COUNTIFS('Page-Keyword Map'!$A$2:$A$668,B602,'Page-Keyword Map'!$E$2:$E$668,"Provincial")</f>
        <v>0</v>
      </c>
      <c r="W602" s="15" t="n">
        <f aca="false">COUNTIFS('Page-Keyword Map'!$A$2:$A$668,B602,'Page-Keyword Map'!$E$2:$E$668,"City")</f>
        <v>1</v>
      </c>
      <c r="X602" s="15" t="str">
        <f aca="false">IF(O602="","",IF(ISNUMBER(SEARCH(O602,J602)),"Yes","No"))</f>
        <v>Yes</v>
      </c>
      <c r="Y602" s="15" t="n">
        <v>0.5</v>
      </c>
      <c r="Z602" s="15" t="s">
        <v>216</v>
      </c>
      <c r="AA602" s="15" t="s">
        <v>217</v>
      </c>
      <c r="AB602" s="17"/>
      <c r="AC602" s="17"/>
    </row>
    <row r="603" customFormat="false" ht="23.85" hidden="false" customHeight="false" outlineLevel="0" collapsed="false">
      <c r="A603" s="15" t="s">
        <v>3820</v>
      </c>
      <c r="B603" s="15" t="s">
        <v>3821</v>
      </c>
      <c r="C603" s="15" t="s">
        <v>2076</v>
      </c>
      <c r="D603" s="15" t="s">
        <v>74</v>
      </c>
      <c r="E603" s="15" t="s">
        <v>321</v>
      </c>
      <c r="F603" s="15"/>
      <c r="G603" s="15" t="s">
        <v>729</v>
      </c>
      <c r="H603" s="15" t="s">
        <v>2421</v>
      </c>
      <c r="I603" s="15" t="s">
        <v>211</v>
      </c>
      <c r="J603" s="3" t="s">
        <v>3822</v>
      </c>
      <c r="K603" s="15" t="n">
        <f aca="false">LEN(J603)</f>
        <v>58</v>
      </c>
      <c r="L603" s="3" t="s">
        <v>3823</v>
      </c>
      <c r="M603" s="15" t="n">
        <f aca="false">LEN(L603)</f>
        <v>152</v>
      </c>
      <c r="N603" s="3" t="s">
        <v>3824</v>
      </c>
      <c r="O603" s="15" t="s">
        <v>3825</v>
      </c>
      <c r="P603" s="16" t="n">
        <v>43</v>
      </c>
      <c r="Q603" s="15" t="s">
        <v>104</v>
      </c>
      <c r="R603" s="15"/>
      <c r="S603" s="15" t="n">
        <f aca="false">COUNTIF('Page-Keyword Map'!$A$2:$A$668,B603)</f>
        <v>1</v>
      </c>
      <c r="T603" s="16" t="n">
        <f aca="false">SUMIF('Page-Keyword Map'!$A$2:$A$668,B603,'Page-Keyword Map'!$H$2:$H$668)</f>
        <v>43</v>
      </c>
      <c r="U603" s="15" t="n">
        <f aca="false">COUNTIFS('Page-Keyword Map'!$A$2:$A$668,B603,'Page-Keyword Map'!$E$2:$E$668,"Nationwide")</f>
        <v>0</v>
      </c>
      <c r="V603" s="15" t="n">
        <f aca="false">COUNTIFS('Page-Keyword Map'!$A$2:$A$668,B603,'Page-Keyword Map'!$E$2:$E$668,"Provincial")</f>
        <v>0</v>
      </c>
      <c r="W603" s="15" t="n">
        <f aca="false">COUNTIFS('Page-Keyword Map'!$A$2:$A$668,B603,'Page-Keyword Map'!$E$2:$E$668,"City")</f>
        <v>1</v>
      </c>
      <c r="X603" s="15" t="str">
        <f aca="false">IF(O603="","",IF(ISNUMBER(SEARCH(O603,J603)),"Yes","No"))</f>
        <v>Yes</v>
      </c>
      <c r="Y603" s="15" t="n">
        <v>0.5</v>
      </c>
      <c r="Z603" s="15" t="s">
        <v>216</v>
      </c>
      <c r="AA603" s="15" t="s">
        <v>217</v>
      </c>
      <c r="AB603" s="17"/>
      <c r="AC603" s="17"/>
    </row>
    <row r="604" customFormat="false" ht="23.85" hidden="false" customHeight="false" outlineLevel="0" collapsed="false">
      <c r="A604" s="15" t="s">
        <v>3826</v>
      </c>
      <c r="B604" s="15" t="s">
        <v>3827</v>
      </c>
      <c r="C604" s="15" t="s">
        <v>2076</v>
      </c>
      <c r="D604" s="15" t="s">
        <v>74</v>
      </c>
      <c r="E604" s="15" t="s">
        <v>321</v>
      </c>
      <c r="F604" s="15"/>
      <c r="G604" s="15" t="s">
        <v>729</v>
      </c>
      <c r="H604" s="15" t="s">
        <v>2428</v>
      </c>
      <c r="I604" s="15" t="s">
        <v>126</v>
      </c>
      <c r="J604" s="3" t="s">
        <v>3828</v>
      </c>
      <c r="K604" s="15" t="n">
        <f aca="false">LEN(J604)</f>
        <v>55</v>
      </c>
      <c r="L604" s="3" t="s">
        <v>3829</v>
      </c>
      <c r="M604" s="15" t="n">
        <f aca="false">LEN(L604)</f>
        <v>149</v>
      </c>
      <c r="N604" s="3" t="s">
        <v>3830</v>
      </c>
      <c r="O604" s="15" t="s">
        <v>3831</v>
      </c>
      <c r="P604" s="16" t="n">
        <v>60</v>
      </c>
      <c r="Q604" s="15" t="s">
        <v>104</v>
      </c>
      <c r="R604" s="15"/>
      <c r="S604" s="15" t="n">
        <f aca="false">COUNTIF('Page-Keyword Map'!$A$2:$A$668,B604)</f>
        <v>1</v>
      </c>
      <c r="T604" s="16" t="n">
        <f aca="false">SUMIF('Page-Keyword Map'!$A$2:$A$668,B604,'Page-Keyword Map'!$H$2:$H$668)</f>
        <v>60</v>
      </c>
      <c r="U604" s="15" t="n">
        <f aca="false">COUNTIFS('Page-Keyword Map'!$A$2:$A$668,B604,'Page-Keyword Map'!$E$2:$E$668,"Nationwide")</f>
        <v>0</v>
      </c>
      <c r="V604" s="15" t="n">
        <f aca="false">COUNTIFS('Page-Keyword Map'!$A$2:$A$668,B604,'Page-Keyword Map'!$E$2:$E$668,"Provincial")</f>
        <v>0</v>
      </c>
      <c r="W604" s="15" t="n">
        <f aca="false">COUNTIFS('Page-Keyword Map'!$A$2:$A$668,B604,'Page-Keyword Map'!$E$2:$E$668,"City")</f>
        <v>1</v>
      </c>
      <c r="X604" s="15" t="str">
        <f aca="false">IF(O604="","",IF(ISNUMBER(SEARCH(O604,J604)),"Yes","No"))</f>
        <v>Yes</v>
      </c>
      <c r="Y604" s="15" t="n">
        <v>0.7</v>
      </c>
      <c r="Z604" s="15" t="s">
        <v>2089</v>
      </c>
      <c r="AA604" s="15" t="s">
        <v>131</v>
      </c>
      <c r="AB604" s="17"/>
      <c r="AC604" s="17"/>
    </row>
    <row r="605" customFormat="false" ht="23.85" hidden="false" customHeight="false" outlineLevel="0" collapsed="false">
      <c r="A605" s="15" t="s">
        <v>3832</v>
      </c>
      <c r="B605" s="15" t="s">
        <v>3833</v>
      </c>
      <c r="C605" s="15" t="s">
        <v>2076</v>
      </c>
      <c r="D605" s="15" t="s">
        <v>74</v>
      </c>
      <c r="E605" s="15" t="s">
        <v>321</v>
      </c>
      <c r="F605" s="15"/>
      <c r="G605" s="15" t="s">
        <v>729</v>
      </c>
      <c r="H605" s="15" t="s">
        <v>2435</v>
      </c>
      <c r="I605" s="15" t="s">
        <v>211</v>
      </c>
      <c r="J605" s="3" t="s">
        <v>3834</v>
      </c>
      <c r="K605" s="15" t="n">
        <f aca="false">LEN(J605)</f>
        <v>59</v>
      </c>
      <c r="L605" s="3" t="s">
        <v>3835</v>
      </c>
      <c r="M605" s="15" t="n">
        <f aca="false">LEN(L605)</f>
        <v>153</v>
      </c>
      <c r="N605" s="3" t="s">
        <v>3836</v>
      </c>
      <c r="O605" s="15" t="s">
        <v>3837</v>
      </c>
      <c r="P605" s="16" t="n">
        <v>39</v>
      </c>
      <c r="Q605" s="15" t="s">
        <v>104</v>
      </c>
      <c r="R605" s="15"/>
      <c r="S605" s="15" t="n">
        <f aca="false">COUNTIF('Page-Keyword Map'!$A$2:$A$668,B605)</f>
        <v>1</v>
      </c>
      <c r="T605" s="16" t="n">
        <f aca="false">SUMIF('Page-Keyword Map'!$A$2:$A$668,B605,'Page-Keyword Map'!$H$2:$H$668)</f>
        <v>39</v>
      </c>
      <c r="U605" s="15" t="n">
        <f aca="false">COUNTIFS('Page-Keyword Map'!$A$2:$A$668,B605,'Page-Keyword Map'!$E$2:$E$668,"Nationwide")</f>
        <v>0</v>
      </c>
      <c r="V605" s="15" t="n">
        <f aca="false">COUNTIFS('Page-Keyword Map'!$A$2:$A$668,B605,'Page-Keyword Map'!$E$2:$E$668,"Provincial")</f>
        <v>0</v>
      </c>
      <c r="W605" s="15" t="n">
        <f aca="false">COUNTIFS('Page-Keyword Map'!$A$2:$A$668,B605,'Page-Keyword Map'!$E$2:$E$668,"City")</f>
        <v>1</v>
      </c>
      <c r="X605" s="15" t="str">
        <f aca="false">IF(O605="","",IF(ISNUMBER(SEARCH(O605,J605)),"Yes","No"))</f>
        <v>Yes</v>
      </c>
      <c r="Y605" s="15" t="n">
        <v>0.5</v>
      </c>
      <c r="Z605" s="15" t="s">
        <v>216</v>
      </c>
      <c r="AA605" s="15" t="s">
        <v>217</v>
      </c>
      <c r="AB605" s="17"/>
      <c r="AC605" s="17"/>
    </row>
    <row r="606" customFormat="false" ht="23.85" hidden="false" customHeight="false" outlineLevel="0" collapsed="false">
      <c r="A606" s="15" t="s">
        <v>3838</v>
      </c>
      <c r="B606" s="15" t="s">
        <v>3839</v>
      </c>
      <c r="C606" s="15" t="s">
        <v>2076</v>
      </c>
      <c r="D606" s="15" t="s">
        <v>74</v>
      </c>
      <c r="E606" s="15" t="s">
        <v>321</v>
      </c>
      <c r="F606" s="15"/>
      <c r="G606" s="15" t="s">
        <v>729</v>
      </c>
      <c r="H606" s="15" t="s">
        <v>2442</v>
      </c>
      <c r="I606" s="15" t="s">
        <v>126</v>
      </c>
      <c r="J606" s="3" t="s">
        <v>3840</v>
      </c>
      <c r="K606" s="15" t="n">
        <f aca="false">LEN(J606)</f>
        <v>58</v>
      </c>
      <c r="L606" s="3" t="s">
        <v>3841</v>
      </c>
      <c r="M606" s="15" t="n">
        <f aca="false">LEN(L606)</f>
        <v>152</v>
      </c>
      <c r="N606" s="3" t="s">
        <v>3842</v>
      </c>
      <c r="O606" s="15" t="s">
        <v>3843</v>
      </c>
      <c r="P606" s="16" t="n">
        <v>180</v>
      </c>
      <c r="Q606" s="15" t="s">
        <v>104</v>
      </c>
      <c r="R606" s="15"/>
      <c r="S606" s="15" t="n">
        <f aca="false">COUNTIF('Page-Keyword Map'!$A$2:$A$668,B606)</f>
        <v>1</v>
      </c>
      <c r="T606" s="16" t="n">
        <f aca="false">SUMIF('Page-Keyword Map'!$A$2:$A$668,B606,'Page-Keyword Map'!$H$2:$H$668)</f>
        <v>180</v>
      </c>
      <c r="U606" s="15" t="n">
        <f aca="false">COUNTIFS('Page-Keyword Map'!$A$2:$A$668,B606,'Page-Keyword Map'!$E$2:$E$668,"Nationwide")</f>
        <v>0</v>
      </c>
      <c r="V606" s="15" t="n">
        <f aca="false">COUNTIFS('Page-Keyword Map'!$A$2:$A$668,B606,'Page-Keyword Map'!$E$2:$E$668,"Provincial")</f>
        <v>0</v>
      </c>
      <c r="W606" s="15" t="n">
        <f aca="false">COUNTIFS('Page-Keyword Map'!$A$2:$A$668,B606,'Page-Keyword Map'!$E$2:$E$668,"City")</f>
        <v>1</v>
      </c>
      <c r="X606" s="15" t="str">
        <f aca="false">IF(O606="","",IF(ISNUMBER(SEARCH(O606,J606)),"Yes","No"))</f>
        <v>Yes</v>
      </c>
      <c r="Y606" s="15" t="n">
        <v>0.7</v>
      </c>
      <c r="Z606" s="15" t="s">
        <v>2089</v>
      </c>
      <c r="AA606" s="15" t="s">
        <v>131</v>
      </c>
      <c r="AB606" s="17"/>
      <c r="AC606" s="17"/>
    </row>
    <row r="607" customFormat="false" ht="23.85" hidden="false" customHeight="false" outlineLevel="0" collapsed="false">
      <c r="A607" s="15" t="s">
        <v>3844</v>
      </c>
      <c r="B607" s="15" t="s">
        <v>3845</v>
      </c>
      <c r="C607" s="15" t="s">
        <v>2076</v>
      </c>
      <c r="D607" s="15" t="s">
        <v>74</v>
      </c>
      <c r="E607" s="15" t="s">
        <v>321</v>
      </c>
      <c r="F607" s="15"/>
      <c r="G607" s="15" t="s">
        <v>729</v>
      </c>
      <c r="H607" s="15" t="s">
        <v>2449</v>
      </c>
      <c r="I607" s="15" t="s">
        <v>126</v>
      </c>
      <c r="J607" s="3" t="s">
        <v>3846</v>
      </c>
      <c r="K607" s="15" t="n">
        <f aca="false">LEN(J607)</f>
        <v>61</v>
      </c>
      <c r="L607" s="3" t="s">
        <v>3847</v>
      </c>
      <c r="M607" s="15" t="n">
        <f aca="false">LEN(L607)</f>
        <v>155</v>
      </c>
      <c r="N607" s="3" t="s">
        <v>3848</v>
      </c>
      <c r="O607" s="15" t="s">
        <v>3849</v>
      </c>
      <c r="P607" s="16" t="n">
        <v>72</v>
      </c>
      <c r="Q607" s="15" t="s">
        <v>104</v>
      </c>
      <c r="R607" s="15"/>
      <c r="S607" s="15" t="n">
        <f aca="false">COUNTIF('Page-Keyword Map'!$A$2:$A$668,B607)</f>
        <v>1</v>
      </c>
      <c r="T607" s="16" t="n">
        <f aca="false">SUMIF('Page-Keyword Map'!$A$2:$A$668,B607,'Page-Keyword Map'!$H$2:$H$668)</f>
        <v>72</v>
      </c>
      <c r="U607" s="15" t="n">
        <f aca="false">COUNTIFS('Page-Keyword Map'!$A$2:$A$668,B607,'Page-Keyword Map'!$E$2:$E$668,"Nationwide")</f>
        <v>0</v>
      </c>
      <c r="V607" s="15" t="n">
        <f aca="false">COUNTIFS('Page-Keyword Map'!$A$2:$A$668,B607,'Page-Keyword Map'!$E$2:$E$668,"Provincial")</f>
        <v>0</v>
      </c>
      <c r="W607" s="15" t="n">
        <f aca="false">COUNTIFS('Page-Keyword Map'!$A$2:$A$668,B607,'Page-Keyword Map'!$E$2:$E$668,"City")</f>
        <v>1</v>
      </c>
      <c r="X607" s="15" t="str">
        <f aca="false">IF(O607="","",IF(ISNUMBER(SEARCH(O607,J607)),"Yes","No"))</f>
        <v>Yes</v>
      </c>
      <c r="Y607" s="15" t="n">
        <v>0.7</v>
      </c>
      <c r="Z607" s="15" t="s">
        <v>2089</v>
      </c>
      <c r="AA607" s="15" t="s">
        <v>131</v>
      </c>
      <c r="AB607" s="17"/>
      <c r="AC607" s="17"/>
    </row>
    <row r="608" customFormat="false" ht="23.85" hidden="false" customHeight="false" outlineLevel="0" collapsed="false">
      <c r="A608" s="15" t="s">
        <v>3850</v>
      </c>
      <c r="B608" s="15" t="s">
        <v>3851</v>
      </c>
      <c r="C608" s="15" t="s">
        <v>2076</v>
      </c>
      <c r="D608" s="15" t="s">
        <v>74</v>
      </c>
      <c r="E608" s="15" t="s">
        <v>321</v>
      </c>
      <c r="F608" s="15"/>
      <c r="G608" s="15" t="s">
        <v>729</v>
      </c>
      <c r="H608" s="15" t="s">
        <v>2456</v>
      </c>
      <c r="I608" s="15" t="s">
        <v>211</v>
      </c>
      <c r="J608" s="3" t="s">
        <v>3852</v>
      </c>
      <c r="K608" s="15" t="n">
        <f aca="false">LEN(J608)</f>
        <v>60</v>
      </c>
      <c r="L608" s="3" t="s">
        <v>3853</v>
      </c>
      <c r="M608" s="15" t="n">
        <f aca="false">LEN(L608)</f>
        <v>154</v>
      </c>
      <c r="N608" s="3" t="s">
        <v>3854</v>
      </c>
      <c r="O608" s="15" t="s">
        <v>3855</v>
      </c>
      <c r="P608" s="16" t="n">
        <v>28</v>
      </c>
      <c r="Q608" s="15" t="s">
        <v>104</v>
      </c>
      <c r="R608" s="15"/>
      <c r="S608" s="15" t="n">
        <f aca="false">COUNTIF('Page-Keyword Map'!$A$2:$A$668,B608)</f>
        <v>1</v>
      </c>
      <c r="T608" s="16" t="n">
        <f aca="false">SUMIF('Page-Keyword Map'!$A$2:$A$668,B608,'Page-Keyword Map'!$H$2:$H$668)</f>
        <v>28</v>
      </c>
      <c r="U608" s="15" t="n">
        <f aca="false">COUNTIFS('Page-Keyword Map'!$A$2:$A$668,B608,'Page-Keyword Map'!$E$2:$E$668,"Nationwide")</f>
        <v>0</v>
      </c>
      <c r="V608" s="15" t="n">
        <f aca="false">COUNTIFS('Page-Keyword Map'!$A$2:$A$668,B608,'Page-Keyword Map'!$E$2:$E$668,"Provincial")</f>
        <v>0</v>
      </c>
      <c r="W608" s="15" t="n">
        <f aca="false">COUNTIFS('Page-Keyword Map'!$A$2:$A$668,B608,'Page-Keyword Map'!$E$2:$E$668,"City")</f>
        <v>1</v>
      </c>
      <c r="X608" s="15" t="str">
        <f aca="false">IF(O608="","",IF(ISNUMBER(SEARCH(O608,J608)),"Yes","No"))</f>
        <v>Yes</v>
      </c>
      <c r="Y608" s="15" t="n">
        <v>0.5</v>
      </c>
      <c r="Z608" s="15" t="s">
        <v>216</v>
      </c>
      <c r="AA608" s="15" t="s">
        <v>217</v>
      </c>
      <c r="AB608" s="17"/>
      <c r="AC608" s="17"/>
    </row>
    <row r="609" customFormat="false" ht="23.85" hidden="false" customHeight="false" outlineLevel="0" collapsed="false">
      <c r="A609" s="15" t="s">
        <v>3856</v>
      </c>
      <c r="B609" s="15" t="s">
        <v>3857</v>
      </c>
      <c r="C609" s="15" t="s">
        <v>2076</v>
      </c>
      <c r="D609" s="15" t="s">
        <v>74</v>
      </c>
      <c r="E609" s="15" t="s">
        <v>321</v>
      </c>
      <c r="F609" s="15"/>
      <c r="G609" s="15" t="s">
        <v>736</v>
      </c>
      <c r="H609" s="15" t="s">
        <v>2463</v>
      </c>
      <c r="I609" s="15" t="s">
        <v>126</v>
      </c>
      <c r="J609" s="3" t="s">
        <v>3858</v>
      </c>
      <c r="K609" s="15" t="n">
        <f aca="false">LEN(J609)</f>
        <v>56</v>
      </c>
      <c r="L609" s="3" t="s">
        <v>3859</v>
      </c>
      <c r="M609" s="15" t="n">
        <f aca="false">LEN(L609)</f>
        <v>143</v>
      </c>
      <c r="N609" s="3" t="s">
        <v>3860</v>
      </c>
      <c r="O609" s="15" t="s">
        <v>3861</v>
      </c>
      <c r="P609" s="16" t="n">
        <v>120</v>
      </c>
      <c r="Q609" s="15" t="s">
        <v>104</v>
      </c>
      <c r="R609" s="15"/>
      <c r="S609" s="15" t="n">
        <f aca="false">COUNTIF('Page-Keyword Map'!$A$2:$A$668,B609)</f>
        <v>1</v>
      </c>
      <c r="T609" s="16" t="n">
        <f aca="false">SUMIF('Page-Keyword Map'!$A$2:$A$668,B609,'Page-Keyword Map'!$H$2:$H$668)</f>
        <v>120</v>
      </c>
      <c r="U609" s="15" t="n">
        <f aca="false">COUNTIFS('Page-Keyword Map'!$A$2:$A$668,B609,'Page-Keyword Map'!$E$2:$E$668,"Nationwide")</f>
        <v>0</v>
      </c>
      <c r="V609" s="15" t="n">
        <f aca="false">COUNTIFS('Page-Keyword Map'!$A$2:$A$668,B609,'Page-Keyword Map'!$E$2:$E$668,"Provincial")</f>
        <v>0</v>
      </c>
      <c r="W609" s="15" t="n">
        <f aca="false">COUNTIFS('Page-Keyword Map'!$A$2:$A$668,B609,'Page-Keyword Map'!$E$2:$E$668,"City")</f>
        <v>1</v>
      </c>
      <c r="X609" s="15" t="str">
        <f aca="false">IF(O609="","",IF(ISNUMBER(SEARCH(O609,J609)),"Yes","No"))</f>
        <v>Yes</v>
      </c>
      <c r="Y609" s="15" t="n">
        <v>0.7</v>
      </c>
      <c r="Z609" s="15" t="s">
        <v>2089</v>
      </c>
      <c r="AA609" s="15" t="s">
        <v>131</v>
      </c>
      <c r="AB609" s="17"/>
      <c r="AC609" s="17"/>
    </row>
    <row r="610" customFormat="false" ht="23.85" hidden="false" customHeight="false" outlineLevel="0" collapsed="false">
      <c r="A610" s="15" t="s">
        <v>3862</v>
      </c>
      <c r="B610" s="15" t="s">
        <v>3863</v>
      </c>
      <c r="C610" s="15" t="s">
        <v>2076</v>
      </c>
      <c r="D610" s="15" t="s">
        <v>74</v>
      </c>
      <c r="E610" s="15" t="s">
        <v>321</v>
      </c>
      <c r="F610" s="15"/>
      <c r="G610" s="15" t="s">
        <v>736</v>
      </c>
      <c r="H610" s="15" t="s">
        <v>2470</v>
      </c>
      <c r="I610" s="15" t="s">
        <v>126</v>
      </c>
      <c r="J610" s="3" t="s">
        <v>3864</v>
      </c>
      <c r="K610" s="15" t="n">
        <f aca="false">LEN(J610)</f>
        <v>59</v>
      </c>
      <c r="L610" s="3" t="s">
        <v>3865</v>
      </c>
      <c r="M610" s="15" t="n">
        <f aca="false">LEN(L610)</f>
        <v>146</v>
      </c>
      <c r="N610" s="3" t="s">
        <v>3866</v>
      </c>
      <c r="O610" s="15" t="s">
        <v>3867</v>
      </c>
      <c r="P610" s="16" t="n">
        <v>130</v>
      </c>
      <c r="Q610" s="15" t="s">
        <v>104</v>
      </c>
      <c r="R610" s="15"/>
      <c r="S610" s="15" t="n">
        <f aca="false">COUNTIF('Page-Keyword Map'!$A$2:$A$668,B610)</f>
        <v>1</v>
      </c>
      <c r="T610" s="16" t="n">
        <f aca="false">SUMIF('Page-Keyword Map'!$A$2:$A$668,B610,'Page-Keyword Map'!$H$2:$H$668)</f>
        <v>130</v>
      </c>
      <c r="U610" s="15" t="n">
        <f aca="false">COUNTIFS('Page-Keyword Map'!$A$2:$A$668,B610,'Page-Keyword Map'!$E$2:$E$668,"Nationwide")</f>
        <v>0</v>
      </c>
      <c r="V610" s="15" t="n">
        <f aca="false">COUNTIFS('Page-Keyword Map'!$A$2:$A$668,B610,'Page-Keyword Map'!$E$2:$E$668,"Provincial")</f>
        <v>0</v>
      </c>
      <c r="W610" s="15" t="n">
        <f aca="false">COUNTIFS('Page-Keyword Map'!$A$2:$A$668,B610,'Page-Keyword Map'!$E$2:$E$668,"City")</f>
        <v>1</v>
      </c>
      <c r="X610" s="15" t="str">
        <f aca="false">IF(O610="","",IF(ISNUMBER(SEARCH(O610,J610)),"Yes","No"))</f>
        <v>Yes</v>
      </c>
      <c r="Y610" s="15" t="n">
        <v>0.7</v>
      </c>
      <c r="Z610" s="15" t="s">
        <v>2089</v>
      </c>
      <c r="AA610" s="15" t="s">
        <v>131</v>
      </c>
      <c r="AB610" s="17"/>
      <c r="AC610" s="17"/>
    </row>
    <row r="611" customFormat="false" ht="23.85" hidden="false" customHeight="false" outlineLevel="0" collapsed="false">
      <c r="A611" s="15" t="s">
        <v>3868</v>
      </c>
      <c r="B611" s="15" t="s">
        <v>3869</v>
      </c>
      <c r="C611" s="15" t="s">
        <v>2076</v>
      </c>
      <c r="D611" s="15" t="s">
        <v>74</v>
      </c>
      <c r="E611" s="15" t="s">
        <v>321</v>
      </c>
      <c r="F611" s="15"/>
      <c r="G611" s="15" t="s">
        <v>743</v>
      </c>
      <c r="H611" s="15" t="s">
        <v>2477</v>
      </c>
      <c r="I611" s="15" t="s">
        <v>211</v>
      </c>
      <c r="J611" s="3" t="s">
        <v>3870</v>
      </c>
      <c r="K611" s="15" t="n">
        <f aca="false">LEN(J611)</f>
        <v>60</v>
      </c>
      <c r="L611" s="3" t="s">
        <v>3871</v>
      </c>
      <c r="M611" s="15" t="n">
        <f aca="false">LEN(L611)</f>
        <v>153</v>
      </c>
      <c r="N611" s="3" t="s">
        <v>3872</v>
      </c>
      <c r="O611" s="15"/>
      <c r="P611" s="16"/>
      <c r="Q611" s="15"/>
      <c r="R611" s="15" t="s">
        <v>3873</v>
      </c>
      <c r="S611" s="15" t="n">
        <f aca="false">COUNTIF('Page-Keyword Map'!$A$2:$A$668,B611)</f>
        <v>0</v>
      </c>
      <c r="T611" s="16" t="n">
        <f aca="false">SUMIF('Page-Keyword Map'!$A$2:$A$668,B611,'Page-Keyword Map'!$H$2:$H$668)</f>
        <v>0</v>
      </c>
      <c r="U611" s="15" t="n">
        <f aca="false">COUNTIFS('Page-Keyword Map'!$A$2:$A$668,B611,'Page-Keyword Map'!$E$2:$E$668,"Nationwide")</f>
        <v>0</v>
      </c>
      <c r="V611" s="15" t="n">
        <f aca="false">COUNTIFS('Page-Keyword Map'!$A$2:$A$668,B611,'Page-Keyword Map'!$E$2:$E$668,"Provincial")</f>
        <v>0</v>
      </c>
      <c r="W611" s="15" t="n">
        <f aca="false">COUNTIFS('Page-Keyword Map'!$A$2:$A$668,B611,'Page-Keyword Map'!$E$2:$E$668,"City")</f>
        <v>0</v>
      </c>
      <c r="X611" s="15" t="str">
        <f aca="false">IF(O611="","",IF(ISNUMBER(SEARCH(O611,J611)),"Yes","No"))</f>
        <v/>
      </c>
      <c r="Y611" s="15" t="n">
        <v>0.5</v>
      </c>
      <c r="Z611" s="15" t="s">
        <v>216</v>
      </c>
      <c r="AA611" s="15" t="s">
        <v>217</v>
      </c>
      <c r="AB611" s="17"/>
      <c r="AC611" s="17"/>
    </row>
    <row r="612" customFormat="false" ht="23.85" hidden="false" customHeight="false" outlineLevel="0" collapsed="false">
      <c r="A612" s="15" t="s">
        <v>3874</v>
      </c>
      <c r="B612" s="15" t="s">
        <v>3875</v>
      </c>
      <c r="C612" s="15" t="s">
        <v>2076</v>
      </c>
      <c r="D612" s="15" t="s">
        <v>81</v>
      </c>
      <c r="E612" s="15" t="s">
        <v>349</v>
      </c>
      <c r="F612" s="15"/>
      <c r="G612" s="15" t="s">
        <v>657</v>
      </c>
      <c r="H612" s="15" t="s">
        <v>2077</v>
      </c>
      <c r="I612" s="15" t="s">
        <v>211</v>
      </c>
      <c r="J612" s="3" t="s">
        <v>3876</v>
      </c>
      <c r="K612" s="15" t="n">
        <f aca="false">LEN(J612)</f>
        <v>63</v>
      </c>
      <c r="L612" s="3" t="s">
        <v>3877</v>
      </c>
      <c r="M612" s="15" t="n">
        <f aca="false">LEN(L612)</f>
        <v>149</v>
      </c>
      <c r="N612" s="3" t="s">
        <v>3878</v>
      </c>
      <c r="O612" s="15"/>
      <c r="P612" s="16"/>
      <c r="Q612" s="15"/>
      <c r="R612" s="15" t="s">
        <v>3879</v>
      </c>
      <c r="S612" s="15" t="n">
        <f aca="false">COUNTIF('Page-Keyword Map'!$A$2:$A$668,B612)</f>
        <v>0</v>
      </c>
      <c r="T612" s="16" t="n">
        <f aca="false">SUMIF('Page-Keyword Map'!$A$2:$A$668,B612,'Page-Keyword Map'!$H$2:$H$668)</f>
        <v>0</v>
      </c>
      <c r="U612" s="15" t="n">
        <f aca="false">COUNTIFS('Page-Keyword Map'!$A$2:$A$668,B612,'Page-Keyword Map'!$E$2:$E$668,"Nationwide")</f>
        <v>0</v>
      </c>
      <c r="V612" s="15" t="n">
        <f aca="false">COUNTIFS('Page-Keyword Map'!$A$2:$A$668,B612,'Page-Keyword Map'!$E$2:$E$668,"Provincial")</f>
        <v>0</v>
      </c>
      <c r="W612" s="15" t="n">
        <f aca="false">COUNTIFS('Page-Keyword Map'!$A$2:$A$668,B612,'Page-Keyword Map'!$E$2:$E$668,"City")</f>
        <v>0</v>
      </c>
      <c r="X612" s="15" t="str">
        <f aca="false">IF(O612="","",IF(ISNUMBER(SEARCH(O612,J612)),"Yes","No"))</f>
        <v/>
      </c>
      <c r="Y612" s="15" t="n">
        <v>0.5</v>
      </c>
      <c r="Z612" s="15" t="s">
        <v>216</v>
      </c>
      <c r="AA612" s="15" t="s">
        <v>217</v>
      </c>
      <c r="AB612" s="17"/>
      <c r="AC612" s="17"/>
    </row>
    <row r="613" customFormat="false" ht="23.85" hidden="false" customHeight="false" outlineLevel="0" collapsed="false">
      <c r="A613" s="15" t="s">
        <v>3880</v>
      </c>
      <c r="B613" s="15" t="s">
        <v>3881</v>
      </c>
      <c r="C613" s="15" t="s">
        <v>2076</v>
      </c>
      <c r="D613" s="15" t="s">
        <v>81</v>
      </c>
      <c r="E613" s="15" t="s">
        <v>349</v>
      </c>
      <c r="F613" s="15"/>
      <c r="G613" s="15" t="s">
        <v>657</v>
      </c>
      <c r="H613" s="15" t="s">
        <v>2084</v>
      </c>
      <c r="I613" s="15" t="s">
        <v>126</v>
      </c>
      <c r="J613" s="3" t="s">
        <v>3882</v>
      </c>
      <c r="K613" s="15" t="n">
        <f aca="false">LEN(J613)</f>
        <v>63</v>
      </c>
      <c r="L613" s="3" t="s">
        <v>3883</v>
      </c>
      <c r="M613" s="15" t="n">
        <f aca="false">LEN(L613)</f>
        <v>149</v>
      </c>
      <c r="N613" s="3" t="s">
        <v>3884</v>
      </c>
      <c r="O613" s="15" t="s">
        <v>3885</v>
      </c>
      <c r="P613" s="16" t="n">
        <v>230</v>
      </c>
      <c r="Q613" s="15" t="s">
        <v>104</v>
      </c>
      <c r="R613" s="15"/>
      <c r="S613" s="15" t="n">
        <f aca="false">COUNTIF('Page-Keyword Map'!$A$2:$A$668,B613)</f>
        <v>1</v>
      </c>
      <c r="T613" s="16" t="n">
        <f aca="false">SUMIF('Page-Keyword Map'!$A$2:$A$668,B613,'Page-Keyword Map'!$H$2:$H$668)</f>
        <v>230</v>
      </c>
      <c r="U613" s="15" t="n">
        <f aca="false">COUNTIFS('Page-Keyword Map'!$A$2:$A$668,B613,'Page-Keyword Map'!$E$2:$E$668,"Nationwide")</f>
        <v>0</v>
      </c>
      <c r="V613" s="15" t="n">
        <f aca="false">COUNTIFS('Page-Keyword Map'!$A$2:$A$668,B613,'Page-Keyword Map'!$E$2:$E$668,"Provincial")</f>
        <v>0</v>
      </c>
      <c r="W613" s="15" t="n">
        <f aca="false">COUNTIFS('Page-Keyword Map'!$A$2:$A$668,B613,'Page-Keyword Map'!$E$2:$E$668,"City")</f>
        <v>1</v>
      </c>
      <c r="X613" s="15" t="str">
        <f aca="false">IF(O613="","",IF(ISNUMBER(SEARCH(O613,J613)),"Yes","No"))</f>
        <v>Yes</v>
      </c>
      <c r="Y613" s="15" t="n">
        <v>0.7</v>
      </c>
      <c r="Z613" s="15" t="s">
        <v>2089</v>
      </c>
      <c r="AA613" s="15" t="s">
        <v>131</v>
      </c>
      <c r="AB613" s="17"/>
      <c r="AC613" s="17"/>
    </row>
    <row r="614" customFormat="false" ht="23.85" hidden="false" customHeight="false" outlineLevel="0" collapsed="false">
      <c r="A614" s="15" t="s">
        <v>3886</v>
      </c>
      <c r="B614" s="15" t="s">
        <v>3887</v>
      </c>
      <c r="C614" s="15" t="s">
        <v>2076</v>
      </c>
      <c r="D614" s="15" t="s">
        <v>81</v>
      </c>
      <c r="E614" s="15" t="s">
        <v>349</v>
      </c>
      <c r="F614" s="15"/>
      <c r="G614" s="15" t="s">
        <v>657</v>
      </c>
      <c r="H614" s="15" t="s">
        <v>2092</v>
      </c>
      <c r="I614" s="15" t="s">
        <v>126</v>
      </c>
      <c r="J614" s="3" t="s">
        <v>3888</v>
      </c>
      <c r="K614" s="15" t="n">
        <f aca="false">LEN(J614)</f>
        <v>64</v>
      </c>
      <c r="L614" s="3" t="s">
        <v>3889</v>
      </c>
      <c r="M614" s="15" t="n">
        <f aca="false">LEN(L614)</f>
        <v>150</v>
      </c>
      <c r="N614" s="3" t="s">
        <v>3890</v>
      </c>
      <c r="O614" s="15" t="s">
        <v>3891</v>
      </c>
      <c r="P614" s="16" t="n">
        <v>180</v>
      </c>
      <c r="Q614" s="15" t="s">
        <v>104</v>
      </c>
      <c r="R614" s="15"/>
      <c r="S614" s="15" t="n">
        <f aca="false">COUNTIF('Page-Keyword Map'!$A$2:$A$668,B614)</f>
        <v>1</v>
      </c>
      <c r="T614" s="16" t="n">
        <f aca="false">SUMIF('Page-Keyword Map'!$A$2:$A$668,B614,'Page-Keyword Map'!$H$2:$H$668)</f>
        <v>180</v>
      </c>
      <c r="U614" s="15" t="n">
        <f aca="false">COUNTIFS('Page-Keyword Map'!$A$2:$A$668,B614,'Page-Keyword Map'!$E$2:$E$668,"Nationwide")</f>
        <v>0</v>
      </c>
      <c r="V614" s="15" t="n">
        <f aca="false">COUNTIFS('Page-Keyword Map'!$A$2:$A$668,B614,'Page-Keyword Map'!$E$2:$E$668,"Provincial")</f>
        <v>0</v>
      </c>
      <c r="W614" s="15" t="n">
        <f aca="false">COUNTIFS('Page-Keyword Map'!$A$2:$A$668,B614,'Page-Keyword Map'!$E$2:$E$668,"City")</f>
        <v>1</v>
      </c>
      <c r="X614" s="15" t="str">
        <f aca="false">IF(O614="","",IF(ISNUMBER(SEARCH(O614,J614)),"Yes","No"))</f>
        <v>Yes</v>
      </c>
      <c r="Y614" s="15" t="n">
        <v>0.7</v>
      </c>
      <c r="Z614" s="15" t="s">
        <v>2089</v>
      </c>
      <c r="AA614" s="15" t="s">
        <v>131</v>
      </c>
      <c r="AB614" s="17"/>
      <c r="AC614" s="17"/>
    </row>
    <row r="615" customFormat="false" ht="23.85" hidden="false" customHeight="false" outlineLevel="0" collapsed="false">
      <c r="A615" s="15" t="s">
        <v>3892</v>
      </c>
      <c r="B615" s="15" t="s">
        <v>3893</v>
      </c>
      <c r="C615" s="15" t="s">
        <v>2076</v>
      </c>
      <c r="D615" s="15" t="s">
        <v>81</v>
      </c>
      <c r="E615" s="15" t="s">
        <v>349</v>
      </c>
      <c r="F615" s="15"/>
      <c r="G615" s="15" t="s">
        <v>657</v>
      </c>
      <c r="H615" s="15" t="s">
        <v>2099</v>
      </c>
      <c r="I615" s="15" t="s">
        <v>211</v>
      </c>
      <c r="J615" s="3" t="s">
        <v>3894</v>
      </c>
      <c r="K615" s="15" t="n">
        <f aca="false">LEN(J615)</f>
        <v>66</v>
      </c>
      <c r="L615" s="3" t="s">
        <v>3895</v>
      </c>
      <c r="M615" s="15" t="n">
        <f aca="false">LEN(L615)</f>
        <v>152</v>
      </c>
      <c r="N615" s="3" t="s">
        <v>3896</v>
      </c>
      <c r="O615" s="15"/>
      <c r="P615" s="16"/>
      <c r="Q615" s="15"/>
      <c r="R615" s="15" t="s">
        <v>3897</v>
      </c>
      <c r="S615" s="15" t="n">
        <f aca="false">COUNTIF('Page-Keyword Map'!$A$2:$A$668,B615)</f>
        <v>0</v>
      </c>
      <c r="T615" s="16" t="n">
        <f aca="false">SUMIF('Page-Keyword Map'!$A$2:$A$668,B615,'Page-Keyword Map'!$H$2:$H$668)</f>
        <v>0</v>
      </c>
      <c r="U615" s="15" t="n">
        <f aca="false">COUNTIFS('Page-Keyword Map'!$A$2:$A$668,B615,'Page-Keyword Map'!$E$2:$E$668,"Nationwide")</f>
        <v>0</v>
      </c>
      <c r="V615" s="15" t="n">
        <f aca="false">COUNTIFS('Page-Keyword Map'!$A$2:$A$668,B615,'Page-Keyword Map'!$E$2:$E$668,"Provincial")</f>
        <v>0</v>
      </c>
      <c r="W615" s="15" t="n">
        <f aca="false">COUNTIFS('Page-Keyword Map'!$A$2:$A$668,B615,'Page-Keyword Map'!$E$2:$E$668,"City")</f>
        <v>0</v>
      </c>
      <c r="X615" s="15" t="str">
        <f aca="false">IF(O615="","",IF(ISNUMBER(SEARCH(O615,J615)),"Yes","No"))</f>
        <v/>
      </c>
      <c r="Y615" s="15" t="n">
        <v>0.5</v>
      </c>
      <c r="Z615" s="15" t="s">
        <v>216</v>
      </c>
      <c r="AA615" s="15" t="s">
        <v>217</v>
      </c>
      <c r="AB615" s="17"/>
      <c r="AC615" s="17"/>
    </row>
    <row r="616" customFormat="false" ht="23.85" hidden="false" customHeight="false" outlineLevel="0" collapsed="false">
      <c r="A616" s="15" t="s">
        <v>3898</v>
      </c>
      <c r="B616" s="15" t="s">
        <v>3899</v>
      </c>
      <c r="C616" s="15" t="s">
        <v>2076</v>
      </c>
      <c r="D616" s="15" t="s">
        <v>81</v>
      </c>
      <c r="E616" s="15" t="s">
        <v>349</v>
      </c>
      <c r="F616" s="15"/>
      <c r="G616" s="15" t="s">
        <v>657</v>
      </c>
      <c r="H616" s="15" t="s">
        <v>2106</v>
      </c>
      <c r="I616" s="15" t="s">
        <v>211</v>
      </c>
      <c r="J616" s="3" t="s">
        <v>3900</v>
      </c>
      <c r="K616" s="15" t="n">
        <f aca="false">LEN(J616)</f>
        <v>64</v>
      </c>
      <c r="L616" s="3" t="s">
        <v>3901</v>
      </c>
      <c r="M616" s="15" t="n">
        <f aca="false">LEN(L616)</f>
        <v>150</v>
      </c>
      <c r="N616" s="3" t="s">
        <v>3902</v>
      </c>
      <c r="O616" s="15"/>
      <c r="P616" s="16"/>
      <c r="Q616" s="15"/>
      <c r="R616" s="15" t="s">
        <v>3903</v>
      </c>
      <c r="S616" s="15" t="n">
        <f aca="false">COUNTIF('Page-Keyword Map'!$A$2:$A$668,B616)</f>
        <v>0</v>
      </c>
      <c r="T616" s="16" t="n">
        <f aca="false">SUMIF('Page-Keyword Map'!$A$2:$A$668,B616,'Page-Keyword Map'!$H$2:$H$668)</f>
        <v>0</v>
      </c>
      <c r="U616" s="15" t="n">
        <f aca="false">COUNTIFS('Page-Keyword Map'!$A$2:$A$668,B616,'Page-Keyword Map'!$E$2:$E$668,"Nationwide")</f>
        <v>0</v>
      </c>
      <c r="V616" s="15" t="n">
        <f aca="false">COUNTIFS('Page-Keyword Map'!$A$2:$A$668,B616,'Page-Keyword Map'!$E$2:$E$668,"Provincial")</f>
        <v>0</v>
      </c>
      <c r="W616" s="15" t="n">
        <f aca="false">COUNTIFS('Page-Keyword Map'!$A$2:$A$668,B616,'Page-Keyword Map'!$E$2:$E$668,"City")</f>
        <v>0</v>
      </c>
      <c r="X616" s="15" t="str">
        <f aca="false">IF(O616="","",IF(ISNUMBER(SEARCH(O616,J616)),"Yes","No"))</f>
        <v/>
      </c>
      <c r="Y616" s="15" t="n">
        <v>0.5</v>
      </c>
      <c r="Z616" s="15" t="s">
        <v>216</v>
      </c>
      <c r="AA616" s="15" t="s">
        <v>217</v>
      </c>
      <c r="AB616" s="17"/>
      <c r="AC616" s="17"/>
    </row>
    <row r="617" customFormat="false" ht="23.85" hidden="false" customHeight="false" outlineLevel="0" collapsed="false">
      <c r="A617" s="15" t="s">
        <v>3904</v>
      </c>
      <c r="B617" s="15" t="s">
        <v>3905</v>
      </c>
      <c r="C617" s="15" t="s">
        <v>2076</v>
      </c>
      <c r="D617" s="15" t="s">
        <v>81</v>
      </c>
      <c r="E617" s="15" t="s">
        <v>349</v>
      </c>
      <c r="F617" s="15"/>
      <c r="G617" s="15" t="s">
        <v>666</v>
      </c>
      <c r="H617" s="15" t="s">
        <v>2113</v>
      </c>
      <c r="I617" s="15" t="s">
        <v>211</v>
      </c>
      <c r="J617" s="3" t="s">
        <v>3906</v>
      </c>
      <c r="K617" s="15" t="n">
        <f aca="false">LEN(J617)</f>
        <v>66</v>
      </c>
      <c r="L617" s="3" t="s">
        <v>3907</v>
      </c>
      <c r="M617" s="15" t="n">
        <f aca="false">LEN(L617)</f>
        <v>161</v>
      </c>
      <c r="N617" s="3" t="s">
        <v>3908</v>
      </c>
      <c r="O617" s="15" t="s">
        <v>3909</v>
      </c>
      <c r="P617" s="16" t="n">
        <v>69</v>
      </c>
      <c r="Q617" s="15" t="s">
        <v>104</v>
      </c>
      <c r="R617" s="15"/>
      <c r="S617" s="15" t="n">
        <f aca="false">COUNTIF('Page-Keyword Map'!$A$2:$A$668,B617)</f>
        <v>1</v>
      </c>
      <c r="T617" s="16" t="n">
        <f aca="false">SUMIF('Page-Keyword Map'!$A$2:$A$668,B617,'Page-Keyword Map'!$H$2:$H$668)</f>
        <v>69</v>
      </c>
      <c r="U617" s="15" t="n">
        <f aca="false">COUNTIFS('Page-Keyword Map'!$A$2:$A$668,B617,'Page-Keyword Map'!$E$2:$E$668,"Nationwide")</f>
        <v>0</v>
      </c>
      <c r="V617" s="15" t="n">
        <f aca="false">COUNTIFS('Page-Keyword Map'!$A$2:$A$668,B617,'Page-Keyword Map'!$E$2:$E$668,"Provincial")</f>
        <v>0</v>
      </c>
      <c r="W617" s="15" t="n">
        <f aca="false">COUNTIFS('Page-Keyword Map'!$A$2:$A$668,B617,'Page-Keyword Map'!$E$2:$E$668,"City")</f>
        <v>1</v>
      </c>
      <c r="X617" s="15" t="str">
        <f aca="false">IF(O617="","",IF(ISNUMBER(SEARCH(O617,J617)),"Yes","No"))</f>
        <v>Yes</v>
      </c>
      <c r="Y617" s="15" t="n">
        <v>0.5</v>
      </c>
      <c r="Z617" s="15" t="s">
        <v>216</v>
      </c>
      <c r="AA617" s="15" t="s">
        <v>217</v>
      </c>
      <c r="AB617" s="17"/>
      <c r="AC617" s="17"/>
    </row>
    <row r="618" customFormat="false" ht="23.85" hidden="false" customHeight="false" outlineLevel="0" collapsed="false">
      <c r="A618" s="15" t="s">
        <v>3910</v>
      </c>
      <c r="B618" s="15" t="s">
        <v>3911</v>
      </c>
      <c r="C618" s="15" t="s">
        <v>2076</v>
      </c>
      <c r="D618" s="15" t="s">
        <v>81</v>
      </c>
      <c r="E618" s="15" t="s">
        <v>349</v>
      </c>
      <c r="F618" s="15"/>
      <c r="G618" s="15" t="s">
        <v>666</v>
      </c>
      <c r="H618" s="15" t="s">
        <v>2120</v>
      </c>
      <c r="I618" s="15" t="s">
        <v>126</v>
      </c>
      <c r="J618" s="3" t="s">
        <v>3912</v>
      </c>
      <c r="K618" s="15" t="n">
        <f aca="false">LEN(J618)</f>
        <v>63</v>
      </c>
      <c r="L618" s="3" t="s">
        <v>3913</v>
      </c>
      <c r="M618" s="15" t="n">
        <f aca="false">LEN(L618)</f>
        <v>158</v>
      </c>
      <c r="N618" s="3" t="s">
        <v>3914</v>
      </c>
      <c r="O618" s="15" t="s">
        <v>3915</v>
      </c>
      <c r="P618" s="16" t="n">
        <v>60</v>
      </c>
      <c r="Q618" s="15" t="s">
        <v>104</v>
      </c>
      <c r="R618" s="15"/>
      <c r="S618" s="15" t="n">
        <f aca="false">COUNTIF('Page-Keyword Map'!$A$2:$A$668,B618)</f>
        <v>1</v>
      </c>
      <c r="T618" s="16" t="n">
        <f aca="false">SUMIF('Page-Keyword Map'!$A$2:$A$668,B618,'Page-Keyword Map'!$H$2:$H$668)</f>
        <v>60</v>
      </c>
      <c r="U618" s="15" t="n">
        <f aca="false">COUNTIFS('Page-Keyword Map'!$A$2:$A$668,B618,'Page-Keyword Map'!$E$2:$E$668,"Nationwide")</f>
        <v>0</v>
      </c>
      <c r="V618" s="15" t="n">
        <f aca="false">COUNTIFS('Page-Keyword Map'!$A$2:$A$668,B618,'Page-Keyword Map'!$E$2:$E$668,"Provincial")</f>
        <v>0</v>
      </c>
      <c r="W618" s="15" t="n">
        <f aca="false">COUNTIFS('Page-Keyword Map'!$A$2:$A$668,B618,'Page-Keyword Map'!$E$2:$E$668,"City")</f>
        <v>1</v>
      </c>
      <c r="X618" s="15" t="str">
        <f aca="false">IF(O618="","",IF(ISNUMBER(SEARCH(O618,J618)),"Yes","No"))</f>
        <v>Yes</v>
      </c>
      <c r="Y618" s="15" t="n">
        <v>0.7</v>
      </c>
      <c r="Z618" s="15" t="s">
        <v>2089</v>
      </c>
      <c r="AA618" s="15" t="s">
        <v>131</v>
      </c>
      <c r="AB618" s="17"/>
      <c r="AC618" s="17"/>
    </row>
    <row r="619" customFormat="false" ht="23.85" hidden="false" customHeight="false" outlineLevel="0" collapsed="false">
      <c r="A619" s="15" t="s">
        <v>3916</v>
      </c>
      <c r="B619" s="15" t="s">
        <v>3917</v>
      </c>
      <c r="C619" s="15" t="s">
        <v>2076</v>
      </c>
      <c r="D619" s="15" t="s">
        <v>81</v>
      </c>
      <c r="E619" s="15" t="s">
        <v>349</v>
      </c>
      <c r="F619" s="15"/>
      <c r="G619" s="15" t="s">
        <v>666</v>
      </c>
      <c r="H619" s="15" t="s">
        <v>2127</v>
      </c>
      <c r="I619" s="15" t="s">
        <v>211</v>
      </c>
      <c r="J619" s="3" t="s">
        <v>3918</v>
      </c>
      <c r="K619" s="15" t="n">
        <f aca="false">LEN(J619)</f>
        <v>65</v>
      </c>
      <c r="L619" s="3" t="s">
        <v>3919</v>
      </c>
      <c r="M619" s="15" t="n">
        <f aca="false">LEN(L619)</f>
        <v>160</v>
      </c>
      <c r="N619" s="3" t="s">
        <v>3920</v>
      </c>
      <c r="O619" s="15"/>
      <c r="P619" s="16"/>
      <c r="Q619" s="15"/>
      <c r="R619" s="15" t="s">
        <v>3921</v>
      </c>
      <c r="S619" s="15" t="n">
        <f aca="false">COUNTIF('Page-Keyword Map'!$A$2:$A$668,B619)</f>
        <v>0</v>
      </c>
      <c r="T619" s="16" t="n">
        <f aca="false">SUMIF('Page-Keyword Map'!$A$2:$A$668,B619,'Page-Keyword Map'!$H$2:$H$668)</f>
        <v>0</v>
      </c>
      <c r="U619" s="15" t="n">
        <f aca="false">COUNTIFS('Page-Keyword Map'!$A$2:$A$668,B619,'Page-Keyword Map'!$E$2:$E$668,"Nationwide")</f>
        <v>0</v>
      </c>
      <c r="V619" s="15" t="n">
        <f aca="false">COUNTIFS('Page-Keyword Map'!$A$2:$A$668,B619,'Page-Keyword Map'!$E$2:$E$668,"Provincial")</f>
        <v>0</v>
      </c>
      <c r="W619" s="15" t="n">
        <f aca="false">COUNTIFS('Page-Keyword Map'!$A$2:$A$668,B619,'Page-Keyword Map'!$E$2:$E$668,"City")</f>
        <v>0</v>
      </c>
      <c r="X619" s="15" t="str">
        <f aca="false">IF(O619="","",IF(ISNUMBER(SEARCH(O619,J619)),"Yes","No"))</f>
        <v/>
      </c>
      <c r="Y619" s="15" t="n">
        <v>0.5</v>
      </c>
      <c r="Z619" s="15" t="s">
        <v>216</v>
      </c>
      <c r="AA619" s="15" t="s">
        <v>217</v>
      </c>
      <c r="AB619" s="17"/>
      <c r="AC619" s="17"/>
    </row>
    <row r="620" customFormat="false" ht="23.85" hidden="false" customHeight="false" outlineLevel="0" collapsed="false">
      <c r="A620" s="15" t="s">
        <v>3922</v>
      </c>
      <c r="B620" s="15" t="s">
        <v>3923</v>
      </c>
      <c r="C620" s="15" t="s">
        <v>2076</v>
      </c>
      <c r="D620" s="15" t="s">
        <v>81</v>
      </c>
      <c r="E620" s="15" t="s">
        <v>349</v>
      </c>
      <c r="F620" s="15"/>
      <c r="G620" s="15" t="s">
        <v>666</v>
      </c>
      <c r="H620" s="15" t="s">
        <v>2134</v>
      </c>
      <c r="I620" s="15" t="s">
        <v>126</v>
      </c>
      <c r="J620" s="3" t="s">
        <v>3924</v>
      </c>
      <c r="K620" s="15" t="n">
        <f aca="false">LEN(J620)</f>
        <v>63</v>
      </c>
      <c r="L620" s="3" t="s">
        <v>3925</v>
      </c>
      <c r="M620" s="15" t="n">
        <f aca="false">LEN(L620)</f>
        <v>158</v>
      </c>
      <c r="N620" s="3" t="s">
        <v>3926</v>
      </c>
      <c r="O620" s="15"/>
      <c r="P620" s="16"/>
      <c r="Q620" s="15"/>
      <c r="R620" s="15" t="s">
        <v>3927</v>
      </c>
      <c r="S620" s="15" t="n">
        <f aca="false">COUNTIF('Page-Keyword Map'!$A$2:$A$668,B620)</f>
        <v>0</v>
      </c>
      <c r="T620" s="16" t="n">
        <f aca="false">SUMIF('Page-Keyword Map'!$A$2:$A$668,B620,'Page-Keyword Map'!$H$2:$H$668)</f>
        <v>0</v>
      </c>
      <c r="U620" s="15" t="n">
        <f aca="false">COUNTIFS('Page-Keyword Map'!$A$2:$A$668,B620,'Page-Keyword Map'!$E$2:$E$668,"Nationwide")</f>
        <v>0</v>
      </c>
      <c r="V620" s="15" t="n">
        <f aca="false">COUNTIFS('Page-Keyword Map'!$A$2:$A$668,B620,'Page-Keyword Map'!$E$2:$E$668,"Provincial")</f>
        <v>0</v>
      </c>
      <c r="W620" s="15" t="n">
        <f aca="false">COUNTIFS('Page-Keyword Map'!$A$2:$A$668,B620,'Page-Keyword Map'!$E$2:$E$668,"City")</f>
        <v>0</v>
      </c>
      <c r="X620" s="15" t="str">
        <f aca="false">IF(O620="","",IF(ISNUMBER(SEARCH(O620,J620)),"Yes","No"))</f>
        <v/>
      </c>
      <c r="Y620" s="15" t="n">
        <v>0.7</v>
      </c>
      <c r="Z620" s="15" t="s">
        <v>2089</v>
      </c>
      <c r="AA620" s="15" t="s">
        <v>131</v>
      </c>
      <c r="AB620" s="17"/>
      <c r="AC620" s="17"/>
    </row>
    <row r="621" customFormat="false" ht="23.85" hidden="false" customHeight="false" outlineLevel="0" collapsed="false">
      <c r="A621" s="15" t="s">
        <v>3928</v>
      </c>
      <c r="B621" s="15" t="s">
        <v>3929</v>
      </c>
      <c r="C621" s="15" t="s">
        <v>2076</v>
      </c>
      <c r="D621" s="15" t="s">
        <v>81</v>
      </c>
      <c r="E621" s="15" t="s">
        <v>349</v>
      </c>
      <c r="F621" s="15"/>
      <c r="G621" s="15" t="s">
        <v>666</v>
      </c>
      <c r="H621" s="15" t="s">
        <v>2141</v>
      </c>
      <c r="I621" s="15" t="s">
        <v>211</v>
      </c>
      <c r="J621" s="3" t="s">
        <v>3930</v>
      </c>
      <c r="K621" s="15" t="n">
        <f aca="false">LEN(J621)</f>
        <v>63</v>
      </c>
      <c r="L621" s="3" t="s">
        <v>3931</v>
      </c>
      <c r="M621" s="15" t="n">
        <f aca="false">LEN(L621)</f>
        <v>158</v>
      </c>
      <c r="N621" s="3" t="s">
        <v>3932</v>
      </c>
      <c r="O621" s="15"/>
      <c r="P621" s="16"/>
      <c r="Q621" s="15"/>
      <c r="R621" s="15" t="s">
        <v>3933</v>
      </c>
      <c r="S621" s="15" t="n">
        <f aca="false">COUNTIF('Page-Keyword Map'!$A$2:$A$668,B621)</f>
        <v>0</v>
      </c>
      <c r="T621" s="16" t="n">
        <f aca="false">SUMIF('Page-Keyword Map'!$A$2:$A$668,B621,'Page-Keyword Map'!$H$2:$H$668)</f>
        <v>0</v>
      </c>
      <c r="U621" s="15" t="n">
        <f aca="false">COUNTIFS('Page-Keyword Map'!$A$2:$A$668,B621,'Page-Keyword Map'!$E$2:$E$668,"Nationwide")</f>
        <v>0</v>
      </c>
      <c r="V621" s="15" t="n">
        <f aca="false">COUNTIFS('Page-Keyword Map'!$A$2:$A$668,B621,'Page-Keyword Map'!$E$2:$E$668,"Provincial")</f>
        <v>0</v>
      </c>
      <c r="W621" s="15" t="n">
        <f aca="false">COUNTIFS('Page-Keyword Map'!$A$2:$A$668,B621,'Page-Keyword Map'!$E$2:$E$668,"City")</f>
        <v>0</v>
      </c>
      <c r="X621" s="15" t="str">
        <f aca="false">IF(O621="","",IF(ISNUMBER(SEARCH(O621,J621)),"Yes","No"))</f>
        <v/>
      </c>
      <c r="Y621" s="15" t="n">
        <v>0.5</v>
      </c>
      <c r="Z621" s="15" t="s">
        <v>216</v>
      </c>
      <c r="AA621" s="15" t="s">
        <v>217</v>
      </c>
      <c r="AB621" s="17"/>
      <c r="AC621" s="17"/>
    </row>
    <row r="622" customFormat="false" ht="23.85" hidden="false" customHeight="false" outlineLevel="0" collapsed="false">
      <c r="A622" s="15" t="s">
        <v>3934</v>
      </c>
      <c r="B622" s="15" t="s">
        <v>3935</v>
      </c>
      <c r="C622" s="15" t="s">
        <v>2076</v>
      </c>
      <c r="D622" s="15" t="s">
        <v>81</v>
      </c>
      <c r="E622" s="15" t="s">
        <v>349</v>
      </c>
      <c r="F622" s="15"/>
      <c r="G622" s="15" t="s">
        <v>666</v>
      </c>
      <c r="H622" s="15" t="s">
        <v>2148</v>
      </c>
      <c r="I622" s="15" t="s">
        <v>211</v>
      </c>
      <c r="J622" s="3" t="s">
        <v>3936</v>
      </c>
      <c r="K622" s="15" t="n">
        <f aca="false">LEN(J622)</f>
        <v>64</v>
      </c>
      <c r="L622" s="3" t="s">
        <v>3937</v>
      </c>
      <c r="M622" s="15" t="n">
        <f aca="false">LEN(L622)</f>
        <v>159</v>
      </c>
      <c r="N622" s="3" t="s">
        <v>3938</v>
      </c>
      <c r="O622" s="15" t="s">
        <v>3939</v>
      </c>
      <c r="P622" s="16" t="n">
        <v>60</v>
      </c>
      <c r="Q622" s="15" t="s">
        <v>104</v>
      </c>
      <c r="R622" s="15"/>
      <c r="S622" s="15" t="n">
        <f aca="false">COUNTIF('Page-Keyword Map'!$A$2:$A$668,B622)</f>
        <v>1</v>
      </c>
      <c r="T622" s="16" t="n">
        <f aca="false">SUMIF('Page-Keyword Map'!$A$2:$A$668,B622,'Page-Keyword Map'!$H$2:$H$668)</f>
        <v>60</v>
      </c>
      <c r="U622" s="15" t="n">
        <f aca="false">COUNTIFS('Page-Keyword Map'!$A$2:$A$668,B622,'Page-Keyword Map'!$E$2:$E$668,"Nationwide")</f>
        <v>0</v>
      </c>
      <c r="V622" s="15" t="n">
        <f aca="false">COUNTIFS('Page-Keyword Map'!$A$2:$A$668,B622,'Page-Keyword Map'!$E$2:$E$668,"Provincial")</f>
        <v>0</v>
      </c>
      <c r="W622" s="15" t="n">
        <f aca="false">COUNTIFS('Page-Keyword Map'!$A$2:$A$668,B622,'Page-Keyword Map'!$E$2:$E$668,"City")</f>
        <v>1</v>
      </c>
      <c r="X622" s="15" t="str">
        <f aca="false">IF(O622="","",IF(ISNUMBER(SEARCH(O622,J622)),"Yes","No"))</f>
        <v>No</v>
      </c>
      <c r="Y622" s="15" t="n">
        <v>0.5</v>
      </c>
      <c r="Z622" s="15" t="s">
        <v>216</v>
      </c>
      <c r="AA622" s="15" t="s">
        <v>217</v>
      </c>
      <c r="AB622" s="17"/>
      <c r="AC622" s="17"/>
    </row>
    <row r="623" customFormat="false" ht="23.85" hidden="false" customHeight="false" outlineLevel="0" collapsed="false">
      <c r="A623" s="15" t="s">
        <v>3940</v>
      </c>
      <c r="B623" s="15" t="s">
        <v>3941</v>
      </c>
      <c r="C623" s="15" t="s">
        <v>2076</v>
      </c>
      <c r="D623" s="15" t="s">
        <v>81</v>
      </c>
      <c r="E623" s="15" t="s">
        <v>349</v>
      </c>
      <c r="F623" s="15"/>
      <c r="G623" s="15" t="s">
        <v>666</v>
      </c>
      <c r="H623" s="15" t="s">
        <v>2155</v>
      </c>
      <c r="I623" s="15" t="s">
        <v>126</v>
      </c>
      <c r="J623" s="3" t="s">
        <v>3942</v>
      </c>
      <c r="K623" s="15" t="n">
        <f aca="false">LEN(J623)</f>
        <v>62</v>
      </c>
      <c r="L623" s="3" t="s">
        <v>3943</v>
      </c>
      <c r="M623" s="15" t="n">
        <f aca="false">LEN(L623)</f>
        <v>157</v>
      </c>
      <c r="N623" s="3" t="s">
        <v>3944</v>
      </c>
      <c r="O623" s="15" t="s">
        <v>3945</v>
      </c>
      <c r="P623" s="16" t="n">
        <v>270</v>
      </c>
      <c r="Q623" s="15" t="s">
        <v>104</v>
      </c>
      <c r="R623" s="15"/>
      <c r="S623" s="15" t="n">
        <f aca="false">COUNTIF('Page-Keyword Map'!$A$2:$A$668,B623)</f>
        <v>1</v>
      </c>
      <c r="T623" s="16" t="n">
        <f aca="false">SUMIF('Page-Keyword Map'!$A$2:$A$668,B623,'Page-Keyword Map'!$H$2:$H$668)</f>
        <v>270</v>
      </c>
      <c r="U623" s="15" t="n">
        <f aca="false">COUNTIFS('Page-Keyword Map'!$A$2:$A$668,B623,'Page-Keyword Map'!$E$2:$E$668,"Nationwide")</f>
        <v>0</v>
      </c>
      <c r="V623" s="15" t="n">
        <f aca="false">COUNTIFS('Page-Keyword Map'!$A$2:$A$668,B623,'Page-Keyword Map'!$E$2:$E$668,"Provincial")</f>
        <v>0</v>
      </c>
      <c r="W623" s="15" t="n">
        <f aca="false">COUNTIFS('Page-Keyword Map'!$A$2:$A$668,B623,'Page-Keyword Map'!$E$2:$E$668,"City")</f>
        <v>1</v>
      </c>
      <c r="X623" s="15" t="str">
        <f aca="false">IF(O623="","",IF(ISNUMBER(SEARCH(O623,J623)),"Yes","No"))</f>
        <v>Yes</v>
      </c>
      <c r="Y623" s="15" t="n">
        <v>0.7</v>
      </c>
      <c r="Z623" s="15" t="s">
        <v>2089</v>
      </c>
      <c r="AA623" s="15" t="s">
        <v>131</v>
      </c>
      <c r="AB623" s="17"/>
      <c r="AC623" s="17"/>
    </row>
    <row r="624" customFormat="false" ht="23.85" hidden="false" customHeight="false" outlineLevel="0" collapsed="false">
      <c r="A624" s="15" t="s">
        <v>3946</v>
      </c>
      <c r="B624" s="15" t="s">
        <v>3947</v>
      </c>
      <c r="C624" s="15" t="s">
        <v>2076</v>
      </c>
      <c r="D624" s="15" t="s">
        <v>81</v>
      </c>
      <c r="E624" s="15" t="s">
        <v>349</v>
      </c>
      <c r="F624" s="15"/>
      <c r="G624" s="15" t="s">
        <v>666</v>
      </c>
      <c r="H624" s="15" t="s">
        <v>2162</v>
      </c>
      <c r="I624" s="15" t="s">
        <v>126</v>
      </c>
      <c r="J624" s="3" t="s">
        <v>3948</v>
      </c>
      <c r="K624" s="15" t="n">
        <f aca="false">LEN(J624)</f>
        <v>65</v>
      </c>
      <c r="L624" s="3" t="s">
        <v>3949</v>
      </c>
      <c r="M624" s="15" t="n">
        <f aca="false">LEN(L624)</f>
        <v>160</v>
      </c>
      <c r="N624" s="3" t="s">
        <v>3950</v>
      </c>
      <c r="O624" s="15" t="s">
        <v>3951</v>
      </c>
      <c r="P624" s="16" t="n">
        <v>100</v>
      </c>
      <c r="Q624" s="15" t="s">
        <v>104</v>
      </c>
      <c r="R624" s="15"/>
      <c r="S624" s="15" t="n">
        <f aca="false">COUNTIF('Page-Keyword Map'!$A$2:$A$668,B624)</f>
        <v>1</v>
      </c>
      <c r="T624" s="16" t="n">
        <f aca="false">SUMIF('Page-Keyword Map'!$A$2:$A$668,B624,'Page-Keyword Map'!$H$2:$H$668)</f>
        <v>100</v>
      </c>
      <c r="U624" s="15" t="n">
        <f aca="false">COUNTIFS('Page-Keyword Map'!$A$2:$A$668,B624,'Page-Keyword Map'!$E$2:$E$668,"Nationwide")</f>
        <v>0</v>
      </c>
      <c r="V624" s="15" t="n">
        <f aca="false">COUNTIFS('Page-Keyword Map'!$A$2:$A$668,B624,'Page-Keyword Map'!$E$2:$E$668,"Provincial")</f>
        <v>0</v>
      </c>
      <c r="W624" s="15" t="n">
        <f aca="false">COUNTIFS('Page-Keyword Map'!$A$2:$A$668,B624,'Page-Keyword Map'!$E$2:$E$668,"City")</f>
        <v>1</v>
      </c>
      <c r="X624" s="15" t="str">
        <f aca="false">IF(O624="","",IF(ISNUMBER(SEARCH(O624,J624)),"Yes","No"))</f>
        <v>Yes</v>
      </c>
      <c r="Y624" s="15" t="n">
        <v>0.7</v>
      </c>
      <c r="Z624" s="15" t="s">
        <v>2089</v>
      </c>
      <c r="AA624" s="15" t="s">
        <v>131</v>
      </c>
      <c r="AB624" s="17"/>
      <c r="AC624" s="17"/>
    </row>
    <row r="625" customFormat="false" ht="23.85" hidden="false" customHeight="false" outlineLevel="0" collapsed="false">
      <c r="A625" s="15" t="s">
        <v>3952</v>
      </c>
      <c r="B625" s="15" t="s">
        <v>3953</v>
      </c>
      <c r="C625" s="15" t="s">
        <v>2076</v>
      </c>
      <c r="D625" s="15" t="s">
        <v>81</v>
      </c>
      <c r="E625" s="15" t="s">
        <v>349</v>
      </c>
      <c r="F625" s="15"/>
      <c r="G625" s="15" t="s">
        <v>666</v>
      </c>
      <c r="H625" s="15" t="s">
        <v>2169</v>
      </c>
      <c r="I625" s="15" t="s">
        <v>126</v>
      </c>
      <c r="J625" s="3" t="s">
        <v>3954</v>
      </c>
      <c r="K625" s="15" t="n">
        <f aca="false">LEN(J625)</f>
        <v>64</v>
      </c>
      <c r="L625" s="3" t="s">
        <v>3955</v>
      </c>
      <c r="M625" s="15" t="n">
        <f aca="false">LEN(L625)</f>
        <v>159</v>
      </c>
      <c r="N625" s="3" t="s">
        <v>3956</v>
      </c>
      <c r="O625" s="15"/>
      <c r="P625" s="16"/>
      <c r="Q625" s="15"/>
      <c r="R625" s="15" t="s">
        <v>3957</v>
      </c>
      <c r="S625" s="15" t="n">
        <f aca="false">COUNTIF('Page-Keyword Map'!$A$2:$A$668,B625)</f>
        <v>0</v>
      </c>
      <c r="T625" s="16" t="n">
        <f aca="false">SUMIF('Page-Keyword Map'!$A$2:$A$668,B625,'Page-Keyword Map'!$H$2:$H$668)</f>
        <v>0</v>
      </c>
      <c r="U625" s="15" t="n">
        <f aca="false">COUNTIFS('Page-Keyword Map'!$A$2:$A$668,B625,'Page-Keyword Map'!$E$2:$E$668,"Nationwide")</f>
        <v>0</v>
      </c>
      <c r="V625" s="15" t="n">
        <f aca="false">COUNTIFS('Page-Keyword Map'!$A$2:$A$668,B625,'Page-Keyword Map'!$E$2:$E$668,"Provincial")</f>
        <v>0</v>
      </c>
      <c r="W625" s="15" t="n">
        <f aca="false">COUNTIFS('Page-Keyword Map'!$A$2:$A$668,B625,'Page-Keyword Map'!$E$2:$E$668,"City")</f>
        <v>0</v>
      </c>
      <c r="X625" s="15" t="str">
        <f aca="false">IF(O625="","",IF(ISNUMBER(SEARCH(O625,J625)),"Yes","No"))</f>
        <v/>
      </c>
      <c r="Y625" s="15" t="n">
        <v>0.7</v>
      </c>
      <c r="Z625" s="15" t="s">
        <v>2089</v>
      </c>
      <c r="AA625" s="15" t="s">
        <v>131</v>
      </c>
      <c r="AB625" s="17"/>
      <c r="AC625" s="17"/>
    </row>
    <row r="626" customFormat="false" ht="23.85" hidden="false" customHeight="false" outlineLevel="0" collapsed="false">
      <c r="A626" s="15" t="s">
        <v>3958</v>
      </c>
      <c r="B626" s="15" t="s">
        <v>3959</v>
      </c>
      <c r="C626" s="15" t="s">
        <v>2076</v>
      </c>
      <c r="D626" s="15" t="s">
        <v>81</v>
      </c>
      <c r="E626" s="15" t="s">
        <v>349</v>
      </c>
      <c r="F626" s="15"/>
      <c r="G626" s="15" t="s">
        <v>673</v>
      </c>
      <c r="H626" s="15" t="s">
        <v>2176</v>
      </c>
      <c r="I626" s="15" t="s">
        <v>211</v>
      </c>
      <c r="J626" s="3" t="s">
        <v>3960</v>
      </c>
      <c r="K626" s="15" t="n">
        <f aca="false">LEN(J626)</f>
        <v>63</v>
      </c>
      <c r="L626" s="3" t="s">
        <v>3961</v>
      </c>
      <c r="M626" s="15" t="n">
        <f aca="false">LEN(L626)</f>
        <v>150</v>
      </c>
      <c r="N626" s="3" t="s">
        <v>3962</v>
      </c>
      <c r="O626" s="15"/>
      <c r="P626" s="16"/>
      <c r="Q626" s="15"/>
      <c r="R626" s="15" t="s">
        <v>3963</v>
      </c>
      <c r="S626" s="15" t="n">
        <f aca="false">COUNTIF('Page-Keyword Map'!$A$2:$A$668,B626)</f>
        <v>0</v>
      </c>
      <c r="T626" s="16" t="n">
        <f aca="false">SUMIF('Page-Keyword Map'!$A$2:$A$668,B626,'Page-Keyword Map'!$H$2:$H$668)</f>
        <v>0</v>
      </c>
      <c r="U626" s="15" t="n">
        <f aca="false">COUNTIFS('Page-Keyword Map'!$A$2:$A$668,B626,'Page-Keyword Map'!$E$2:$E$668,"Nationwide")</f>
        <v>0</v>
      </c>
      <c r="V626" s="15" t="n">
        <f aca="false">COUNTIFS('Page-Keyword Map'!$A$2:$A$668,B626,'Page-Keyword Map'!$E$2:$E$668,"Provincial")</f>
        <v>0</v>
      </c>
      <c r="W626" s="15" t="n">
        <f aca="false">COUNTIFS('Page-Keyword Map'!$A$2:$A$668,B626,'Page-Keyword Map'!$E$2:$E$668,"City")</f>
        <v>0</v>
      </c>
      <c r="X626" s="15" t="str">
        <f aca="false">IF(O626="","",IF(ISNUMBER(SEARCH(O626,J626)),"Yes","No"))</f>
        <v/>
      </c>
      <c r="Y626" s="15" t="n">
        <v>0.5</v>
      </c>
      <c r="Z626" s="15" t="s">
        <v>216</v>
      </c>
      <c r="AA626" s="15" t="s">
        <v>217</v>
      </c>
      <c r="AB626" s="17"/>
      <c r="AC626" s="17"/>
    </row>
    <row r="627" customFormat="false" ht="23.85" hidden="false" customHeight="false" outlineLevel="0" collapsed="false">
      <c r="A627" s="15" t="s">
        <v>3964</v>
      </c>
      <c r="B627" s="15" t="s">
        <v>3965</v>
      </c>
      <c r="C627" s="15" t="s">
        <v>2076</v>
      </c>
      <c r="D627" s="15" t="s">
        <v>81</v>
      </c>
      <c r="E627" s="15" t="s">
        <v>349</v>
      </c>
      <c r="F627" s="15"/>
      <c r="G627" s="15" t="s">
        <v>673</v>
      </c>
      <c r="H627" s="15" t="s">
        <v>2183</v>
      </c>
      <c r="I627" s="15" t="s">
        <v>126</v>
      </c>
      <c r="J627" s="3" t="s">
        <v>3966</v>
      </c>
      <c r="K627" s="15" t="n">
        <f aca="false">LEN(J627)</f>
        <v>64</v>
      </c>
      <c r="L627" s="3" t="s">
        <v>3967</v>
      </c>
      <c r="M627" s="15" t="n">
        <f aca="false">LEN(L627)</f>
        <v>151</v>
      </c>
      <c r="N627" s="3" t="s">
        <v>3968</v>
      </c>
      <c r="O627" s="15" t="s">
        <v>3969</v>
      </c>
      <c r="P627" s="16" t="n">
        <v>170</v>
      </c>
      <c r="Q627" s="15" t="s">
        <v>104</v>
      </c>
      <c r="R627" s="15"/>
      <c r="S627" s="15" t="n">
        <f aca="false">COUNTIF('Page-Keyword Map'!$A$2:$A$668,B627)</f>
        <v>1</v>
      </c>
      <c r="T627" s="16" t="n">
        <f aca="false">SUMIF('Page-Keyword Map'!$A$2:$A$668,B627,'Page-Keyword Map'!$H$2:$H$668)</f>
        <v>170</v>
      </c>
      <c r="U627" s="15" t="n">
        <f aca="false">COUNTIFS('Page-Keyword Map'!$A$2:$A$668,B627,'Page-Keyword Map'!$E$2:$E$668,"Nationwide")</f>
        <v>0</v>
      </c>
      <c r="V627" s="15" t="n">
        <f aca="false">COUNTIFS('Page-Keyword Map'!$A$2:$A$668,B627,'Page-Keyword Map'!$E$2:$E$668,"Provincial")</f>
        <v>0</v>
      </c>
      <c r="W627" s="15" t="n">
        <f aca="false">COUNTIFS('Page-Keyword Map'!$A$2:$A$668,B627,'Page-Keyword Map'!$E$2:$E$668,"City")</f>
        <v>1</v>
      </c>
      <c r="X627" s="15" t="str">
        <f aca="false">IF(O627="","",IF(ISNUMBER(SEARCH(O627,J627)),"Yes","No"))</f>
        <v>Yes</v>
      </c>
      <c r="Y627" s="15" t="n">
        <v>0.7</v>
      </c>
      <c r="Z627" s="15" t="s">
        <v>2089</v>
      </c>
      <c r="AA627" s="15" t="s">
        <v>131</v>
      </c>
      <c r="AB627" s="17"/>
      <c r="AC627" s="17"/>
    </row>
    <row r="628" customFormat="false" ht="23.85" hidden="false" customHeight="false" outlineLevel="0" collapsed="false">
      <c r="A628" s="15" t="s">
        <v>3970</v>
      </c>
      <c r="B628" s="15" t="s">
        <v>3971</v>
      </c>
      <c r="C628" s="15" t="s">
        <v>2076</v>
      </c>
      <c r="D628" s="15" t="s">
        <v>81</v>
      </c>
      <c r="E628" s="15" t="s">
        <v>349</v>
      </c>
      <c r="F628" s="15"/>
      <c r="G628" s="15" t="s">
        <v>680</v>
      </c>
      <c r="H628" s="15" t="s">
        <v>2190</v>
      </c>
      <c r="I628" s="15" t="s">
        <v>211</v>
      </c>
      <c r="J628" s="3" t="s">
        <v>3972</v>
      </c>
      <c r="K628" s="15" t="n">
        <f aca="false">LEN(J628)</f>
        <v>67</v>
      </c>
      <c r="L628" s="3" t="s">
        <v>3973</v>
      </c>
      <c r="M628" s="15" t="n">
        <f aca="false">LEN(L628)</f>
        <v>159</v>
      </c>
      <c r="N628" s="3" t="s">
        <v>3974</v>
      </c>
      <c r="O628" s="15"/>
      <c r="P628" s="16"/>
      <c r="Q628" s="15"/>
      <c r="R628" s="15" t="s">
        <v>3975</v>
      </c>
      <c r="S628" s="15" t="n">
        <f aca="false">COUNTIF('Page-Keyword Map'!$A$2:$A$668,B628)</f>
        <v>0</v>
      </c>
      <c r="T628" s="16" t="n">
        <f aca="false">SUMIF('Page-Keyword Map'!$A$2:$A$668,B628,'Page-Keyword Map'!$H$2:$H$668)</f>
        <v>0</v>
      </c>
      <c r="U628" s="15" t="n">
        <f aca="false">COUNTIFS('Page-Keyword Map'!$A$2:$A$668,B628,'Page-Keyword Map'!$E$2:$E$668,"Nationwide")</f>
        <v>0</v>
      </c>
      <c r="V628" s="15" t="n">
        <f aca="false">COUNTIFS('Page-Keyword Map'!$A$2:$A$668,B628,'Page-Keyword Map'!$E$2:$E$668,"Provincial")</f>
        <v>0</v>
      </c>
      <c r="W628" s="15" t="n">
        <f aca="false">COUNTIFS('Page-Keyword Map'!$A$2:$A$668,B628,'Page-Keyword Map'!$E$2:$E$668,"City")</f>
        <v>0</v>
      </c>
      <c r="X628" s="15" t="str">
        <f aca="false">IF(O628="","",IF(ISNUMBER(SEARCH(O628,J628)),"Yes","No"))</f>
        <v/>
      </c>
      <c r="Y628" s="15" t="n">
        <v>0.5</v>
      </c>
      <c r="Z628" s="15" t="s">
        <v>216</v>
      </c>
      <c r="AA628" s="15" t="s">
        <v>217</v>
      </c>
      <c r="AB628" s="17"/>
      <c r="AC628" s="17"/>
    </row>
    <row r="629" customFormat="false" ht="23.85" hidden="false" customHeight="false" outlineLevel="0" collapsed="false">
      <c r="A629" s="15" t="s">
        <v>3976</v>
      </c>
      <c r="B629" s="15" t="s">
        <v>3977</v>
      </c>
      <c r="C629" s="15" t="s">
        <v>2076</v>
      </c>
      <c r="D629" s="15" t="s">
        <v>81</v>
      </c>
      <c r="E629" s="15" t="s">
        <v>349</v>
      </c>
      <c r="F629" s="15"/>
      <c r="G629" s="15" t="s">
        <v>680</v>
      </c>
      <c r="H629" s="15" t="s">
        <v>2197</v>
      </c>
      <c r="I629" s="15" t="s">
        <v>211</v>
      </c>
      <c r="J629" s="3" t="s">
        <v>3978</v>
      </c>
      <c r="K629" s="15" t="n">
        <f aca="false">LEN(J629)</f>
        <v>63</v>
      </c>
      <c r="L629" s="3" t="s">
        <v>3979</v>
      </c>
      <c r="M629" s="15" t="n">
        <f aca="false">LEN(L629)</f>
        <v>155</v>
      </c>
      <c r="N629" s="3" t="s">
        <v>3980</v>
      </c>
      <c r="O629" s="15"/>
      <c r="P629" s="16"/>
      <c r="Q629" s="15"/>
      <c r="R629" s="15" t="s">
        <v>3981</v>
      </c>
      <c r="S629" s="15" t="n">
        <f aca="false">COUNTIF('Page-Keyword Map'!$A$2:$A$668,B629)</f>
        <v>0</v>
      </c>
      <c r="T629" s="16" t="n">
        <f aca="false">SUMIF('Page-Keyword Map'!$A$2:$A$668,B629,'Page-Keyword Map'!$H$2:$H$668)</f>
        <v>0</v>
      </c>
      <c r="U629" s="15" t="n">
        <f aca="false">COUNTIFS('Page-Keyword Map'!$A$2:$A$668,B629,'Page-Keyword Map'!$E$2:$E$668,"Nationwide")</f>
        <v>0</v>
      </c>
      <c r="V629" s="15" t="n">
        <f aca="false">COUNTIFS('Page-Keyword Map'!$A$2:$A$668,B629,'Page-Keyword Map'!$E$2:$E$668,"Provincial")</f>
        <v>0</v>
      </c>
      <c r="W629" s="15" t="n">
        <f aca="false">COUNTIFS('Page-Keyword Map'!$A$2:$A$668,B629,'Page-Keyword Map'!$E$2:$E$668,"City")</f>
        <v>0</v>
      </c>
      <c r="X629" s="15" t="str">
        <f aca="false">IF(O629="","",IF(ISNUMBER(SEARCH(O629,J629)),"Yes","No"))</f>
        <v/>
      </c>
      <c r="Y629" s="15" t="n">
        <v>0.5</v>
      </c>
      <c r="Z629" s="15" t="s">
        <v>216</v>
      </c>
      <c r="AA629" s="15" t="s">
        <v>217</v>
      </c>
      <c r="AB629" s="17"/>
      <c r="AC629" s="17"/>
    </row>
    <row r="630" customFormat="false" ht="23.85" hidden="false" customHeight="false" outlineLevel="0" collapsed="false">
      <c r="A630" s="15" t="s">
        <v>3982</v>
      </c>
      <c r="B630" s="15" t="s">
        <v>3983</v>
      </c>
      <c r="C630" s="15" t="s">
        <v>2076</v>
      </c>
      <c r="D630" s="15" t="s">
        <v>81</v>
      </c>
      <c r="E630" s="15" t="s">
        <v>349</v>
      </c>
      <c r="F630" s="15"/>
      <c r="G630" s="15" t="s">
        <v>680</v>
      </c>
      <c r="H630" s="15" t="s">
        <v>2204</v>
      </c>
      <c r="I630" s="15" t="s">
        <v>211</v>
      </c>
      <c r="J630" s="3" t="s">
        <v>3984</v>
      </c>
      <c r="K630" s="15" t="n">
        <f aca="false">LEN(J630)</f>
        <v>66</v>
      </c>
      <c r="L630" s="3" t="s">
        <v>3985</v>
      </c>
      <c r="M630" s="15" t="n">
        <f aca="false">LEN(L630)</f>
        <v>158</v>
      </c>
      <c r="N630" s="3" t="s">
        <v>3986</v>
      </c>
      <c r="O630" s="15"/>
      <c r="P630" s="16"/>
      <c r="Q630" s="15"/>
      <c r="R630" s="15" t="s">
        <v>3987</v>
      </c>
      <c r="S630" s="15" t="n">
        <f aca="false">COUNTIF('Page-Keyword Map'!$A$2:$A$668,B630)</f>
        <v>0</v>
      </c>
      <c r="T630" s="16" t="n">
        <f aca="false">SUMIF('Page-Keyword Map'!$A$2:$A$668,B630,'Page-Keyword Map'!$H$2:$H$668)</f>
        <v>0</v>
      </c>
      <c r="U630" s="15" t="n">
        <f aca="false">COUNTIFS('Page-Keyword Map'!$A$2:$A$668,B630,'Page-Keyword Map'!$E$2:$E$668,"Nationwide")</f>
        <v>0</v>
      </c>
      <c r="V630" s="15" t="n">
        <f aca="false">COUNTIFS('Page-Keyword Map'!$A$2:$A$668,B630,'Page-Keyword Map'!$E$2:$E$668,"Provincial")</f>
        <v>0</v>
      </c>
      <c r="W630" s="15" t="n">
        <f aca="false">COUNTIFS('Page-Keyword Map'!$A$2:$A$668,B630,'Page-Keyword Map'!$E$2:$E$668,"City")</f>
        <v>0</v>
      </c>
      <c r="X630" s="15" t="str">
        <f aca="false">IF(O630="","",IF(ISNUMBER(SEARCH(O630,J630)),"Yes","No"))</f>
        <v/>
      </c>
      <c r="Y630" s="15" t="n">
        <v>0.5</v>
      </c>
      <c r="Z630" s="15" t="s">
        <v>216</v>
      </c>
      <c r="AA630" s="15" t="s">
        <v>217</v>
      </c>
      <c r="AB630" s="17"/>
      <c r="AC630" s="17"/>
    </row>
    <row r="631" customFormat="false" ht="23.85" hidden="false" customHeight="false" outlineLevel="0" collapsed="false">
      <c r="A631" s="15" t="s">
        <v>3988</v>
      </c>
      <c r="B631" s="15" t="s">
        <v>3989</v>
      </c>
      <c r="C631" s="15" t="s">
        <v>2076</v>
      </c>
      <c r="D631" s="15" t="s">
        <v>81</v>
      </c>
      <c r="E631" s="15" t="s">
        <v>349</v>
      </c>
      <c r="F631" s="15"/>
      <c r="G631" s="15" t="s">
        <v>687</v>
      </c>
      <c r="H631" s="15" t="s">
        <v>2211</v>
      </c>
      <c r="I631" s="15" t="s">
        <v>126</v>
      </c>
      <c r="J631" s="3" t="s">
        <v>3990</v>
      </c>
      <c r="K631" s="15" t="n">
        <f aca="false">LEN(J631)</f>
        <v>66</v>
      </c>
      <c r="L631" s="3" t="s">
        <v>3991</v>
      </c>
      <c r="M631" s="15" t="n">
        <f aca="false">LEN(L631)</f>
        <v>161</v>
      </c>
      <c r="N631" s="3" t="s">
        <v>3992</v>
      </c>
      <c r="O631" s="15"/>
      <c r="P631" s="16"/>
      <c r="Q631" s="15"/>
      <c r="R631" s="15" t="s">
        <v>3993</v>
      </c>
      <c r="S631" s="15" t="n">
        <f aca="false">COUNTIF('Page-Keyword Map'!$A$2:$A$668,B631)</f>
        <v>0</v>
      </c>
      <c r="T631" s="16" t="n">
        <f aca="false">SUMIF('Page-Keyword Map'!$A$2:$A$668,B631,'Page-Keyword Map'!$H$2:$H$668)</f>
        <v>0</v>
      </c>
      <c r="U631" s="15" t="n">
        <f aca="false">COUNTIFS('Page-Keyword Map'!$A$2:$A$668,B631,'Page-Keyword Map'!$E$2:$E$668,"Nationwide")</f>
        <v>0</v>
      </c>
      <c r="V631" s="15" t="n">
        <f aca="false">COUNTIFS('Page-Keyword Map'!$A$2:$A$668,B631,'Page-Keyword Map'!$E$2:$E$668,"Provincial")</f>
        <v>0</v>
      </c>
      <c r="W631" s="15" t="n">
        <f aca="false">COUNTIFS('Page-Keyword Map'!$A$2:$A$668,B631,'Page-Keyword Map'!$E$2:$E$668,"City")</f>
        <v>0</v>
      </c>
      <c r="X631" s="15" t="str">
        <f aca="false">IF(O631="","",IF(ISNUMBER(SEARCH(O631,J631)),"Yes","No"))</f>
        <v/>
      </c>
      <c r="Y631" s="15" t="n">
        <v>0.7</v>
      </c>
      <c r="Z631" s="15" t="s">
        <v>2089</v>
      </c>
      <c r="AA631" s="15" t="s">
        <v>131</v>
      </c>
      <c r="AB631" s="17"/>
      <c r="AC631" s="17"/>
    </row>
    <row r="632" customFormat="false" ht="23.85" hidden="false" customHeight="false" outlineLevel="0" collapsed="false">
      <c r="A632" s="15" t="s">
        <v>3994</v>
      </c>
      <c r="B632" s="15" t="s">
        <v>3995</v>
      </c>
      <c r="C632" s="15" t="s">
        <v>2076</v>
      </c>
      <c r="D632" s="15" t="s">
        <v>81</v>
      </c>
      <c r="E632" s="15" t="s">
        <v>349</v>
      </c>
      <c r="F632" s="15"/>
      <c r="G632" s="15" t="s">
        <v>694</v>
      </c>
      <c r="H632" s="15" t="s">
        <v>2218</v>
      </c>
      <c r="I632" s="15" t="s">
        <v>211</v>
      </c>
      <c r="J632" s="3" t="s">
        <v>3996</v>
      </c>
      <c r="K632" s="15" t="n">
        <f aca="false">LEN(J632)</f>
        <v>67</v>
      </c>
      <c r="L632" s="3" t="s">
        <v>3997</v>
      </c>
      <c r="M632" s="15" t="n">
        <f aca="false">LEN(L632)</f>
        <v>158</v>
      </c>
      <c r="N632" s="3" t="s">
        <v>3998</v>
      </c>
      <c r="O632" s="15"/>
      <c r="P632" s="16"/>
      <c r="Q632" s="15"/>
      <c r="R632" s="15" t="s">
        <v>3999</v>
      </c>
      <c r="S632" s="15" t="n">
        <f aca="false">COUNTIF('Page-Keyword Map'!$A$2:$A$668,B632)</f>
        <v>0</v>
      </c>
      <c r="T632" s="16" t="n">
        <f aca="false">SUMIF('Page-Keyword Map'!$A$2:$A$668,B632,'Page-Keyword Map'!$H$2:$H$668)</f>
        <v>0</v>
      </c>
      <c r="U632" s="15" t="n">
        <f aca="false">COUNTIFS('Page-Keyword Map'!$A$2:$A$668,B632,'Page-Keyword Map'!$E$2:$E$668,"Nationwide")</f>
        <v>0</v>
      </c>
      <c r="V632" s="15" t="n">
        <f aca="false">COUNTIFS('Page-Keyword Map'!$A$2:$A$668,B632,'Page-Keyword Map'!$E$2:$E$668,"Provincial")</f>
        <v>0</v>
      </c>
      <c r="W632" s="15" t="n">
        <f aca="false">COUNTIFS('Page-Keyword Map'!$A$2:$A$668,B632,'Page-Keyword Map'!$E$2:$E$668,"City")</f>
        <v>0</v>
      </c>
      <c r="X632" s="15" t="str">
        <f aca="false">IF(O632="","",IF(ISNUMBER(SEARCH(O632,J632)),"Yes","No"))</f>
        <v/>
      </c>
      <c r="Y632" s="15" t="n">
        <v>0.5</v>
      </c>
      <c r="Z632" s="15" t="s">
        <v>216</v>
      </c>
      <c r="AA632" s="15" t="s">
        <v>217</v>
      </c>
      <c r="AB632" s="17"/>
      <c r="AC632" s="17"/>
    </row>
    <row r="633" customFormat="false" ht="23.85" hidden="false" customHeight="false" outlineLevel="0" collapsed="false">
      <c r="A633" s="15" t="s">
        <v>4000</v>
      </c>
      <c r="B633" s="15" t="s">
        <v>4001</v>
      </c>
      <c r="C633" s="15" t="s">
        <v>2076</v>
      </c>
      <c r="D633" s="15" t="s">
        <v>81</v>
      </c>
      <c r="E633" s="15" t="s">
        <v>349</v>
      </c>
      <c r="F633" s="15"/>
      <c r="G633" s="15" t="s">
        <v>701</v>
      </c>
      <c r="H633" s="15" t="s">
        <v>2225</v>
      </c>
      <c r="I633" s="15" t="s">
        <v>126</v>
      </c>
      <c r="J633" s="3" t="s">
        <v>4002</v>
      </c>
      <c r="K633" s="15" t="n">
        <f aca="false">LEN(J633)</f>
        <v>63</v>
      </c>
      <c r="L633" s="3" t="s">
        <v>4003</v>
      </c>
      <c r="M633" s="15" t="n">
        <f aca="false">LEN(L633)</f>
        <v>153</v>
      </c>
      <c r="N633" s="3" t="s">
        <v>4004</v>
      </c>
      <c r="O633" s="15" t="s">
        <v>4005</v>
      </c>
      <c r="P633" s="16" t="n">
        <v>44</v>
      </c>
      <c r="Q633" s="15" t="s">
        <v>104</v>
      </c>
      <c r="R633" s="15"/>
      <c r="S633" s="15" t="n">
        <f aca="false">COUNTIF('Page-Keyword Map'!$A$2:$A$668,B633)</f>
        <v>1</v>
      </c>
      <c r="T633" s="16" t="n">
        <f aca="false">SUMIF('Page-Keyword Map'!$A$2:$A$668,B633,'Page-Keyword Map'!$H$2:$H$668)</f>
        <v>44</v>
      </c>
      <c r="U633" s="15" t="n">
        <f aca="false">COUNTIFS('Page-Keyword Map'!$A$2:$A$668,B633,'Page-Keyword Map'!$E$2:$E$668,"Nationwide")</f>
        <v>0</v>
      </c>
      <c r="V633" s="15" t="n">
        <f aca="false">COUNTIFS('Page-Keyword Map'!$A$2:$A$668,B633,'Page-Keyword Map'!$E$2:$E$668,"Provincial")</f>
        <v>0</v>
      </c>
      <c r="W633" s="15" t="n">
        <f aca="false">COUNTIFS('Page-Keyword Map'!$A$2:$A$668,B633,'Page-Keyword Map'!$E$2:$E$668,"City")</f>
        <v>1</v>
      </c>
      <c r="X633" s="15" t="str">
        <f aca="false">IF(O633="","",IF(ISNUMBER(SEARCH(O633,J633)),"Yes","No"))</f>
        <v>Yes</v>
      </c>
      <c r="Y633" s="15" t="n">
        <v>0.7</v>
      </c>
      <c r="Z633" s="15" t="s">
        <v>2089</v>
      </c>
      <c r="AA633" s="15" t="s">
        <v>131</v>
      </c>
      <c r="AB633" s="17"/>
      <c r="AC633" s="17"/>
    </row>
    <row r="634" customFormat="false" ht="23.85" hidden="false" customHeight="false" outlineLevel="0" collapsed="false">
      <c r="A634" s="15" t="s">
        <v>4006</v>
      </c>
      <c r="B634" s="15" t="s">
        <v>4007</v>
      </c>
      <c r="C634" s="15" t="s">
        <v>2076</v>
      </c>
      <c r="D634" s="15" t="s">
        <v>81</v>
      </c>
      <c r="E634" s="15" t="s">
        <v>349</v>
      </c>
      <c r="F634" s="15"/>
      <c r="G634" s="15" t="s">
        <v>715</v>
      </c>
      <c r="H634" s="15" t="s">
        <v>2232</v>
      </c>
      <c r="I634" s="15" t="s">
        <v>211</v>
      </c>
      <c r="J634" s="3" t="s">
        <v>4008</v>
      </c>
      <c r="K634" s="15" t="n">
        <f aca="false">LEN(J634)</f>
        <v>60</v>
      </c>
      <c r="L634" s="3" t="s">
        <v>4009</v>
      </c>
      <c r="M634" s="15" t="n">
        <f aca="false">LEN(L634)</f>
        <v>146</v>
      </c>
      <c r="N634" s="3" t="s">
        <v>4010</v>
      </c>
      <c r="O634" s="15"/>
      <c r="P634" s="16"/>
      <c r="Q634" s="15"/>
      <c r="R634" s="15" t="s">
        <v>4011</v>
      </c>
      <c r="S634" s="15" t="n">
        <f aca="false">COUNTIF('Page-Keyword Map'!$A$2:$A$668,B634)</f>
        <v>0</v>
      </c>
      <c r="T634" s="16" t="n">
        <f aca="false">SUMIF('Page-Keyword Map'!$A$2:$A$668,B634,'Page-Keyword Map'!$H$2:$H$668)</f>
        <v>0</v>
      </c>
      <c r="U634" s="15" t="n">
        <f aca="false">COUNTIFS('Page-Keyword Map'!$A$2:$A$668,B634,'Page-Keyword Map'!$E$2:$E$668,"Nationwide")</f>
        <v>0</v>
      </c>
      <c r="V634" s="15" t="n">
        <f aca="false">COUNTIFS('Page-Keyword Map'!$A$2:$A$668,B634,'Page-Keyword Map'!$E$2:$E$668,"Provincial")</f>
        <v>0</v>
      </c>
      <c r="W634" s="15" t="n">
        <f aca="false">COUNTIFS('Page-Keyword Map'!$A$2:$A$668,B634,'Page-Keyword Map'!$E$2:$E$668,"City")</f>
        <v>0</v>
      </c>
      <c r="X634" s="15" t="str">
        <f aca="false">IF(O634="","",IF(ISNUMBER(SEARCH(O634,J634)),"Yes","No"))</f>
        <v/>
      </c>
      <c r="Y634" s="15" t="n">
        <v>0.5</v>
      </c>
      <c r="Z634" s="15" t="s">
        <v>216</v>
      </c>
      <c r="AA634" s="15" t="s">
        <v>217</v>
      </c>
      <c r="AB634" s="17"/>
      <c r="AC634" s="17"/>
    </row>
    <row r="635" customFormat="false" ht="23.85" hidden="false" customHeight="false" outlineLevel="0" collapsed="false">
      <c r="A635" s="15" t="s">
        <v>4012</v>
      </c>
      <c r="B635" s="15" t="s">
        <v>4013</v>
      </c>
      <c r="C635" s="15" t="s">
        <v>2076</v>
      </c>
      <c r="D635" s="15" t="s">
        <v>81</v>
      </c>
      <c r="E635" s="15" t="s">
        <v>349</v>
      </c>
      <c r="F635" s="15"/>
      <c r="G635" s="15" t="s">
        <v>715</v>
      </c>
      <c r="H635" s="15" t="s">
        <v>2239</v>
      </c>
      <c r="I635" s="15" t="s">
        <v>211</v>
      </c>
      <c r="J635" s="3" t="s">
        <v>4014</v>
      </c>
      <c r="K635" s="15" t="n">
        <f aca="false">LEN(J635)</f>
        <v>62</v>
      </c>
      <c r="L635" s="3" t="s">
        <v>4015</v>
      </c>
      <c r="M635" s="15" t="n">
        <f aca="false">LEN(L635)</f>
        <v>148</v>
      </c>
      <c r="N635" s="3" t="s">
        <v>4016</v>
      </c>
      <c r="O635" s="15"/>
      <c r="P635" s="16"/>
      <c r="Q635" s="15"/>
      <c r="R635" s="15" t="s">
        <v>4017</v>
      </c>
      <c r="S635" s="15" t="n">
        <f aca="false">COUNTIF('Page-Keyword Map'!$A$2:$A$668,B635)</f>
        <v>0</v>
      </c>
      <c r="T635" s="16" t="n">
        <f aca="false">SUMIF('Page-Keyword Map'!$A$2:$A$668,B635,'Page-Keyword Map'!$H$2:$H$668)</f>
        <v>0</v>
      </c>
      <c r="U635" s="15" t="n">
        <f aca="false">COUNTIFS('Page-Keyword Map'!$A$2:$A$668,B635,'Page-Keyword Map'!$E$2:$E$668,"Nationwide")</f>
        <v>0</v>
      </c>
      <c r="V635" s="15" t="n">
        <f aca="false">COUNTIFS('Page-Keyword Map'!$A$2:$A$668,B635,'Page-Keyword Map'!$E$2:$E$668,"Provincial")</f>
        <v>0</v>
      </c>
      <c r="W635" s="15" t="n">
        <f aca="false">COUNTIFS('Page-Keyword Map'!$A$2:$A$668,B635,'Page-Keyword Map'!$E$2:$E$668,"City")</f>
        <v>0</v>
      </c>
      <c r="X635" s="15" t="str">
        <f aca="false">IF(O635="","",IF(ISNUMBER(SEARCH(O635,J635)),"Yes","No"))</f>
        <v/>
      </c>
      <c r="Y635" s="15" t="n">
        <v>0.5</v>
      </c>
      <c r="Z635" s="15" t="s">
        <v>216</v>
      </c>
      <c r="AA635" s="15" t="s">
        <v>217</v>
      </c>
      <c r="AB635" s="17"/>
      <c r="AC635" s="17"/>
    </row>
    <row r="636" customFormat="false" ht="23.85" hidden="false" customHeight="false" outlineLevel="0" collapsed="false">
      <c r="A636" s="15" t="s">
        <v>4018</v>
      </c>
      <c r="B636" s="15" t="s">
        <v>4019</v>
      </c>
      <c r="C636" s="15" t="s">
        <v>2076</v>
      </c>
      <c r="D636" s="15" t="s">
        <v>81</v>
      </c>
      <c r="E636" s="15" t="s">
        <v>349</v>
      </c>
      <c r="F636" s="15"/>
      <c r="G636" s="15" t="s">
        <v>715</v>
      </c>
      <c r="H636" s="15" t="s">
        <v>2246</v>
      </c>
      <c r="I636" s="15" t="s">
        <v>126</v>
      </c>
      <c r="J636" s="3" t="s">
        <v>4020</v>
      </c>
      <c r="K636" s="15" t="n">
        <f aca="false">LEN(J636)</f>
        <v>64</v>
      </c>
      <c r="L636" s="3" t="s">
        <v>4021</v>
      </c>
      <c r="M636" s="15" t="n">
        <f aca="false">LEN(L636)</f>
        <v>150</v>
      </c>
      <c r="N636" s="3" t="s">
        <v>4022</v>
      </c>
      <c r="O636" s="15" t="s">
        <v>4023</v>
      </c>
      <c r="P636" s="16" t="n">
        <v>300</v>
      </c>
      <c r="Q636" s="15" t="s">
        <v>104</v>
      </c>
      <c r="R636" s="15"/>
      <c r="S636" s="15" t="n">
        <f aca="false">COUNTIF('Page-Keyword Map'!$A$2:$A$668,B636)</f>
        <v>1</v>
      </c>
      <c r="T636" s="16" t="n">
        <f aca="false">SUMIF('Page-Keyword Map'!$A$2:$A$668,B636,'Page-Keyword Map'!$H$2:$H$668)</f>
        <v>300</v>
      </c>
      <c r="U636" s="15" t="n">
        <f aca="false">COUNTIFS('Page-Keyword Map'!$A$2:$A$668,B636,'Page-Keyword Map'!$E$2:$E$668,"Nationwide")</f>
        <v>0</v>
      </c>
      <c r="V636" s="15" t="n">
        <f aca="false">COUNTIFS('Page-Keyword Map'!$A$2:$A$668,B636,'Page-Keyword Map'!$E$2:$E$668,"Provincial")</f>
        <v>0</v>
      </c>
      <c r="W636" s="15" t="n">
        <f aca="false">COUNTIFS('Page-Keyword Map'!$A$2:$A$668,B636,'Page-Keyword Map'!$E$2:$E$668,"City")</f>
        <v>1</v>
      </c>
      <c r="X636" s="15" t="str">
        <f aca="false">IF(O636="","",IF(ISNUMBER(SEARCH(O636,J636)),"Yes","No"))</f>
        <v>Yes</v>
      </c>
      <c r="Y636" s="15" t="n">
        <v>0.7</v>
      </c>
      <c r="Z636" s="15" t="s">
        <v>2089</v>
      </c>
      <c r="AA636" s="15" t="s">
        <v>131</v>
      </c>
      <c r="AB636" s="17"/>
      <c r="AC636" s="17"/>
    </row>
    <row r="637" customFormat="false" ht="23.85" hidden="false" customHeight="false" outlineLevel="0" collapsed="false">
      <c r="A637" s="15" t="s">
        <v>4024</v>
      </c>
      <c r="B637" s="15" t="s">
        <v>4025</v>
      </c>
      <c r="C637" s="15" t="s">
        <v>2076</v>
      </c>
      <c r="D637" s="15" t="s">
        <v>81</v>
      </c>
      <c r="E637" s="15" t="s">
        <v>349</v>
      </c>
      <c r="F637" s="15"/>
      <c r="G637" s="15" t="s">
        <v>715</v>
      </c>
      <c r="H637" s="15" t="s">
        <v>2253</v>
      </c>
      <c r="I637" s="15" t="s">
        <v>211</v>
      </c>
      <c r="J637" s="3" t="s">
        <v>4026</v>
      </c>
      <c r="K637" s="15" t="n">
        <f aca="false">LEN(J637)</f>
        <v>66</v>
      </c>
      <c r="L637" s="3" t="s">
        <v>4027</v>
      </c>
      <c r="M637" s="15" t="n">
        <f aca="false">LEN(L637)</f>
        <v>152</v>
      </c>
      <c r="N637" s="3" t="s">
        <v>4028</v>
      </c>
      <c r="O637" s="15"/>
      <c r="P637" s="16"/>
      <c r="Q637" s="15"/>
      <c r="R637" s="15" t="s">
        <v>4029</v>
      </c>
      <c r="S637" s="15" t="n">
        <f aca="false">COUNTIF('Page-Keyword Map'!$A$2:$A$668,B637)</f>
        <v>0</v>
      </c>
      <c r="T637" s="16" t="n">
        <f aca="false">SUMIF('Page-Keyword Map'!$A$2:$A$668,B637,'Page-Keyword Map'!$H$2:$H$668)</f>
        <v>0</v>
      </c>
      <c r="U637" s="15" t="n">
        <f aca="false">COUNTIFS('Page-Keyword Map'!$A$2:$A$668,B637,'Page-Keyword Map'!$E$2:$E$668,"Nationwide")</f>
        <v>0</v>
      </c>
      <c r="V637" s="15" t="n">
        <f aca="false">COUNTIFS('Page-Keyword Map'!$A$2:$A$668,B637,'Page-Keyword Map'!$E$2:$E$668,"Provincial")</f>
        <v>0</v>
      </c>
      <c r="W637" s="15" t="n">
        <f aca="false">COUNTIFS('Page-Keyword Map'!$A$2:$A$668,B637,'Page-Keyword Map'!$E$2:$E$668,"City")</f>
        <v>0</v>
      </c>
      <c r="X637" s="15" t="str">
        <f aca="false">IF(O637="","",IF(ISNUMBER(SEARCH(O637,J637)),"Yes","No"))</f>
        <v/>
      </c>
      <c r="Y637" s="15" t="n">
        <v>0.5</v>
      </c>
      <c r="Z637" s="15" t="s">
        <v>216</v>
      </c>
      <c r="AA637" s="15" t="s">
        <v>217</v>
      </c>
      <c r="AB637" s="17"/>
      <c r="AC637" s="17"/>
    </row>
    <row r="638" customFormat="false" ht="23.85" hidden="false" customHeight="false" outlineLevel="0" collapsed="false">
      <c r="A638" s="15" t="s">
        <v>4030</v>
      </c>
      <c r="B638" s="15" t="s">
        <v>4031</v>
      </c>
      <c r="C638" s="15" t="s">
        <v>2076</v>
      </c>
      <c r="D638" s="15" t="s">
        <v>81</v>
      </c>
      <c r="E638" s="15" t="s">
        <v>349</v>
      </c>
      <c r="F638" s="15"/>
      <c r="G638" s="15" t="s">
        <v>715</v>
      </c>
      <c r="H638" s="15" t="s">
        <v>2260</v>
      </c>
      <c r="I638" s="15" t="s">
        <v>211</v>
      </c>
      <c r="J638" s="3" t="s">
        <v>4032</v>
      </c>
      <c r="K638" s="15" t="n">
        <f aca="false">LEN(J638)</f>
        <v>65</v>
      </c>
      <c r="L638" s="3" t="s">
        <v>4033</v>
      </c>
      <c r="M638" s="15" t="n">
        <f aca="false">LEN(L638)</f>
        <v>151</v>
      </c>
      <c r="N638" s="3" t="s">
        <v>4034</v>
      </c>
      <c r="O638" s="15"/>
      <c r="P638" s="16"/>
      <c r="Q638" s="15"/>
      <c r="R638" s="15" t="s">
        <v>4035</v>
      </c>
      <c r="S638" s="15" t="n">
        <f aca="false">COUNTIF('Page-Keyword Map'!$A$2:$A$668,B638)</f>
        <v>0</v>
      </c>
      <c r="T638" s="16" t="n">
        <f aca="false">SUMIF('Page-Keyword Map'!$A$2:$A$668,B638,'Page-Keyword Map'!$H$2:$H$668)</f>
        <v>0</v>
      </c>
      <c r="U638" s="15" t="n">
        <f aca="false">COUNTIFS('Page-Keyword Map'!$A$2:$A$668,B638,'Page-Keyword Map'!$E$2:$E$668,"Nationwide")</f>
        <v>0</v>
      </c>
      <c r="V638" s="15" t="n">
        <f aca="false">COUNTIFS('Page-Keyword Map'!$A$2:$A$668,B638,'Page-Keyword Map'!$E$2:$E$668,"Provincial")</f>
        <v>0</v>
      </c>
      <c r="W638" s="15" t="n">
        <f aca="false">COUNTIFS('Page-Keyword Map'!$A$2:$A$668,B638,'Page-Keyword Map'!$E$2:$E$668,"City")</f>
        <v>0</v>
      </c>
      <c r="X638" s="15" t="str">
        <f aca="false">IF(O638="","",IF(ISNUMBER(SEARCH(O638,J638)),"Yes","No"))</f>
        <v/>
      </c>
      <c r="Y638" s="15" t="n">
        <v>0.5</v>
      </c>
      <c r="Z638" s="15" t="s">
        <v>216</v>
      </c>
      <c r="AA638" s="15" t="s">
        <v>217</v>
      </c>
      <c r="AB638" s="17"/>
      <c r="AC638" s="17"/>
    </row>
    <row r="639" customFormat="false" ht="23.85" hidden="false" customHeight="false" outlineLevel="0" collapsed="false">
      <c r="A639" s="15" t="s">
        <v>4036</v>
      </c>
      <c r="B639" s="15" t="s">
        <v>4037</v>
      </c>
      <c r="C639" s="15" t="s">
        <v>2076</v>
      </c>
      <c r="D639" s="15" t="s">
        <v>81</v>
      </c>
      <c r="E639" s="15" t="s">
        <v>349</v>
      </c>
      <c r="F639" s="15"/>
      <c r="G639" s="15" t="s">
        <v>715</v>
      </c>
      <c r="H639" s="15" t="s">
        <v>2267</v>
      </c>
      <c r="I639" s="15" t="s">
        <v>211</v>
      </c>
      <c r="J639" s="3" t="s">
        <v>4038</v>
      </c>
      <c r="K639" s="15" t="n">
        <f aca="false">LEN(J639)</f>
        <v>62</v>
      </c>
      <c r="L639" s="3" t="s">
        <v>4039</v>
      </c>
      <c r="M639" s="15" t="n">
        <f aca="false">LEN(L639)</f>
        <v>148</v>
      </c>
      <c r="N639" s="3" t="s">
        <v>4040</v>
      </c>
      <c r="O639" s="15"/>
      <c r="P639" s="16"/>
      <c r="Q639" s="15"/>
      <c r="R639" s="15" t="s">
        <v>4041</v>
      </c>
      <c r="S639" s="15" t="n">
        <f aca="false">COUNTIF('Page-Keyword Map'!$A$2:$A$668,B639)</f>
        <v>0</v>
      </c>
      <c r="T639" s="16" t="n">
        <f aca="false">SUMIF('Page-Keyword Map'!$A$2:$A$668,B639,'Page-Keyword Map'!$H$2:$H$668)</f>
        <v>0</v>
      </c>
      <c r="U639" s="15" t="n">
        <f aca="false">COUNTIFS('Page-Keyword Map'!$A$2:$A$668,B639,'Page-Keyword Map'!$E$2:$E$668,"Nationwide")</f>
        <v>0</v>
      </c>
      <c r="V639" s="15" t="n">
        <f aca="false">COUNTIFS('Page-Keyword Map'!$A$2:$A$668,B639,'Page-Keyword Map'!$E$2:$E$668,"Provincial")</f>
        <v>0</v>
      </c>
      <c r="W639" s="15" t="n">
        <f aca="false">COUNTIFS('Page-Keyword Map'!$A$2:$A$668,B639,'Page-Keyword Map'!$E$2:$E$668,"City")</f>
        <v>0</v>
      </c>
      <c r="X639" s="15" t="str">
        <f aca="false">IF(O639="","",IF(ISNUMBER(SEARCH(O639,J639)),"Yes","No"))</f>
        <v/>
      </c>
      <c r="Y639" s="15" t="n">
        <v>0.5</v>
      </c>
      <c r="Z639" s="15" t="s">
        <v>216</v>
      </c>
      <c r="AA639" s="15" t="s">
        <v>217</v>
      </c>
      <c r="AB639" s="17"/>
      <c r="AC639" s="17"/>
    </row>
    <row r="640" customFormat="false" ht="23.85" hidden="false" customHeight="false" outlineLevel="0" collapsed="false">
      <c r="A640" s="15" t="s">
        <v>4042</v>
      </c>
      <c r="B640" s="15" t="s">
        <v>4043</v>
      </c>
      <c r="C640" s="15" t="s">
        <v>2076</v>
      </c>
      <c r="D640" s="15" t="s">
        <v>81</v>
      </c>
      <c r="E640" s="15" t="s">
        <v>349</v>
      </c>
      <c r="F640" s="15"/>
      <c r="G640" s="15" t="s">
        <v>715</v>
      </c>
      <c r="H640" s="15" t="s">
        <v>2274</v>
      </c>
      <c r="I640" s="15" t="s">
        <v>126</v>
      </c>
      <c r="J640" s="3" t="s">
        <v>4044</v>
      </c>
      <c r="K640" s="15" t="n">
        <f aca="false">LEN(J640)</f>
        <v>64</v>
      </c>
      <c r="L640" s="3" t="s">
        <v>4045</v>
      </c>
      <c r="M640" s="15" t="n">
        <f aca="false">LEN(L640)</f>
        <v>150</v>
      </c>
      <c r="N640" s="3" t="s">
        <v>4046</v>
      </c>
      <c r="O640" s="15" t="s">
        <v>4047</v>
      </c>
      <c r="P640" s="16" t="n">
        <v>45</v>
      </c>
      <c r="Q640" s="15" t="s">
        <v>104</v>
      </c>
      <c r="R640" s="15"/>
      <c r="S640" s="15" t="n">
        <f aca="false">COUNTIF('Page-Keyword Map'!$A$2:$A$668,B640)</f>
        <v>1</v>
      </c>
      <c r="T640" s="16" t="n">
        <f aca="false">SUMIF('Page-Keyword Map'!$A$2:$A$668,B640,'Page-Keyword Map'!$H$2:$H$668)</f>
        <v>45</v>
      </c>
      <c r="U640" s="15" t="n">
        <f aca="false">COUNTIFS('Page-Keyword Map'!$A$2:$A$668,B640,'Page-Keyword Map'!$E$2:$E$668,"Nationwide")</f>
        <v>0</v>
      </c>
      <c r="V640" s="15" t="n">
        <f aca="false">COUNTIFS('Page-Keyword Map'!$A$2:$A$668,B640,'Page-Keyword Map'!$E$2:$E$668,"Provincial")</f>
        <v>0</v>
      </c>
      <c r="W640" s="15" t="n">
        <f aca="false">COUNTIFS('Page-Keyword Map'!$A$2:$A$668,B640,'Page-Keyword Map'!$E$2:$E$668,"City")</f>
        <v>1</v>
      </c>
      <c r="X640" s="15" t="str">
        <f aca="false">IF(O640="","",IF(ISNUMBER(SEARCH(O640,J640)),"Yes","No"))</f>
        <v>Yes</v>
      </c>
      <c r="Y640" s="15" t="n">
        <v>0.7</v>
      </c>
      <c r="Z640" s="15" t="s">
        <v>2089</v>
      </c>
      <c r="AA640" s="15" t="s">
        <v>131</v>
      </c>
      <c r="AB640" s="17"/>
      <c r="AC640" s="17"/>
    </row>
    <row r="641" customFormat="false" ht="23.85" hidden="false" customHeight="false" outlineLevel="0" collapsed="false">
      <c r="A641" s="15" t="s">
        <v>4048</v>
      </c>
      <c r="B641" s="15" t="s">
        <v>4049</v>
      </c>
      <c r="C641" s="15" t="s">
        <v>2076</v>
      </c>
      <c r="D641" s="15" t="s">
        <v>81</v>
      </c>
      <c r="E641" s="15" t="s">
        <v>349</v>
      </c>
      <c r="F641" s="15"/>
      <c r="G641" s="15" t="s">
        <v>715</v>
      </c>
      <c r="H641" s="15" t="s">
        <v>2281</v>
      </c>
      <c r="I641" s="15" t="s">
        <v>211</v>
      </c>
      <c r="J641" s="3" t="s">
        <v>4050</v>
      </c>
      <c r="K641" s="15" t="n">
        <f aca="false">LEN(J641)</f>
        <v>64</v>
      </c>
      <c r="L641" s="3" t="s">
        <v>4051</v>
      </c>
      <c r="M641" s="15" t="n">
        <f aca="false">LEN(L641)</f>
        <v>150</v>
      </c>
      <c r="N641" s="3" t="s">
        <v>4052</v>
      </c>
      <c r="O641" s="15"/>
      <c r="P641" s="16"/>
      <c r="Q641" s="15"/>
      <c r="R641" s="15" t="s">
        <v>4053</v>
      </c>
      <c r="S641" s="15" t="n">
        <f aca="false">COUNTIF('Page-Keyword Map'!$A$2:$A$668,B641)</f>
        <v>0</v>
      </c>
      <c r="T641" s="16" t="n">
        <f aca="false">SUMIF('Page-Keyword Map'!$A$2:$A$668,B641,'Page-Keyword Map'!$H$2:$H$668)</f>
        <v>0</v>
      </c>
      <c r="U641" s="15" t="n">
        <f aca="false">COUNTIFS('Page-Keyword Map'!$A$2:$A$668,B641,'Page-Keyword Map'!$E$2:$E$668,"Nationwide")</f>
        <v>0</v>
      </c>
      <c r="V641" s="15" t="n">
        <f aca="false">COUNTIFS('Page-Keyword Map'!$A$2:$A$668,B641,'Page-Keyword Map'!$E$2:$E$668,"Provincial")</f>
        <v>0</v>
      </c>
      <c r="W641" s="15" t="n">
        <f aca="false">COUNTIFS('Page-Keyword Map'!$A$2:$A$668,B641,'Page-Keyword Map'!$E$2:$E$668,"City")</f>
        <v>0</v>
      </c>
      <c r="X641" s="15" t="str">
        <f aca="false">IF(O641="","",IF(ISNUMBER(SEARCH(O641,J641)),"Yes","No"))</f>
        <v/>
      </c>
      <c r="Y641" s="15" t="n">
        <v>0.5</v>
      </c>
      <c r="Z641" s="15" t="s">
        <v>216</v>
      </c>
      <c r="AA641" s="15" t="s">
        <v>217</v>
      </c>
      <c r="AB641" s="17"/>
      <c r="AC641" s="17"/>
    </row>
    <row r="642" customFormat="false" ht="23.85" hidden="false" customHeight="false" outlineLevel="0" collapsed="false">
      <c r="A642" s="15" t="s">
        <v>4054</v>
      </c>
      <c r="B642" s="15" t="s">
        <v>4055</v>
      </c>
      <c r="C642" s="15" t="s">
        <v>2076</v>
      </c>
      <c r="D642" s="15" t="s">
        <v>81</v>
      </c>
      <c r="E642" s="15" t="s">
        <v>349</v>
      </c>
      <c r="F642" s="15"/>
      <c r="G642" s="15" t="s">
        <v>715</v>
      </c>
      <c r="H642" s="15" t="s">
        <v>2288</v>
      </c>
      <c r="I642" s="15" t="s">
        <v>126</v>
      </c>
      <c r="J642" s="3" t="s">
        <v>4056</v>
      </c>
      <c r="K642" s="15" t="n">
        <f aca="false">LEN(J642)</f>
        <v>65</v>
      </c>
      <c r="L642" s="3" t="s">
        <v>4057</v>
      </c>
      <c r="M642" s="15" t="n">
        <f aca="false">LEN(L642)</f>
        <v>151</v>
      </c>
      <c r="N642" s="3" t="s">
        <v>4058</v>
      </c>
      <c r="O642" s="15" t="s">
        <v>4059</v>
      </c>
      <c r="P642" s="16" t="n">
        <v>24</v>
      </c>
      <c r="Q642" s="15" t="s">
        <v>104</v>
      </c>
      <c r="R642" s="15"/>
      <c r="S642" s="15" t="n">
        <f aca="false">COUNTIF('Page-Keyword Map'!$A$2:$A$668,B642)</f>
        <v>1</v>
      </c>
      <c r="T642" s="16" t="n">
        <f aca="false">SUMIF('Page-Keyword Map'!$A$2:$A$668,B642,'Page-Keyword Map'!$H$2:$H$668)</f>
        <v>24</v>
      </c>
      <c r="U642" s="15" t="n">
        <f aca="false">COUNTIFS('Page-Keyword Map'!$A$2:$A$668,B642,'Page-Keyword Map'!$E$2:$E$668,"Nationwide")</f>
        <v>0</v>
      </c>
      <c r="V642" s="15" t="n">
        <f aca="false">COUNTIFS('Page-Keyword Map'!$A$2:$A$668,B642,'Page-Keyword Map'!$E$2:$E$668,"Provincial")</f>
        <v>0</v>
      </c>
      <c r="W642" s="15" t="n">
        <f aca="false">COUNTIFS('Page-Keyword Map'!$A$2:$A$668,B642,'Page-Keyword Map'!$E$2:$E$668,"City")</f>
        <v>1</v>
      </c>
      <c r="X642" s="15" t="str">
        <f aca="false">IF(O642="","",IF(ISNUMBER(SEARCH(O642,J642)),"Yes","No"))</f>
        <v>Yes</v>
      </c>
      <c r="Y642" s="15" t="n">
        <v>0.7</v>
      </c>
      <c r="Z642" s="15" t="s">
        <v>2089</v>
      </c>
      <c r="AA642" s="15" t="s">
        <v>131</v>
      </c>
      <c r="AB642" s="17"/>
      <c r="AC642" s="17"/>
    </row>
    <row r="643" customFormat="false" ht="23.85" hidden="false" customHeight="false" outlineLevel="0" collapsed="false">
      <c r="A643" s="15" t="s">
        <v>4060</v>
      </c>
      <c r="B643" s="15" t="s">
        <v>4061</v>
      </c>
      <c r="C643" s="15" t="s">
        <v>2076</v>
      </c>
      <c r="D643" s="15" t="s">
        <v>81</v>
      </c>
      <c r="E643" s="15" t="s">
        <v>349</v>
      </c>
      <c r="F643" s="15"/>
      <c r="G643" s="15" t="s">
        <v>715</v>
      </c>
      <c r="H643" s="15" t="s">
        <v>2295</v>
      </c>
      <c r="I643" s="15" t="s">
        <v>126</v>
      </c>
      <c r="J643" s="3" t="s">
        <v>4062</v>
      </c>
      <c r="K643" s="15" t="n">
        <f aca="false">LEN(J643)</f>
        <v>62</v>
      </c>
      <c r="L643" s="3" t="s">
        <v>4063</v>
      </c>
      <c r="M643" s="15" t="n">
        <f aca="false">LEN(L643)</f>
        <v>148</v>
      </c>
      <c r="N643" s="3" t="s">
        <v>4064</v>
      </c>
      <c r="O643" s="15" t="s">
        <v>4065</v>
      </c>
      <c r="P643" s="16" t="n">
        <v>35</v>
      </c>
      <c r="Q643" s="15" t="s">
        <v>104</v>
      </c>
      <c r="R643" s="15"/>
      <c r="S643" s="15" t="n">
        <f aca="false">COUNTIF('Page-Keyword Map'!$A$2:$A$668,B643)</f>
        <v>1</v>
      </c>
      <c r="T643" s="16" t="n">
        <f aca="false">SUMIF('Page-Keyword Map'!$A$2:$A$668,B643,'Page-Keyword Map'!$H$2:$H$668)</f>
        <v>35</v>
      </c>
      <c r="U643" s="15" t="n">
        <f aca="false">COUNTIFS('Page-Keyword Map'!$A$2:$A$668,B643,'Page-Keyword Map'!$E$2:$E$668,"Nationwide")</f>
        <v>0</v>
      </c>
      <c r="V643" s="15" t="n">
        <f aca="false">COUNTIFS('Page-Keyword Map'!$A$2:$A$668,B643,'Page-Keyword Map'!$E$2:$E$668,"Provincial")</f>
        <v>0</v>
      </c>
      <c r="W643" s="15" t="n">
        <f aca="false">COUNTIFS('Page-Keyword Map'!$A$2:$A$668,B643,'Page-Keyword Map'!$E$2:$E$668,"City")</f>
        <v>1</v>
      </c>
      <c r="X643" s="15" t="str">
        <f aca="false">IF(O643="","",IF(ISNUMBER(SEARCH(O643,J643)),"Yes","No"))</f>
        <v>No</v>
      </c>
      <c r="Y643" s="15" t="n">
        <v>0.7</v>
      </c>
      <c r="Z643" s="15" t="s">
        <v>2089</v>
      </c>
      <c r="AA643" s="15" t="s">
        <v>131</v>
      </c>
      <c r="AB643" s="17"/>
      <c r="AC643" s="17"/>
    </row>
    <row r="644" customFormat="false" ht="23.85" hidden="false" customHeight="false" outlineLevel="0" collapsed="false">
      <c r="A644" s="15" t="s">
        <v>4066</v>
      </c>
      <c r="B644" s="15" t="s">
        <v>4067</v>
      </c>
      <c r="C644" s="15" t="s">
        <v>2076</v>
      </c>
      <c r="D644" s="15" t="s">
        <v>81</v>
      </c>
      <c r="E644" s="15" t="s">
        <v>349</v>
      </c>
      <c r="F644" s="15"/>
      <c r="G644" s="15" t="s">
        <v>715</v>
      </c>
      <c r="H644" s="15" t="s">
        <v>2302</v>
      </c>
      <c r="I644" s="15" t="s">
        <v>126</v>
      </c>
      <c r="J644" s="3" t="s">
        <v>4068</v>
      </c>
      <c r="K644" s="15" t="n">
        <f aca="false">LEN(J644)</f>
        <v>63</v>
      </c>
      <c r="L644" s="3" t="s">
        <v>4069</v>
      </c>
      <c r="M644" s="15" t="n">
        <f aca="false">LEN(L644)</f>
        <v>149</v>
      </c>
      <c r="N644" s="3" t="s">
        <v>4070</v>
      </c>
      <c r="O644" s="15" t="s">
        <v>4071</v>
      </c>
      <c r="P644" s="16" t="n">
        <v>88</v>
      </c>
      <c r="Q644" s="15" t="s">
        <v>104</v>
      </c>
      <c r="R644" s="15"/>
      <c r="S644" s="15" t="n">
        <f aca="false">COUNTIF('Page-Keyword Map'!$A$2:$A$668,B644)</f>
        <v>1</v>
      </c>
      <c r="T644" s="16" t="n">
        <f aca="false">SUMIF('Page-Keyword Map'!$A$2:$A$668,B644,'Page-Keyword Map'!$H$2:$H$668)</f>
        <v>88</v>
      </c>
      <c r="U644" s="15" t="n">
        <f aca="false">COUNTIFS('Page-Keyword Map'!$A$2:$A$668,B644,'Page-Keyword Map'!$E$2:$E$668,"Nationwide")</f>
        <v>0</v>
      </c>
      <c r="V644" s="15" t="n">
        <f aca="false">COUNTIFS('Page-Keyword Map'!$A$2:$A$668,B644,'Page-Keyword Map'!$E$2:$E$668,"Provincial")</f>
        <v>0</v>
      </c>
      <c r="W644" s="15" t="n">
        <f aca="false">COUNTIFS('Page-Keyword Map'!$A$2:$A$668,B644,'Page-Keyword Map'!$E$2:$E$668,"City")</f>
        <v>1</v>
      </c>
      <c r="X644" s="15" t="str">
        <f aca="false">IF(O644="","",IF(ISNUMBER(SEARCH(O644,J644)),"Yes","No"))</f>
        <v>Yes</v>
      </c>
      <c r="Y644" s="15" t="n">
        <v>0.7</v>
      </c>
      <c r="Z644" s="15" t="s">
        <v>2089</v>
      </c>
      <c r="AA644" s="15" t="s">
        <v>131</v>
      </c>
      <c r="AB644" s="17"/>
      <c r="AC644" s="17"/>
    </row>
    <row r="645" customFormat="false" ht="23.85" hidden="false" customHeight="false" outlineLevel="0" collapsed="false">
      <c r="A645" s="15" t="s">
        <v>4072</v>
      </c>
      <c r="B645" s="15" t="s">
        <v>4073</v>
      </c>
      <c r="C645" s="15" t="s">
        <v>2076</v>
      </c>
      <c r="D645" s="15" t="s">
        <v>81</v>
      </c>
      <c r="E645" s="15" t="s">
        <v>349</v>
      </c>
      <c r="F645" s="15"/>
      <c r="G645" s="15" t="s">
        <v>715</v>
      </c>
      <c r="H645" s="15" t="s">
        <v>2309</v>
      </c>
      <c r="I645" s="15" t="s">
        <v>211</v>
      </c>
      <c r="J645" s="3" t="s">
        <v>4074</v>
      </c>
      <c r="K645" s="15" t="n">
        <f aca="false">LEN(J645)</f>
        <v>62</v>
      </c>
      <c r="L645" s="3" t="s">
        <v>4075</v>
      </c>
      <c r="M645" s="15" t="n">
        <f aca="false">LEN(L645)</f>
        <v>148</v>
      </c>
      <c r="N645" s="3" t="s">
        <v>4076</v>
      </c>
      <c r="O645" s="15"/>
      <c r="P645" s="16"/>
      <c r="Q645" s="15"/>
      <c r="R645" s="15" t="s">
        <v>4077</v>
      </c>
      <c r="S645" s="15" t="n">
        <f aca="false">COUNTIF('Page-Keyword Map'!$A$2:$A$668,B645)</f>
        <v>0</v>
      </c>
      <c r="T645" s="16" t="n">
        <f aca="false">SUMIF('Page-Keyword Map'!$A$2:$A$668,B645,'Page-Keyword Map'!$H$2:$H$668)</f>
        <v>0</v>
      </c>
      <c r="U645" s="15" t="n">
        <f aca="false">COUNTIFS('Page-Keyword Map'!$A$2:$A$668,B645,'Page-Keyword Map'!$E$2:$E$668,"Nationwide")</f>
        <v>0</v>
      </c>
      <c r="V645" s="15" t="n">
        <f aca="false">COUNTIFS('Page-Keyword Map'!$A$2:$A$668,B645,'Page-Keyword Map'!$E$2:$E$668,"Provincial")</f>
        <v>0</v>
      </c>
      <c r="W645" s="15" t="n">
        <f aca="false">COUNTIFS('Page-Keyword Map'!$A$2:$A$668,B645,'Page-Keyword Map'!$E$2:$E$668,"City")</f>
        <v>0</v>
      </c>
      <c r="X645" s="15" t="str">
        <f aca="false">IF(O645="","",IF(ISNUMBER(SEARCH(O645,J645)),"Yes","No"))</f>
        <v/>
      </c>
      <c r="Y645" s="15" t="n">
        <v>0.5</v>
      </c>
      <c r="Z645" s="15" t="s">
        <v>216</v>
      </c>
      <c r="AA645" s="15" t="s">
        <v>217</v>
      </c>
      <c r="AB645" s="17"/>
      <c r="AC645" s="17"/>
    </row>
    <row r="646" customFormat="false" ht="23.85" hidden="false" customHeight="false" outlineLevel="0" collapsed="false">
      <c r="A646" s="15" t="s">
        <v>4078</v>
      </c>
      <c r="B646" s="15" t="s">
        <v>4079</v>
      </c>
      <c r="C646" s="15" t="s">
        <v>2076</v>
      </c>
      <c r="D646" s="15" t="s">
        <v>81</v>
      </c>
      <c r="E646" s="15" t="s">
        <v>349</v>
      </c>
      <c r="F646" s="15"/>
      <c r="G646" s="15" t="s">
        <v>715</v>
      </c>
      <c r="H646" s="15" t="s">
        <v>2316</v>
      </c>
      <c r="I646" s="15" t="s">
        <v>126</v>
      </c>
      <c r="J646" s="3" t="s">
        <v>4080</v>
      </c>
      <c r="K646" s="15" t="n">
        <f aca="false">LEN(J646)</f>
        <v>67</v>
      </c>
      <c r="L646" s="3" t="s">
        <v>4081</v>
      </c>
      <c r="M646" s="15" t="n">
        <f aca="false">LEN(L646)</f>
        <v>153</v>
      </c>
      <c r="N646" s="3" t="s">
        <v>4082</v>
      </c>
      <c r="O646" s="15" t="s">
        <v>4083</v>
      </c>
      <c r="P646" s="16" t="n">
        <v>190</v>
      </c>
      <c r="Q646" s="15" t="s">
        <v>104</v>
      </c>
      <c r="R646" s="15"/>
      <c r="S646" s="15" t="n">
        <f aca="false">COUNTIF('Page-Keyword Map'!$A$2:$A$668,B646)</f>
        <v>1</v>
      </c>
      <c r="T646" s="16" t="n">
        <f aca="false">SUMIF('Page-Keyword Map'!$A$2:$A$668,B646,'Page-Keyword Map'!$H$2:$H$668)</f>
        <v>190</v>
      </c>
      <c r="U646" s="15" t="n">
        <f aca="false">COUNTIFS('Page-Keyword Map'!$A$2:$A$668,B646,'Page-Keyword Map'!$E$2:$E$668,"Nationwide")</f>
        <v>0</v>
      </c>
      <c r="V646" s="15" t="n">
        <f aca="false">COUNTIFS('Page-Keyword Map'!$A$2:$A$668,B646,'Page-Keyword Map'!$E$2:$E$668,"Provincial")</f>
        <v>0</v>
      </c>
      <c r="W646" s="15" t="n">
        <f aca="false">COUNTIFS('Page-Keyword Map'!$A$2:$A$668,B646,'Page-Keyword Map'!$E$2:$E$668,"City")</f>
        <v>1</v>
      </c>
      <c r="X646" s="15" t="str">
        <f aca="false">IF(O646="","",IF(ISNUMBER(SEARCH(O646,J646)),"Yes","No"))</f>
        <v>Yes</v>
      </c>
      <c r="Y646" s="15" t="n">
        <v>0.7</v>
      </c>
      <c r="Z646" s="15" t="s">
        <v>2089</v>
      </c>
      <c r="AA646" s="15" t="s">
        <v>131</v>
      </c>
      <c r="AB646" s="17"/>
      <c r="AC646" s="17"/>
    </row>
    <row r="647" customFormat="false" ht="23.85" hidden="false" customHeight="false" outlineLevel="0" collapsed="false">
      <c r="A647" s="15" t="s">
        <v>4084</v>
      </c>
      <c r="B647" s="15" t="s">
        <v>4085</v>
      </c>
      <c r="C647" s="15" t="s">
        <v>2076</v>
      </c>
      <c r="D647" s="15" t="s">
        <v>81</v>
      </c>
      <c r="E647" s="15" t="s">
        <v>349</v>
      </c>
      <c r="F647" s="15"/>
      <c r="G647" s="15" t="s">
        <v>715</v>
      </c>
      <c r="H647" s="15" t="s">
        <v>2323</v>
      </c>
      <c r="I647" s="15" t="s">
        <v>211</v>
      </c>
      <c r="J647" s="3" t="s">
        <v>4086</v>
      </c>
      <c r="K647" s="15" t="n">
        <f aca="false">LEN(J647)</f>
        <v>64</v>
      </c>
      <c r="L647" s="3" t="s">
        <v>4087</v>
      </c>
      <c r="M647" s="15" t="n">
        <f aca="false">LEN(L647)</f>
        <v>150</v>
      </c>
      <c r="N647" s="3" t="s">
        <v>4088</v>
      </c>
      <c r="O647" s="15" t="s">
        <v>4089</v>
      </c>
      <c r="P647" s="16" t="n">
        <v>20</v>
      </c>
      <c r="Q647" s="15" t="s">
        <v>104</v>
      </c>
      <c r="R647" s="15"/>
      <c r="S647" s="15" t="n">
        <f aca="false">COUNTIF('Page-Keyword Map'!$A$2:$A$668,B647)</f>
        <v>1</v>
      </c>
      <c r="T647" s="16" t="n">
        <f aca="false">SUMIF('Page-Keyword Map'!$A$2:$A$668,B647,'Page-Keyword Map'!$H$2:$H$668)</f>
        <v>20</v>
      </c>
      <c r="U647" s="15" t="n">
        <f aca="false">COUNTIFS('Page-Keyword Map'!$A$2:$A$668,B647,'Page-Keyword Map'!$E$2:$E$668,"Nationwide")</f>
        <v>0</v>
      </c>
      <c r="V647" s="15" t="n">
        <f aca="false">COUNTIFS('Page-Keyword Map'!$A$2:$A$668,B647,'Page-Keyword Map'!$E$2:$E$668,"Provincial")</f>
        <v>0</v>
      </c>
      <c r="W647" s="15" t="n">
        <f aca="false">COUNTIFS('Page-Keyword Map'!$A$2:$A$668,B647,'Page-Keyword Map'!$E$2:$E$668,"City")</f>
        <v>1</v>
      </c>
      <c r="X647" s="15" t="str">
        <f aca="false">IF(O647="","",IF(ISNUMBER(SEARCH(O647,J647)),"Yes","No"))</f>
        <v>Yes</v>
      </c>
      <c r="Y647" s="15" t="n">
        <v>0.5</v>
      </c>
      <c r="Z647" s="15" t="s">
        <v>216</v>
      </c>
      <c r="AA647" s="15" t="s">
        <v>217</v>
      </c>
      <c r="AB647" s="17"/>
      <c r="AC647" s="17"/>
    </row>
    <row r="648" customFormat="false" ht="23.85" hidden="false" customHeight="false" outlineLevel="0" collapsed="false">
      <c r="A648" s="15" t="s">
        <v>4090</v>
      </c>
      <c r="B648" s="15" t="s">
        <v>4091</v>
      </c>
      <c r="C648" s="15" t="s">
        <v>2076</v>
      </c>
      <c r="D648" s="15" t="s">
        <v>81</v>
      </c>
      <c r="E648" s="15" t="s">
        <v>349</v>
      </c>
      <c r="F648" s="15"/>
      <c r="G648" s="15" t="s">
        <v>715</v>
      </c>
      <c r="H648" s="15" t="s">
        <v>2330</v>
      </c>
      <c r="I648" s="15" t="s">
        <v>211</v>
      </c>
      <c r="J648" s="3" t="s">
        <v>4092</v>
      </c>
      <c r="K648" s="15" t="n">
        <f aca="false">LEN(J648)</f>
        <v>62</v>
      </c>
      <c r="L648" s="3" t="s">
        <v>4093</v>
      </c>
      <c r="M648" s="15" t="n">
        <f aca="false">LEN(L648)</f>
        <v>148</v>
      </c>
      <c r="N648" s="3" t="s">
        <v>4094</v>
      </c>
      <c r="O648" s="15"/>
      <c r="P648" s="16"/>
      <c r="Q648" s="15"/>
      <c r="R648" s="15" t="s">
        <v>4095</v>
      </c>
      <c r="S648" s="15" t="n">
        <f aca="false">COUNTIF('Page-Keyword Map'!$A$2:$A$668,B648)</f>
        <v>0</v>
      </c>
      <c r="T648" s="16" t="n">
        <f aca="false">SUMIF('Page-Keyword Map'!$A$2:$A$668,B648,'Page-Keyword Map'!$H$2:$H$668)</f>
        <v>0</v>
      </c>
      <c r="U648" s="15" t="n">
        <f aca="false">COUNTIFS('Page-Keyword Map'!$A$2:$A$668,B648,'Page-Keyword Map'!$E$2:$E$668,"Nationwide")</f>
        <v>0</v>
      </c>
      <c r="V648" s="15" t="n">
        <f aca="false">COUNTIFS('Page-Keyword Map'!$A$2:$A$668,B648,'Page-Keyword Map'!$E$2:$E$668,"Provincial")</f>
        <v>0</v>
      </c>
      <c r="W648" s="15" t="n">
        <f aca="false">COUNTIFS('Page-Keyword Map'!$A$2:$A$668,B648,'Page-Keyword Map'!$E$2:$E$668,"City")</f>
        <v>0</v>
      </c>
      <c r="X648" s="15" t="str">
        <f aca="false">IF(O648="","",IF(ISNUMBER(SEARCH(O648,J648)),"Yes","No"))</f>
        <v/>
      </c>
      <c r="Y648" s="15" t="n">
        <v>0.5</v>
      </c>
      <c r="Z648" s="15" t="s">
        <v>216</v>
      </c>
      <c r="AA648" s="15" t="s">
        <v>217</v>
      </c>
      <c r="AB648" s="17"/>
      <c r="AC648" s="17"/>
    </row>
    <row r="649" customFormat="false" ht="23.85" hidden="false" customHeight="false" outlineLevel="0" collapsed="false">
      <c r="A649" s="15" t="s">
        <v>4096</v>
      </c>
      <c r="B649" s="15" t="s">
        <v>4097</v>
      </c>
      <c r="C649" s="15" t="s">
        <v>2076</v>
      </c>
      <c r="D649" s="15" t="s">
        <v>81</v>
      </c>
      <c r="E649" s="15" t="s">
        <v>349</v>
      </c>
      <c r="F649" s="15"/>
      <c r="G649" s="15" t="s">
        <v>715</v>
      </c>
      <c r="H649" s="15" t="s">
        <v>2337</v>
      </c>
      <c r="I649" s="15" t="s">
        <v>126</v>
      </c>
      <c r="J649" s="3" t="s">
        <v>4098</v>
      </c>
      <c r="K649" s="15" t="n">
        <f aca="false">LEN(J649)</f>
        <v>62</v>
      </c>
      <c r="L649" s="3" t="s">
        <v>4099</v>
      </c>
      <c r="M649" s="15" t="n">
        <f aca="false">LEN(L649)</f>
        <v>148</v>
      </c>
      <c r="N649" s="3" t="s">
        <v>4100</v>
      </c>
      <c r="O649" s="15" t="s">
        <v>4101</v>
      </c>
      <c r="P649" s="16" t="n">
        <v>110</v>
      </c>
      <c r="Q649" s="15" t="s">
        <v>104</v>
      </c>
      <c r="R649" s="15"/>
      <c r="S649" s="15" t="n">
        <f aca="false">COUNTIF('Page-Keyword Map'!$A$2:$A$668,B649)</f>
        <v>1</v>
      </c>
      <c r="T649" s="16" t="n">
        <f aca="false">SUMIF('Page-Keyword Map'!$A$2:$A$668,B649,'Page-Keyword Map'!$H$2:$H$668)</f>
        <v>110</v>
      </c>
      <c r="U649" s="15" t="n">
        <f aca="false">COUNTIFS('Page-Keyword Map'!$A$2:$A$668,B649,'Page-Keyword Map'!$E$2:$E$668,"Nationwide")</f>
        <v>0</v>
      </c>
      <c r="V649" s="15" t="n">
        <f aca="false">COUNTIFS('Page-Keyword Map'!$A$2:$A$668,B649,'Page-Keyword Map'!$E$2:$E$668,"Provincial")</f>
        <v>0</v>
      </c>
      <c r="W649" s="15" t="n">
        <f aca="false">COUNTIFS('Page-Keyword Map'!$A$2:$A$668,B649,'Page-Keyword Map'!$E$2:$E$668,"City")</f>
        <v>1</v>
      </c>
      <c r="X649" s="15" t="str">
        <f aca="false">IF(O649="","",IF(ISNUMBER(SEARCH(O649,J649)),"Yes","No"))</f>
        <v>Yes</v>
      </c>
      <c r="Y649" s="15" t="n">
        <v>0.7</v>
      </c>
      <c r="Z649" s="15" t="s">
        <v>2089</v>
      </c>
      <c r="AA649" s="15" t="s">
        <v>131</v>
      </c>
      <c r="AB649" s="17"/>
      <c r="AC649" s="17"/>
    </row>
    <row r="650" customFormat="false" ht="23.85" hidden="false" customHeight="false" outlineLevel="0" collapsed="false">
      <c r="A650" s="15" t="s">
        <v>4102</v>
      </c>
      <c r="B650" s="15" t="s">
        <v>4103</v>
      </c>
      <c r="C650" s="15" t="s">
        <v>2076</v>
      </c>
      <c r="D650" s="15" t="s">
        <v>81</v>
      </c>
      <c r="E650" s="15" t="s">
        <v>349</v>
      </c>
      <c r="F650" s="15"/>
      <c r="G650" s="15" t="s">
        <v>715</v>
      </c>
      <c r="H650" s="15" t="s">
        <v>2344</v>
      </c>
      <c r="I650" s="15" t="s">
        <v>211</v>
      </c>
      <c r="J650" s="3" t="s">
        <v>4104</v>
      </c>
      <c r="K650" s="15" t="n">
        <f aca="false">LEN(J650)</f>
        <v>65</v>
      </c>
      <c r="L650" s="3" t="s">
        <v>4105</v>
      </c>
      <c r="M650" s="15" t="n">
        <f aca="false">LEN(L650)</f>
        <v>151</v>
      </c>
      <c r="N650" s="3" t="s">
        <v>4106</v>
      </c>
      <c r="O650" s="15"/>
      <c r="P650" s="16"/>
      <c r="Q650" s="15"/>
      <c r="R650" s="15" t="s">
        <v>4107</v>
      </c>
      <c r="S650" s="15" t="n">
        <f aca="false">COUNTIF('Page-Keyword Map'!$A$2:$A$668,B650)</f>
        <v>0</v>
      </c>
      <c r="T650" s="16" t="n">
        <f aca="false">SUMIF('Page-Keyword Map'!$A$2:$A$668,B650,'Page-Keyword Map'!$H$2:$H$668)</f>
        <v>0</v>
      </c>
      <c r="U650" s="15" t="n">
        <f aca="false">COUNTIFS('Page-Keyword Map'!$A$2:$A$668,B650,'Page-Keyword Map'!$E$2:$E$668,"Nationwide")</f>
        <v>0</v>
      </c>
      <c r="V650" s="15" t="n">
        <f aca="false">COUNTIFS('Page-Keyword Map'!$A$2:$A$668,B650,'Page-Keyword Map'!$E$2:$E$668,"Provincial")</f>
        <v>0</v>
      </c>
      <c r="W650" s="15" t="n">
        <f aca="false">COUNTIFS('Page-Keyword Map'!$A$2:$A$668,B650,'Page-Keyword Map'!$E$2:$E$668,"City")</f>
        <v>0</v>
      </c>
      <c r="X650" s="15" t="str">
        <f aca="false">IF(O650="","",IF(ISNUMBER(SEARCH(O650,J650)),"Yes","No"))</f>
        <v/>
      </c>
      <c r="Y650" s="15" t="n">
        <v>0.5</v>
      </c>
      <c r="Z650" s="15" t="s">
        <v>216</v>
      </c>
      <c r="AA650" s="15" t="s">
        <v>217</v>
      </c>
      <c r="AB650" s="17"/>
      <c r="AC650" s="17"/>
    </row>
    <row r="651" customFormat="false" ht="23.85" hidden="false" customHeight="false" outlineLevel="0" collapsed="false">
      <c r="A651" s="15" t="s">
        <v>4108</v>
      </c>
      <c r="B651" s="15" t="s">
        <v>4109</v>
      </c>
      <c r="C651" s="15" t="s">
        <v>2076</v>
      </c>
      <c r="D651" s="15" t="s">
        <v>81</v>
      </c>
      <c r="E651" s="15" t="s">
        <v>349</v>
      </c>
      <c r="F651" s="15"/>
      <c r="G651" s="15" t="s">
        <v>715</v>
      </c>
      <c r="H651" s="15" t="s">
        <v>2351</v>
      </c>
      <c r="I651" s="15" t="s">
        <v>211</v>
      </c>
      <c r="J651" s="3" t="s">
        <v>4110</v>
      </c>
      <c r="K651" s="15" t="n">
        <f aca="false">LEN(J651)</f>
        <v>69</v>
      </c>
      <c r="L651" s="3" t="s">
        <v>4111</v>
      </c>
      <c r="M651" s="15" t="n">
        <f aca="false">LEN(L651)</f>
        <v>155</v>
      </c>
      <c r="N651" s="3" t="s">
        <v>4112</v>
      </c>
      <c r="O651" s="15"/>
      <c r="P651" s="16"/>
      <c r="Q651" s="15"/>
      <c r="R651" s="15" t="s">
        <v>4113</v>
      </c>
      <c r="S651" s="15" t="n">
        <f aca="false">COUNTIF('Page-Keyword Map'!$A$2:$A$668,B651)</f>
        <v>0</v>
      </c>
      <c r="T651" s="16" t="n">
        <f aca="false">SUMIF('Page-Keyword Map'!$A$2:$A$668,B651,'Page-Keyword Map'!$H$2:$H$668)</f>
        <v>0</v>
      </c>
      <c r="U651" s="15" t="n">
        <f aca="false">COUNTIFS('Page-Keyword Map'!$A$2:$A$668,B651,'Page-Keyword Map'!$E$2:$E$668,"Nationwide")</f>
        <v>0</v>
      </c>
      <c r="V651" s="15" t="n">
        <f aca="false">COUNTIFS('Page-Keyword Map'!$A$2:$A$668,B651,'Page-Keyword Map'!$E$2:$E$668,"Provincial")</f>
        <v>0</v>
      </c>
      <c r="W651" s="15" t="n">
        <f aca="false">COUNTIFS('Page-Keyword Map'!$A$2:$A$668,B651,'Page-Keyword Map'!$E$2:$E$668,"City")</f>
        <v>0</v>
      </c>
      <c r="X651" s="15" t="str">
        <f aca="false">IF(O651="","",IF(ISNUMBER(SEARCH(O651,J651)),"Yes","No"))</f>
        <v/>
      </c>
      <c r="Y651" s="15" t="n">
        <v>0.5</v>
      </c>
      <c r="Z651" s="15" t="s">
        <v>216</v>
      </c>
      <c r="AA651" s="15" t="s">
        <v>217</v>
      </c>
      <c r="AB651" s="17"/>
      <c r="AC651" s="17"/>
    </row>
    <row r="652" customFormat="false" ht="23.85" hidden="false" customHeight="false" outlineLevel="0" collapsed="false">
      <c r="A652" s="15" t="s">
        <v>4114</v>
      </c>
      <c r="B652" s="15" t="s">
        <v>4115</v>
      </c>
      <c r="C652" s="15" t="s">
        <v>2076</v>
      </c>
      <c r="D652" s="15" t="s">
        <v>81</v>
      </c>
      <c r="E652" s="15" t="s">
        <v>349</v>
      </c>
      <c r="F652" s="15"/>
      <c r="G652" s="15" t="s">
        <v>715</v>
      </c>
      <c r="H652" s="15" t="s">
        <v>2358</v>
      </c>
      <c r="I652" s="15" t="s">
        <v>211</v>
      </c>
      <c r="J652" s="3" t="s">
        <v>4116</v>
      </c>
      <c r="K652" s="15" t="n">
        <f aca="false">LEN(J652)</f>
        <v>70</v>
      </c>
      <c r="L652" s="3" t="s">
        <v>4117</v>
      </c>
      <c r="M652" s="15" t="n">
        <f aca="false">LEN(L652)</f>
        <v>156</v>
      </c>
      <c r="N652" s="3" t="s">
        <v>4118</v>
      </c>
      <c r="O652" s="15"/>
      <c r="P652" s="16"/>
      <c r="Q652" s="15"/>
      <c r="R652" s="15" t="s">
        <v>4119</v>
      </c>
      <c r="S652" s="15" t="n">
        <f aca="false">COUNTIF('Page-Keyword Map'!$A$2:$A$668,B652)</f>
        <v>0</v>
      </c>
      <c r="T652" s="16" t="n">
        <f aca="false">SUMIF('Page-Keyword Map'!$A$2:$A$668,B652,'Page-Keyword Map'!$H$2:$H$668)</f>
        <v>0</v>
      </c>
      <c r="U652" s="15" t="n">
        <f aca="false">COUNTIFS('Page-Keyword Map'!$A$2:$A$668,B652,'Page-Keyword Map'!$E$2:$E$668,"Nationwide")</f>
        <v>0</v>
      </c>
      <c r="V652" s="15" t="n">
        <f aca="false">COUNTIFS('Page-Keyword Map'!$A$2:$A$668,B652,'Page-Keyword Map'!$E$2:$E$668,"Provincial")</f>
        <v>0</v>
      </c>
      <c r="W652" s="15" t="n">
        <f aca="false">COUNTIFS('Page-Keyword Map'!$A$2:$A$668,B652,'Page-Keyword Map'!$E$2:$E$668,"City")</f>
        <v>0</v>
      </c>
      <c r="X652" s="15" t="str">
        <f aca="false">IF(O652="","",IF(ISNUMBER(SEARCH(O652,J652)),"Yes","No"))</f>
        <v/>
      </c>
      <c r="Y652" s="15" t="n">
        <v>0.5</v>
      </c>
      <c r="Z652" s="15" t="s">
        <v>216</v>
      </c>
      <c r="AA652" s="15" t="s">
        <v>217</v>
      </c>
      <c r="AB652" s="17"/>
      <c r="AC652" s="17"/>
    </row>
    <row r="653" customFormat="false" ht="23.85" hidden="false" customHeight="false" outlineLevel="0" collapsed="false">
      <c r="A653" s="15" t="s">
        <v>4120</v>
      </c>
      <c r="B653" s="15" t="s">
        <v>4121</v>
      </c>
      <c r="C653" s="15" t="s">
        <v>2076</v>
      </c>
      <c r="D653" s="15" t="s">
        <v>81</v>
      </c>
      <c r="E653" s="15" t="s">
        <v>349</v>
      </c>
      <c r="F653" s="15"/>
      <c r="G653" s="15" t="s">
        <v>715</v>
      </c>
      <c r="H653" s="15" t="s">
        <v>2365</v>
      </c>
      <c r="I653" s="15" t="s">
        <v>211</v>
      </c>
      <c r="J653" s="3" t="s">
        <v>4122</v>
      </c>
      <c r="K653" s="15" t="n">
        <f aca="false">LEN(J653)</f>
        <v>63</v>
      </c>
      <c r="L653" s="3" t="s">
        <v>4123</v>
      </c>
      <c r="M653" s="15" t="n">
        <f aca="false">LEN(L653)</f>
        <v>149</v>
      </c>
      <c r="N653" s="3" t="s">
        <v>4124</v>
      </c>
      <c r="O653" s="15"/>
      <c r="P653" s="16"/>
      <c r="Q653" s="15"/>
      <c r="R653" s="15" t="s">
        <v>4125</v>
      </c>
      <c r="S653" s="15" t="n">
        <f aca="false">COUNTIF('Page-Keyword Map'!$A$2:$A$668,B653)</f>
        <v>0</v>
      </c>
      <c r="T653" s="16" t="n">
        <f aca="false">SUMIF('Page-Keyword Map'!$A$2:$A$668,B653,'Page-Keyword Map'!$H$2:$H$668)</f>
        <v>0</v>
      </c>
      <c r="U653" s="15" t="n">
        <f aca="false">COUNTIFS('Page-Keyword Map'!$A$2:$A$668,B653,'Page-Keyword Map'!$E$2:$E$668,"Nationwide")</f>
        <v>0</v>
      </c>
      <c r="V653" s="15" t="n">
        <f aca="false">COUNTIFS('Page-Keyword Map'!$A$2:$A$668,B653,'Page-Keyword Map'!$E$2:$E$668,"Provincial")</f>
        <v>0</v>
      </c>
      <c r="W653" s="15" t="n">
        <f aca="false">COUNTIFS('Page-Keyword Map'!$A$2:$A$668,B653,'Page-Keyword Map'!$E$2:$E$668,"City")</f>
        <v>0</v>
      </c>
      <c r="X653" s="15" t="str">
        <f aca="false">IF(O653="","",IF(ISNUMBER(SEARCH(O653,J653)),"Yes","No"))</f>
        <v/>
      </c>
      <c r="Y653" s="15" t="n">
        <v>0.5</v>
      </c>
      <c r="Z653" s="15" t="s">
        <v>216</v>
      </c>
      <c r="AA653" s="15" t="s">
        <v>217</v>
      </c>
      <c r="AB653" s="17"/>
      <c r="AC653" s="17"/>
    </row>
    <row r="654" customFormat="false" ht="23.85" hidden="false" customHeight="false" outlineLevel="0" collapsed="false">
      <c r="A654" s="15" t="s">
        <v>4126</v>
      </c>
      <c r="B654" s="15" t="s">
        <v>4127</v>
      </c>
      <c r="C654" s="15" t="s">
        <v>2076</v>
      </c>
      <c r="D654" s="15" t="s">
        <v>81</v>
      </c>
      <c r="E654" s="15" t="s">
        <v>349</v>
      </c>
      <c r="F654" s="15"/>
      <c r="G654" s="15" t="s">
        <v>715</v>
      </c>
      <c r="H654" s="15" t="s">
        <v>2372</v>
      </c>
      <c r="I654" s="15" t="s">
        <v>211</v>
      </c>
      <c r="J654" s="3" t="s">
        <v>4128</v>
      </c>
      <c r="K654" s="15" t="n">
        <f aca="false">LEN(J654)</f>
        <v>67</v>
      </c>
      <c r="L654" s="3" t="s">
        <v>4129</v>
      </c>
      <c r="M654" s="15" t="n">
        <f aca="false">LEN(L654)</f>
        <v>153</v>
      </c>
      <c r="N654" s="3" t="s">
        <v>4130</v>
      </c>
      <c r="O654" s="15"/>
      <c r="P654" s="16"/>
      <c r="Q654" s="15"/>
      <c r="R654" s="15" t="s">
        <v>4131</v>
      </c>
      <c r="S654" s="15" t="n">
        <f aca="false">COUNTIF('Page-Keyword Map'!$A$2:$A$668,B654)</f>
        <v>0</v>
      </c>
      <c r="T654" s="16" t="n">
        <f aca="false">SUMIF('Page-Keyword Map'!$A$2:$A$668,B654,'Page-Keyword Map'!$H$2:$H$668)</f>
        <v>0</v>
      </c>
      <c r="U654" s="15" t="n">
        <f aca="false">COUNTIFS('Page-Keyword Map'!$A$2:$A$668,B654,'Page-Keyword Map'!$E$2:$E$668,"Nationwide")</f>
        <v>0</v>
      </c>
      <c r="V654" s="15" t="n">
        <f aca="false">COUNTIFS('Page-Keyword Map'!$A$2:$A$668,B654,'Page-Keyword Map'!$E$2:$E$668,"Provincial")</f>
        <v>0</v>
      </c>
      <c r="W654" s="15" t="n">
        <f aca="false">COUNTIFS('Page-Keyword Map'!$A$2:$A$668,B654,'Page-Keyword Map'!$E$2:$E$668,"City")</f>
        <v>0</v>
      </c>
      <c r="X654" s="15" t="str">
        <f aca="false">IF(O654="","",IF(ISNUMBER(SEARCH(O654,J654)),"Yes","No"))</f>
        <v/>
      </c>
      <c r="Y654" s="15" t="n">
        <v>0.5</v>
      </c>
      <c r="Z654" s="15" t="s">
        <v>216</v>
      </c>
      <c r="AA654" s="15" t="s">
        <v>217</v>
      </c>
      <c r="AB654" s="17"/>
      <c r="AC654" s="17"/>
    </row>
    <row r="655" customFormat="false" ht="23.85" hidden="false" customHeight="false" outlineLevel="0" collapsed="false">
      <c r="A655" s="15" t="s">
        <v>4132</v>
      </c>
      <c r="B655" s="15" t="s">
        <v>4133</v>
      </c>
      <c r="C655" s="15" t="s">
        <v>2076</v>
      </c>
      <c r="D655" s="15" t="s">
        <v>81</v>
      </c>
      <c r="E655" s="15" t="s">
        <v>349</v>
      </c>
      <c r="F655" s="15"/>
      <c r="G655" s="15" t="s">
        <v>715</v>
      </c>
      <c r="H655" s="15" t="s">
        <v>2379</v>
      </c>
      <c r="I655" s="15" t="s">
        <v>126</v>
      </c>
      <c r="J655" s="3" t="s">
        <v>4134</v>
      </c>
      <c r="K655" s="15" t="n">
        <f aca="false">LEN(J655)</f>
        <v>63</v>
      </c>
      <c r="L655" s="3" t="s">
        <v>4135</v>
      </c>
      <c r="M655" s="15" t="n">
        <f aca="false">LEN(L655)</f>
        <v>149</v>
      </c>
      <c r="N655" s="3" t="s">
        <v>4136</v>
      </c>
      <c r="O655" s="15" t="s">
        <v>4137</v>
      </c>
      <c r="P655" s="16" t="n">
        <v>320</v>
      </c>
      <c r="Q655" s="15" t="s">
        <v>104</v>
      </c>
      <c r="R655" s="15"/>
      <c r="S655" s="15" t="n">
        <f aca="false">COUNTIF('Page-Keyword Map'!$A$2:$A$668,B655)</f>
        <v>1</v>
      </c>
      <c r="T655" s="16" t="n">
        <f aca="false">SUMIF('Page-Keyword Map'!$A$2:$A$668,B655,'Page-Keyword Map'!$H$2:$H$668)</f>
        <v>320</v>
      </c>
      <c r="U655" s="15" t="n">
        <f aca="false">COUNTIFS('Page-Keyword Map'!$A$2:$A$668,B655,'Page-Keyword Map'!$E$2:$E$668,"Nationwide")</f>
        <v>0</v>
      </c>
      <c r="V655" s="15" t="n">
        <f aca="false">COUNTIFS('Page-Keyword Map'!$A$2:$A$668,B655,'Page-Keyword Map'!$E$2:$E$668,"Provincial")</f>
        <v>0</v>
      </c>
      <c r="W655" s="15" t="n">
        <f aca="false">COUNTIFS('Page-Keyword Map'!$A$2:$A$668,B655,'Page-Keyword Map'!$E$2:$E$668,"City")</f>
        <v>1</v>
      </c>
      <c r="X655" s="15" t="str">
        <f aca="false">IF(O655="","",IF(ISNUMBER(SEARCH(O655,J655)),"Yes","No"))</f>
        <v>Yes</v>
      </c>
      <c r="Y655" s="15" t="n">
        <v>0.7</v>
      </c>
      <c r="Z655" s="15" t="s">
        <v>2089</v>
      </c>
      <c r="AA655" s="15" t="s">
        <v>131</v>
      </c>
      <c r="AB655" s="17"/>
      <c r="AC655" s="17"/>
    </row>
    <row r="656" customFormat="false" ht="23.85" hidden="false" customHeight="false" outlineLevel="0" collapsed="false">
      <c r="A656" s="15" t="s">
        <v>4138</v>
      </c>
      <c r="B656" s="15" t="s">
        <v>4139</v>
      </c>
      <c r="C656" s="15" t="s">
        <v>2076</v>
      </c>
      <c r="D656" s="15" t="s">
        <v>81</v>
      </c>
      <c r="E656" s="15" t="s">
        <v>349</v>
      </c>
      <c r="F656" s="15"/>
      <c r="G656" s="15" t="s">
        <v>715</v>
      </c>
      <c r="H656" s="15" t="s">
        <v>2386</v>
      </c>
      <c r="I656" s="15" t="s">
        <v>126</v>
      </c>
      <c r="J656" s="3" t="s">
        <v>4140</v>
      </c>
      <c r="K656" s="15" t="n">
        <f aca="false">LEN(J656)</f>
        <v>63</v>
      </c>
      <c r="L656" s="3" t="s">
        <v>4141</v>
      </c>
      <c r="M656" s="15" t="n">
        <f aca="false">LEN(L656)</f>
        <v>149</v>
      </c>
      <c r="N656" s="3" t="s">
        <v>4142</v>
      </c>
      <c r="O656" s="15" t="s">
        <v>4143</v>
      </c>
      <c r="P656" s="16" t="n">
        <v>28</v>
      </c>
      <c r="Q656" s="15" t="s">
        <v>104</v>
      </c>
      <c r="R656" s="15"/>
      <c r="S656" s="15" t="n">
        <f aca="false">COUNTIF('Page-Keyword Map'!$A$2:$A$668,B656)</f>
        <v>1</v>
      </c>
      <c r="T656" s="16" t="n">
        <f aca="false">SUMIF('Page-Keyword Map'!$A$2:$A$668,B656,'Page-Keyword Map'!$H$2:$H$668)</f>
        <v>28</v>
      </c>
      <c r="U656" s="15" t="n">
        <f aca="false">COUNTIFS('Page-Keyword Map'!$A$2:$A$668,B656,'Page-Keyword Map'!$E$2:$E$668,"Nationwide")</f>
        <v>0</v>
      </c>
      <c r="V656" s="15" t="n">
        <f aca="false">COUNTIFS('Page-Keyword Map'!$A$2:$A$668,B656,'Page-Keyword Map'!$E$2:$E$668,"Provincial")</f>
        <v>0</v>
      </c>
      <c r="W656" s="15" t="n">
        <f aca="false">COUNTIFS('Page-Keyword Map'!$A$2:$A$668,B656,'Page-Keyword Map'!$E$2:$E$668,"City")</f>
        <v>1</v>
      </c>
      <c r="X656" s="15" t="str">
        <f aca="false">IF(O656="","",IF(ISNUMBER(SEARCH(O656,J656)),"Yes","No"))</f>
        <v>Yes</v>
      </c>
      <c r="Y656" s="15" t="n">
        <v>0.7</v>
      </c>
      <c r="Z656" s="15" t="s">
        <v>2089</v>
      </c>
      <c r="AA656" s="15" t="s">
        <v>131</v>
      </c>
      <c r="AB656" s="17"/>
      <c r="AC656" s="17"/>
    </row>
    <row r="657" customFormat="false" ht="23.85" hidden="false" customHeight="false" outlineLevel="0" collapsed="false">
      <c r="A657" s="15" t="s">
        <v>4144</v>
      </c>
      <c r="B657" s="15" t="s">
        <v>4145</v>
      </c>
      <c r="C657" s="15" t="s">
        <v>2076</v>
      </c>
      <c r="D657" s="15" t="s">
        <v>81</v>
      </c>
      <c r="E657" s="15" t="s">
        <v>349</v>
      </c>
      <c r="F657" s="15"/>
      <c r="G657" s="15" t="s">
        <v>715</v>
      </c>
      <c r="H657" s="15" t="s">
        <v>2393</v>
      </c>
      <c r="I657" s="15" t="s">
        <v>211</v>
      </c>
      <c r="J657" s="3" t="s">
        <v>4146</v>
      </c>
      <c r="K657" s="15" t="n">
        <f aca="false">LEN(J657)</f>
        <v>64</v>
      </c>
      <c r="L657" s="3" t="s">
        <v>4147</v>
      </c>
      <c r="M657" s="15" t="n">
        <f aca="false">LEN(L657)</f>
        <v>150</v>
      </c>
      <c r="N657" s="3" t="s">
        <v>4148</v>
      </c>
      <c r="O657" s="15"/>
      <c r="P657" s="16"/>
      <c r="Q657" s="15"/>
      <c r="R657" s="15" t="s">
        <v>4149</v>
      </c>
      <c r="S657" s="15" t="n">
        <f aca="false">COUNTIF('Page-Keyword Map'!$A$2:$A$668,B657)</f>
        <v>0</v>
      </c>
      <c r="T657" s="16" t="n">
        <f aca="false">SUMIF('Page-Keyword Map'!$A$2:$A$668,B657,'Page-Keyword Map'!$H$2:$H$668)</f>
        <v>0</v>
      </c>
      <c r="U657" s="15" t="n">
        <f aca="false">COUNTIFS('Page-Keyword Map'!$A$2:$A$668,B657,'Page-Keyword Map'!$E$2:$E$668,"Nationwide")</f>
        <v>0</v>
      </c>
      <c r="V657" s="15" t="n">
        <f aca="false">COUNTIFS('Page-Keyword Map'!$A$2:$A$668,B657,'Page-Keyword Map'!$E$2:$E$668,"Provincial")</f>
        <v>0</v>
      </c>
      <c r="W657" s="15" t="n">
        <f aca="false">COUNTIFS('Page-Keyword Map'!$A$2:$A$668,B657,'Page-Keyword Map'!$E$2:$E$668,"City")</f>
        <v>0</v>
      </c>
      <c r="X657" s="15" t="str">
        <f aca="false">IF(O657="","",IF(ISNUMBER(SEARCH(O657,J657)),"Yes","No"))</f>
        <v/>
      </c>
      <c r="Y657" s="15" t="n">
        <v>0.5</v>
      </c>
      <c r="Z657" s="15" t="s">
        <v>216</v>
      </c>
      <c r="AA657" s="15" t="s">
        <v>217</v>
      </c>
      <c r="AB657" s="17"/>
      <c r="AC657" s="17"/>
    </row>
    <row r="658" customFormat="false" ht="23.85" hidden="false" customHeight="false" outlineLevel="0" collapsed="false">
      <c r="A658" s="15" t="s">
        <v>4150</v>
      </c>
      <c r="B658" s="15" t="s">
        <v>4151</v>
      </c>
      <c r="C658" s="15" t="s">
        <v>2076</v>
      </c>
      <c r="D658" s="15" t="s">
        <v>81</v>
      </c>
      <c r="E658" s="15" t="s">
        <v>349</v>
      </c>
      <c r="F658" s="15"/>
      <c r="G658" s="15" t="s">
        <v>715</v>
      </c>
      <c r="H658" s="15" t="s">
        <v>2400</v>
      </c>
      <c r="I658" s="15" t="s">
        <v>211</v>
      </c>
      <c r="J658" s="3" t="s">
        <v>4152</v>
      </c>
      <c r="K658" s="15" t="n">
        <f aca="false">LEN(J658)</f>
        <v>62</v>
      </c>
      <c r="L658" s="3" t="s">
        <v>4153</v>
      </c>
      <c r="M658" s="15" t="n">
        <f aca="false">LEN(L658)</f>
        <v>148</v>
      </c>
      <c r="N658" s="3" t="s">
        <v>4154</v>
      </c>
      <c r="O658" s="15"/>
      <c r="P658" s="16"/>
      <c r="Q658" s="15"/>
      <c r="R658" s="15" t="s">
        <v>4155</v>
      </c>
      <c r="S658" s="15" t="n">
        <f aca="false">COUNTIF('Page-Keyword Map'!$A$2:$A$668,B658)</f>
        <v>0</v>
      </c>
      <c r="T658" s="16" t="n">
        <f aca="false">SUMIF('Page-Keyword Map'!$A$2:$A$668,B658,'Page-Keyword Map'!$H$2:$H$668)</f>
        <v>0</v>
      </c>
      <c r="U658" s="15" t="n">
        <f aca="false">COUNTIFS('Page-Keyword Map'!$A$2:$A$668,B658,'Page-Keyword Map'!$E$2:$E$668,"Nationwide")</f>
        <v>0</v>
      </c>
      <c r="V658" s="15" t="n">
        <f aca="false">COUNTIFS('Page-Keyword Map'!$A$2:$A$668,B658,'Page-Keyword Map'!$E$2:$E$668,"Provincial")</f>
        <v>0</v>
      </c>
      <c r="W658" s="15" t="n">
        <f aca="false">COUNTIFS('Page-Keyword Map'!$A$2:$A$668,B658,'Page-Keyword Map'!$E$2:$E$668,"City")</f>
        <v>0</v>
      </c>
      <c r="X658" s="15" t="str">
        <f aca="false">IF(O658="","",IF(ISNUMBER(SEARCH(O658,J658)),"Yes","No"))</f>
        <v/>
      </c>
      <c r="Y658" s="15" t="n">
        <v>0.5</v>
      </c>
      <c r="Z658" s="15" t="s">
        <v>216</v>
      </c>
      <c r="AA658" s="15" t="s">
        <v>217</v>
      </c>
      <c r="AB658" s="17"/>
      <c r="AC658" s="17"/>
    </row>
    <row r="659" customFormat="false" ht="23.85" hidden="false" customHeight="false" outlineLevel="0" collapsed="false">
      <c r="A659" s="15" t="s">
        <v>4156</v>
      </c>
      <c r="B659" s="15" t="s">
        <v>4157</v>
      </c>
      <c r="C659" s="15" t="s">
        <v>2076</v>
      </c>
      <c r="D659" s="15" t="s">
        <v>81</v>
      </c>
      <c r="E659" s="15" t="s">
        <v>349</v>
      </c>
      <c r="F659" s="15"/>
      <c r="G659" s="15" t="s">
        <v>715</v>
      </c>
      <c r="H659" s="15" t="s">
        <v>2407</v>
      </c>
      <c r="I659" s="15" t="s">
        <v>126</v>
      </c>
      <c r="J659" s="3" t="s">
        <v>4158</v>
      </c>
      <c r="K659" s="15" t="n">
        <f aca="false">LEN(J659)</f>
        <v>63</v>
      </c>
      <c r="L659" s="3" t="s">
        <v>4159</v>
      </c>
      <c r="M659" s="15" t="n">
        <f aca="false">LEN(L659)</f>
        <v>149</v>
      </c>
      <c r="N659" s="3" t="s">
        <v>4160</v>
      </c>
      <c r="O659" s="15" t="s">
        <v>4161</v>
      </c>
      <c r="P659" s="16" t="n">
        <v>22</v>
      </c>
      <c r="Q659" s="15" t="s">
        <v>104</v>
      </c>
      <c r="R659" s="15"/>
      <c r="S659" s="15" t="n">
        <f aca="false">COUNTIF('Page-Keyword Map'!$A$2:$A$668,B659)</f>
        <v>1</v>
      </c>
      <c r="T659" s="16" t="n">
        <f aca="false">SUMIF('Page-Keyword Map'!$A$2:$A$668,B659,'Page-Keyword Map'!$H$2:$H$668)</f>
        <v>22</v>
      </c>
      <c r="U659" s="15" t="n">
        <f aca="false">COUNTIFS('Page-Keyword Map'!$A$2:$A$668,B659,'Page-Keyword Map'!$E$2:$E$668,"Nationwide")</f>
        <v>0</v>
      </c>
      <c r="V659" s="15" t="n">
        <f aca="false">COUNTIFS('Page-Keyword Map'!$A$2:$A$668,B659,'Page-Keyword Map'!$E$2:$E$668,"Provincial")</f>
        <v>0</v>
      </c>
      <c r="W659" s="15" t="n">
        <f aca="false">COUNTIFS('Page-Keyword Map'!$A$2:$A$668,B659,'Page-Keyword Map'!$E$2:$E$668,"City")</f>
        <v>1</v>
      </c>
      <c r="X659" s="15" t="str">
        <f aca="false">IF(O659="","",IF(ISNUMBER(SEARCH(O659,J659)),"Yes","No"))</f>
        <v>Yes</v>
      </c>
      <c r="Y659" s="15" t="n">
        <v>0.7</v>
      </c>
      <c r="Z659" s="15" t="s">
        <v>2089</v>
      </c>
      <c r="AA659" s="15" t="s">
        <v>131</v>
      </c>
      <c r="AB659" s="17"/>
      <c r="AC659" s="17"/>
    </row>
    <row r="660" customFormat="false" ht="23.85" hidden="false" customHeight="false" outlineLevel="0" collapsed="false">
      <c r="A660" s="15" t="s">
        <v>4162</v>
      </c>
      <c r="B660" s="15" t="s">
        <v>4163</v>
      </c>
      <c r="C660" s="15" t="s">
        <v>2076</v>
      </c>
      <c r="D660" s="15" t="s">
        <v>81</v>
      </c>
      <c r="E660" s="15" t="s">
        <v>349</v>
      </c>
      <c r="F660" s="15"/>
      <c r="G660" s="15" t="s">
        <v>722</v>
      </c>
      <c r="H660" s="15" t="s">
        <v>2414</v>
      </c>
      <c r="I660" s="15" t="s">
        <v>211</v>
      </c>
      <c r="J660" s="3" t="s">
        <v>4164</v>
      </c>
      <c r="K660" s="15" t="n">
        <f aca="false">LEN(J660)</f>
        <v>69</v>
      </c>
      <c r="L660" s="3" t="s">
        <v>4165</v>
      </c>
      <c r="M660" s="15" t="n">
        <f aca="false">LEN(L660)</f>
        <v>161</v>
      </c>
      <c r="N660" s="3" t="s">
        <v>4166</v>
      </c>
      <c r="O660" s="15"/>
      <c r="P660" s="16"/>
      <c r="Q660" s="15"/>
      <c r="R660" s="15" t="s">
        <v>4167</v>
      </c>
      <c r="S660" s="15" t="n">
        <f aca="false">COUNTIF('Page-Keyword Map'!$A$2:$A$668,B660)</f>
        <v>0</v>
      </c>
      <c r="T660" s="16" t="n">
        <f aca="false">SUMIF('Page-Keyword Map'!$A$2:$A$668,B660,'Page-Keyword Map'!$H$2:$H$668)</f>
        <v>0</v>
      </c>
      <c r="U660" s="15" t="n">
        <f aca="false">COUNTIFS('Page-Keyword Map'!$A$2:$A$668,B660,'Page-Keyword Map'!$E$2:$E$668,"Nationwide")</f>
        <v>0</v>
      </c>
      <c r="V660" s="15" t="n">
        <f aca="false">COUNTIFS('Page-Keyword Map'!$A$2:$A$668,B660,'Page-Keyword Map'!$E$2:$E$668,"Provincial")</f>
        <v>0</v>
      </c>
      <c r="W660" s="15" t="n">
        <f aca="false">COUNTIFS('Page-Keyword Map'!$A$2:$A$668,B660,'Page-Keyword Map'!$E$2:$E$668,"City")</f>
        <v>0</v>
      </c>
      <c r="X660" s="15" t="str">
        <f aca="false">IF(O660="","",IF(ISNUMBER(SEARCH(O660,J660)),"Yes","No"))</f>
        <v/>
      </c>
      <c r="Y660" s="15" t="n">
        <v>0.5</v>
      </c>
      <c r="Z660" s="15" t="s">
        <v>216</v>
      </c>
      <c r="AA660" s="15" t="s">
        <v>217</v>
      </c>
      <c r="AB660" s="17"/>
      <c r="AC660" s="17"/>
    </row>
    <row r="661" customFormat="false" ht="23.85" hidden="false" customHeight="false" outlineLevel="0" collapsed="false">
      <c r="A661" s="15" t="s">
        <v>4168</v>
      </c>
      <c r="B661" s="15" t="s">
        <v>4169</v>
      </c>
      <c r="C661" s="15" t="s">
        <v>2076</v>
      </c>
      <c r="D661" s="15" t="s">
        <v>81</v>
      </c>
      <c r="E661" s="15" t="s">
        <v>349</v>
      </c>
      <c r="F661" s="15"/>
      <c r="G661" s="15" t="s">
        <v>729</v>
      </c>
      <c r="H661" s="15" t="s">
        <v>2421</v>
      </c>
      <c r="I661" s="15" t="s">
        <v>211</v>
      </c>
      <c r="J661" s="3" t="s">
        <v>4170</v>
      </c>
      <c r="K661" s="15" t="n">
        <f aca="false">LEN(J661)</f>
        <v>64</v>
      </c>
      <c r="L661" s="3" t="s">
        <v>4171</v>
      </c>
      <c r="M661" s="15" t="n">
        <f aca="false">LEN(L661)</f>
        <v>162</v>
      </c>
      <c r="N661" s="3" t="s">
        <v>4172</v>
      </c>
      <c r="O661" s="15"/>
      <c r="P661" s="16"/>
      <c r="Q661" s="15"/>
      <c r="R661" s="15" t="s">
        <v>4173</v>
      </c>
      <c r="S661" s="15" t="n">
        <f aca="false">COUNTIF('Page-Keyword Map'!$A$2:$A$668,B661)</f>
        <v>0</v>
      </c>
      <c r="T661" s="16" t="n">
        <f aca="false">SUMIF('Page-Keyword Map'!$A$2:$A$668,B661,'Page-Keyword Map'!$H$2:$H$668)</f>
        <v>0</v>
      </c>
      <c r="U661" s="15" t="n">
        <f aca="false">COUNTIFS('Page-Keyword Map'!$A$2:$A$668,B661,'Page-Keyword Map'!$E$2:$E$668,"Nationwide")</f>
        <v>0</v>
      </c>
      <c r="V661" s="15" t="n">
        <f aca="false">COUNTIFS('Page-Keyword Map'!$A$2:$A$668,B661,'Page-Keyword Map'!$E$2:$E$668,"Provincial")</f>
        <v>0</v>
      </c>
      <c r="W661" s="15" t="n">
        <f aca="false">COUNTIFS('Page-Keyword Map'!$A$2:$A$668,B661,'Page-Keyword Map'!$E$2:$E$668,"City")</f>
        <v>0</v>
      </c>
      <c r="X661" s="15" t="str">
        <f aca="false">IF(O661="","",IF(ISNUMBER(SEARCH(O661,J661)),"Yes","No"))</f>
        <v/>
      </c>
      <c r="Y661" s="15" t="n">
        <v>0.5</v>
      </c>
      <c r="Z661" s="15" t="s">
        <v>216</v>
      </c>
      <c r="AA661" s="15" t="s">
        <v>217</v>
      </c>
      <c r="AB661" s="17"/>
      <c r="AC661" s="17"/>
    </row>
    <row r="662" customFormat="false" ht="23.85" hidden="false" customHeight="false" outlineLevel="0" collapsed="false">
      <c r="A662" s="15" t="s">
        <v>4174</v>
      </c>
      <c r="B662" s="15" t="s">
        <v>4175</v>
      </c>
      <c r="C662" s="15" t="s">
        <v>2076</v>
      </c>
      <c r="D662" s="15" t="s">
        <v>81</v>
      </c>
      <c r="E662" s="15" t="s">
        <v>349</v>
      </c>
      <c r="F662" s="15"/>
      <c r="G662" s="15" t="s">
        <v>729</v>
      </c>
      <c r="H662" s="15" t="s">
        <v>2428</v>
      </c>
      <c r="I662" s="15" t="s">
        <v>126</v>
      </c>
      <c r="J662" s="3" t="s">
        <v>4176</v>
      </c>
      <c r="K662" s="15" t="n">
        <f aca="false">LEN(J662)</f>
        <v>61</v>
      </c>
      <c r="L662" s="3" t="s">
        <v>4177</v>
      </c>
      <c r="M662" s="15" t="n">
        <f aca="false">LEN(L662)</f>
        <v>159</v>
      </c>
      <c r="N662" s="3" t="s">
        <v>4178</v>
      </c>
      <c r="O662" s="15"/>
      <c r="P662" s="16"/>
      <c r="Q662" s="15"/>
      <c r="R662" s="15" t="s">
        <v>4179</v>
      </c>
      <c r="S662" s="15" t="n">
        <f aca="false">COUNTIF('Page-Keyword Map'!$A$2:$A$668,B662)</f>
        <v>0</v>
      </c>
      <c r="T662" s="16" t="n">
        <f aca="false">SUMIF('Page-Keyword Map'!$A$2:$A$668,B662,'Page-Keyword Map'!$H$2:$H$668)</f>
        <v>0</v>
      </c>
      <c r="U662" s="15" t="n">
        <f aca="false">COUNTIFS('Page-Keyword Map'!$A$2:$A$668,B662,'Page-Keyword Map'!$E$2:$E$668,"Nationwide")</f>
        <v>0</v>
      </c>
      <c r="V662" s="15" t="n">
        <f aca="false">COUNTIFS('Page-Keyword Map'!$A$2:$A$668,B662,'Page-Keyword Map'!$E$2:$E$668,"Provincial")</f>
        <v>0</v>
      </c>
      <c r="W662" s="15" t="n">
        <f aca="false">COUNTIFS('Page-Keyword Map'!$A$2:$A$668,B662,'Page-Keyword Map'!$E$2:$E$668,"City")</f>
        <v>0</v>
      </c>
      <c r="X662" s="15" t="str">
        <f aca="false">IF(O662="","",IF(ISNUMBER(SEARCH(O662,J662)),"Yes","No"))</f>
        <v/>
      </c>
      <c r="Y662" s="15" t="n">
        <v>0.7</v>
      </c>
      <c r="Z662" s="15" t="s">
        <v>2089</v>
      </c>
      <c r="AA662" s="15" t="s">
        <v>131</v>
      </c>
      <c r="AB662" s="17"/>
      <c r="AC662" s="17"/>
    </row>
    <row r="663" customFormat="false" ht="23.85" hidden="false" customHeight="false" outlineLevel="0" collapsed="false">
      <c r="A663" s="15" t="s">
        <v>4180</v>
      </c>
      <c r="B663" s="15" t="s">
        <v>4181</v>
      </c>
      <c r="C663" s="15" t="s">
        <v>2076</v>
      </c>
      <c r="D663" s="15" t="s">
        <v>81</v>
      </c>
      <c r="E663" s="15" t="s">
        <v>349</v>
      </c>
      <c r="F663" s="15"/>
      <c r="G663" s="15" t="s">
        <v>729</v>
      </c>
      <c r="H663" s="15" t="s">
        <v>2435</v>
      </c>
      <c r="I663" s="15" t="s">
        <v>211</v>
      </c>
      <c r="J663" s="3" t="s">
        <v>4182</v>
      </c>
      <c r="K663" s="15" t="n">
        <f aca="false">LEN(J663)</f>
        <v>65</v>
      </c>
      <c r="L663" s="3" t="s">
        <v>4183</v>
      </c>
      <c r="M663" s="15" t="n">
        <f aca="false">LEN(L663)</f>
        <v>163</v>
      </c>
      <c r="N663" s="3" t="s">
        <v>4184</v>
      </c>
      <c r="O663" s="15"/>
      <c r="P663" s="16"/>
      <c r="Q663" s="15"/>
      <c r="R663" s="15" t="s">
        <v>4185</v>
      </c>
      <c r="S663" s="15" t="n">
        <f aca="false">COUNTIF('Page-Keyword Map'!$A$2:$A$668,B663)</f>
        <v>0</v>
      </c>
      <c r="T663" s="16" t="n">
        <f aca="false">SUMIF('Page-Keyword Map'!$A$2:$A$668,B663,'Page-Keyword Map'!$H$2:$H$668)</f>
        <v>0</v>
      </c>
      <c r="U663" s="15" t="n">
        <f aca="false">COUNTIFS('Page-Keyword Map'!$A$2:$A$668,B663,'Page-Keyword Map'!$E$2:$E$668,"Nationwide")</f>
        <v>0</v>
      </c>
      <c r="V663" s="15" t="n">
        <f aca="false">COUNTIFS('Page-Keyword Map'!$A$2:$A$668,B663,'Page-Keyword Map'!$E$2:$E$668,"Provincial")</f>
        <v>0</v>
      </c>
      <c r="W663" s="15" t="n">
        <f aca="false">COUNTIFS('Page-Keyword Map'!$A$2:$A$668,B663,'Page-Keyword Map'!$E$2:$E$668,"City")</f>
        <v>0</v>
      </c>
      <c r="X663" s="15" t="str">
        <f aca="false">IF(O663="","",IF(ISNUMBER(SEARCH(O663,J663)),"Yes","No"))</f>
        <v/>
      </c>
      <c r="Y663" s="15" t="n">
        <v>0.5</v>
      </c>
      <c r="Z663" s="15" t="s">
        <v>216</v>
      </c>
      <c r="AA663" s="15" t="s">
        <v>217</v>
      </c>
      <c r="AB663" s="17"/>
      <c r="AC663" s="17"/>
    </row>
    <row r="664" customFormat="false" ht="23.85" hidden="false" customHeight="false" outlineLevel="0" collapsed="false">
      <c r="A664" s="15" t="s">
        <v>4186</v>
      </c>
      <c r="B664" s="15" t="s">
        <v>4187</v>
      </c>
      <c r="C664" s="15" t="s">
        <v>2076</v>
      </c>
      <c r="D664" s="15" t="s">
        <v>81</v>
      </c>
      <c r="E664" s="15" t="s">
        <v>349</v>
      </c>
      <c r="F664" s="15"/>
      <c r="G664" s="15" t="s">
        <v>729</v>
      </c>
      <c r="H664" s="15" t="s">
        <v>2442</v>
      </c>
      <c r="I664" s="15" t="s">
        <v>126</v>
      </c>
      <c r="J664" s="3" t="s">
        <v>4188</v>
      </c>
      <c r="K664" s="15" t="n">
        <f aca="false">LEN(J664)</f>
        <v>64</v>
      </c>
      <c r="L664" s="3" t="s">
        <v>4189</v>
      </c>
      <c r="M664" s="15" t="n">
        <f aca="false">LEN(L664)</f>
        <v>162</v>
      </c>
      <c r="N664" s="3" t="s">
        <v>4190</v>
      </c>
      <c r="O664" s="15" t="s">
        <v>4191</v>
      </c>
      <c r="P664" s="16" t="n">
        <v>46</v>
      </c>
      <c r="Q664" s="15" t="s">
        <v>104</v>
      </c>
      <c r="R664" s="15"/>
      <c r="S664" s="15" t="n">
        <f aca="false">COUNTIF('Page-Keyword Map'!$A$2:$A$668,B664)</f>
        <v>1</v>
      </c>
      <c r="T664" s="16" t="n">
        <f aca="false">SUMIF('Page-Keyword Map'!$A$2:$A$668,B664,'Page-Keyword Map'!$H$2:$H$668)</f>
        <v>46</v>
      </c>
      <c r="U664" s="15" t="n">
        <f aca="false">COUNTIFS('Page-Keyword Map'!$A$2:$A$668,B664,'Page-Keyword Map'!$E$2:$E$668,"Nationwide")</f>
        <v>0</v>
      </c>
      <c r="V664" s="15" t="n">
        <f aca="false">COUNTIFS('Page-Keyword Map'!$A$2:$A$668,B664,'Page-Keyword Map'!$E$2:$E$668,"Provincial")</f>
        <v>0</v>
      </c>
      <c r="W664" s="15" t="n">
        <f aca="false">COUNTIFS('Page-Keyword Map'!$A$2:$A$668,B664,'Page-Keyword Map'!$E$2:$E$668,"City")</f>
        <v>1</v>
      </c>
      <c r="X664" s="15" t="str">
        <f aca="false">IF(O664="","",IF(ISNUMBER(SEARCH(O664,J664)),"Yes","No"))</f>
        <v>Yes</v>
      </c>
      <c r="Y664" s="15" t="n">
        <v>0.7</v>
      </c>
      <c r="Z664" s="15" t="s">
        <v>2089</v>
      </c>
      <c r="AA664" s="15" t="s">
        <v>131</v>
      </c>
      <c r="AB664" s="17"/>
      <c r="AC664" s="17"/>
    </row>
    <row r="665" customFormat="false" ht="23.85" hidden="false" customHeight="false" outlineLevel="0" collapsed="false">
      <c r="A665" s="15" t="s">
        <v>4192</v>
      </c>
      <c r="B665" s="15" t="s">
        <v>4193</v>
      </c>
      <c r="C665" s="15" t="s">
        <v>2076</v>
      </c>
      <c r="D665" s="15" t="s">
        <v>81</v>
      </c>
      <c r="E665" s="15" t="s">
        <v>349</v>
      </c>
      <c r="F665" s="15"/>
      <c r="G665" s="15" t="s">
        <v>729</v>
      </c>
      <c r="H665" s="15" t="s">
        <v>2449</v>
      </c>
      <c r="I665" s="15" t="s">
        <v>126</v>
      </c>
      <c r="J665" s="3" t="s">
        <v>4194</v>
      </c>
      <c r="K665" s="15" t="n">
        <f aca="false">LEN(J665)</f>
        <v>67</v>
      </c>
      <c r="L665" s="3" t="s">
        <v>4195</v>
      </c>
      <c r="M665" s="15" t="n">
        <f aca="false">LEN(L665)</f>
        <v>165</v>
      </c>
      <c r="N665" s="3" t="s">
        <v>4196</v>
      </c>
      <c r="O665" s="15"/>
      <c r="P665" s="16"/>
      <c r="Q665" s="15"/>
      <c r="R665" s="15" t="s">
        <v>4197</v>
      </c>
      <c r="S665" s="15" t="n">
        <f aca="false">COUNTIF('Page-Keyword Map'!$A$2:$A$668,B665)</f>
        <v>0</v>
      </c>
      <c r="T665" s="16" t="n">
        <f aca="false">SUMIF('Page-Keyword Map'!$A$2:$A$668,B665,'Page-Keyword Map'!$H$2:$H$668)</f>
        <v>0</v>
      </c>
      <c r="U665" s="15" t="n">
        <f aca="false">COUNTIFS('Page-Keyword Map'!$A$2:$A$668,B665,'Page-Keyword Map'!$E$2:$E$668,"Nationwide")</f>
        <v>0</v>
      </c>
      <c r="V665" s="15" t="n">
        <f aca="false">COUNTIFS('Page-Keyword Map'!$A$2:$A$668,B665,'Page-Keyword Map'!$E$2:$E$668,"Provincial")</f>
        <v>0</v>
      </c>
      <c r="W665" s="15" t="n">
        <f aca="false">COUNTIFS('Page-Keyword Map'!$A$2:$A$668,B665,'Page-Keyword Map'!$E$2:$E$668,"City")</f>
        <v>0</v>
      </c>
      <c r="X665" s="15" t="str">
        <f aca="false">IF(O665="","",IF(ISNUMBER(SEARCH(O665,J665)),"Yes","No"))</f>
        <v/>
      </c>
      <c r="Y665" s="15" t="n">
        <v>0.7</v>
      </c>
      <c r="Z665" s="15" t="s">
        <v>2089</v>
      </c>
      <c r="AA665" s="15" t="s">
        <v>131</v>
      </c>
      <c r="AB665" s="17"/>
      <c r="AC665" s="17"/>
    </row>
    <row r="666" customFormat="false" ht="23.85" hidden="false" customHeight="false" outlineLevel="0" collapsed="false">
      <c r="A666" s="15" t="s">
        <v>4198</v>
      </c>
      <c r="B666" s="15" t="s">
        <v>4199</v>
      </c>
      <c r="C666" s="15" t="s">
        <v>2076</v>
      </c>
      <c r="D666" s="15" t="s">
        <v>81</v>
      </c>
      <c r="E666" s="15" t="s">
        <v>349</v>
      </c>
      <c r="F666" s="15"/>
      <c r="G666" s="15" t="s">
        <v>729</v>
      </c>
      <c r="H666" s="15" t="s">
        <v>2456</v>
      </c>
      <c r="I666" s="15" t="s">
        <v>211</v>
      </c>
      <c r="J666" s="3" t="s">
        <v>4200</v>
      </c>
      <c r="K666" s="15" t="n">
        <f aca="false">LEN(J666)</f>
        <v>66</v>
      </c>
      <c r="L666" s="3" t="s">
        <v>4201</v>
      </c>
      <c r="M666" s="15" t="n">
        <f aca="false">LEN(L666)</f>
        <v>164</v>
      </c>
      <c r="N666" s="3" t="s">
        <v>4202</v>
      </c>
      <c r="O666" s="15"/>
      <c r="P666" s="16"/>
      <c r="Q666" s="15"/>
      <c r="R666" s="15" t="s">
        <v>4203</v>
      </c>
      <c r="S666" s="15" t="n">
        <f aca="false">COUNTIF('Page-Keyword Map'!$A$2:$A$668,B666)</f>
        <v>0</v>
      </c>
      <c r="T666" s="16" t="n">
        <f aca="false">SUMIF('Page-Keyword Map'!$A$2:$A$668,B666,'Page-Keyword Map'!$H$2:$H$668)</f>
        <v>0</v>
      </c>
      <c r="U666" s="15" t="n">
        <f aca="false">COUNTIFS('Page-Keyword Map'!$A$2:$A$668,B666,'Page-Keyword Map'!$E$2:$E$668,"Nationwide")</f>
        <v>0</v>
      </c>
      <c r="V666" s="15" t="n">
        <f aca="false">COUNTIFS('Page-Keyword Map'!$A$2:$A$668,B666,'Page-Keyword Map'!$E$2:$E$668,"Provincial")</f>
        <v>0</v>
      </c>
      <c r="W666" s="15" t="n">
        <f aca="false">COUNTIFS('Page-Keyword Map'!$A$2:$A$668,B666,'Page-Keyword Map'!$E$2:$E$668,"City")</f>
        <v>0</v>
      </c>
      <c r="X666" s="15" t="str">
        <f aca="false">IF(O666="","",IF(ISNUMBER(SEARCH(O666,J666)),"Yes","No"))</f>
        <v/>
      </c>
      <c r="Y666" s="15" t="n">
        <v>0.5</v>
      </c>
      <c r="Z666" s="15" t="s">
        <v>216</v>
      </c>
      <c r="AA666" s="15" t="s">
        <v>217</v>
      </c>
      <c r="AB666" s="17"/>
      <c r="AC666" s="17"/>
    </row>
    <row r="667" customFormat="false" ht="23.85" hidden="false" customHeight="false" outlineLevel="0" collapsed="false">
      <c r="A667" s="15" t="s">
        <v>4204</v>
      </c>
      <c r="B667" s="15" t="s">
        <v>4205</v>
      </c>
      <c r="C667" s="15" t="s">
        <v>2076</v>
      </c>
      <c r="D667" s="15" t="s">
        <v>81</v>
      </c>
      <c r="E667" s="15" t="s">
        <v>349</v>
      </c>
      <c r="F667" s="15"/>
      <c r="G667" s="15" t="s">
        <v>736</v>
      </c>
      <c r="H667" s="15" t="s">
        <v>2463</v>
      </c>
      <c r="I667" s="15" t="s">
        <v>126</v>
      </c>
      <c r="J667" s="3" t="s">
        <v>4206</v>
      </c>
      <c r="K667" s="15" t="n">
        <f aca="false">LEN(J667)</f>
        <v>62</v>
      </c>
      <c r="L667" s="3" t="s">
        <v>4207</v>
      </c>
      <c r="M667" s="15" t="n">
        <f aca="false">LEN(L667)</f>
        <v>153</v>
      </c>
      <c r="N667" s="3" t="s">
        <v>4208</v>
      </c>
      <c r="O667" s="15" t="s">
        <v>4209</v>
      </c>
      <c r="P667" s="16" t="n">
        <v>43</v>
      </c>
      <c r="Q667" s="15" t="s">
        <v>104</v>
      </c>
      <c r="R667" s="15"/>
      <c r="S667" s="15" t="n">
        <f aca="false">COUNTIF('Page-Keyword Map'!$A$2:$A$668,B667)</f>
        <v>1</v>
      </c>
      <c r="T667" s="16" t="n">
        <f aca="false">SUMIF('Page-Keyword Map'!$A$2:$A$668,B667,'Page-Keyword Map'!$H$2:$H$668)</f>
        <v>43</v>
      </c>
      <c r="U667" s="15" t="n">
        <f aca="false">COUNTIFS('Page-Keyword Map'!$A$2:$A$668,B667,'Page-Keyword Map'!$E$2:$E$668,"Nationwide")</f>
        <v>0</v>
      </c>
      <c r="V667" s="15" t="n">
        <f aca="false">COUNTIFS('Page-Keyword Map'!$A$2:$A$668,B667,'Page-Keyword Map'!$E$2:$E$668,"Provincial")</f>
        <v>0</v>
      </c>
      <c r="W667" s="15" t="n">
        <f aca="false">COUNTIFS('Page-Keyword Map'!$A$2:$A$668,B667,'Page-Keyword Map'!$E$2:$E$668,"City")</f>
        <v>1</v>
      </c>
      <c r="X667" s="15" t="str">
        <f aca="false">IF(O667="","",IF(ISNUMBER(SEARCH(O667,J667)),"Yes","No"))</f>
        <v>Yes</v>
      </c>
      <c r="Y667" s="15" t="n">
        <v>0.7</v>
      </c>
      <c r="Z667" s="15" t="s">
        <v>2089</v>
      </c>
      <c r="AA667" s="15" t="s">
        <v>131</v>
      </c>
      <c r="AB667" s="17"/>
      <c r="AC667" s="17"/>
    </row>
    <row r="668" customFormat="false" ht="23.85" hidden="false" customHeight="false" outlineLevel="0" collapsed="false">
      <c r="A668" s="15" t="s">
        <v>4210</v>
      </c>
      <c r="B668" s="15" t="s">
        <v>4211</v>
      </c>
      <c r="C668" s="15" t="s">
        <v>2076</v>
      </c>
      <c r="D668" s="15" t="s">
        <v>81</v>
      </c>
      <c r="E668" s="15" t="s">
        <v>349</v>
      </c>
      <c r="F668" s="15"/>
      <c r="G668" s="15" t="s">
        <v>736</v>
      </c>
      <c r="H668" s="15" t="s">
        <v>2470</v>
      </c>
      <c r="I668" s="15" t="s">
        <v>126</v>
      </c>
      <c r="J668" s="3" t="s">
        <v>4212</v>
      </c>
      <c r="K668" s="15" t="n">
        <f aca="false">LEN(J668)</f>
        <v>65</v>
      </c>
      <c r="L668" s="3" t="s">
        <v>4213</v>
      </c>
      <c r="M668" s="15" t="n">
        <f aca="false">LEN(L668)</f>
        <v>156</v>
      </c>
      <c r="N668" s="3" t="s">
        <v>4214</v>
      </c>
      <c r="O668" s="15" t="s">
        <v>4215</v>
      </c>
      <c r="P668" s="16" t="n">
        <v>49</v>
      </c>
      <c r="Q668" s="15" t="s">
        <v>104</v>
      </c>
      <c r="R668" s="15"/>
      <c r="S668" s="15" t="n">
        <f aca="false">COUNTIF('Page-Keyword Map'!$A$2:$A$668,B668)</f>
        <v>1</v>
      </c>
      <c r="T668" s="16" t="n">
        <f aca="false">SUMIF('Page-Keyword Map'!$A$2:$A$668,B668,'Page-Keyword Map'!$H$2:$H$668)</f>
        <v>49</v>
      </c>
      <c r="U668" s="15" t="n">
        <f aca="false">COUNTIFS('Page-Keyword Map'!$A$2:$A$668,B668,'Page-Keyword Map'!$E$2:$E$668,"Nationwide")</f>
        <v>0</v>
      </c>
      <c r="V668" s="15" t="n">
        <f aca="false">COUNTIFS('Page-Keyword Map'!$A$2:$A$668,B668,'Page-Keyword Map'!$E$2:$E$668,"Provincial")</f>
        <v>0</v>
      </c>
      <c r="W668" s="15" t="n">
        <f aca="false">COUNTIFS('Page-Keyword Map'!$A$2:$A$668,B668,'Page-Keyword Map'!$E$2:$E$668,"City")</f>
        <v>1</v>
      </c>
      <c r="X668" s="15" t="str">
        <f aca="false">IF(O668="","",IF(ISNUMBER(SEARCH(O668,J668)),"Yes","No"))</f>
        <v>Yes</v>
      </c>
      <c r="Y668" s="15" t="n">
        <v>0.7</v>
      </c>
      <c r="Z668" s="15" t="s">
        <v>2089</v>
      </c>
      <c r="AA668" s="15" t="s">
        <v>131</v>
      </c>
      <c r="AB668" s="17"/>
      <c r="AC668" s="17"/>
    </row>
    <row r="669" customFormat="false" ht="23.85" hidden="false" customHeight="false" outlineLevel="0" collapsed="false">
      <c r="A669" s="15" t="s">
        <v>4216</v>
      </c>
      <c r="B669" s="15" t="s">
        <v>4217</v>
      </c>
      <c r="C669" s="15" t="s">
        <v>2076</v>
      </c>
      <c r="D669" s="15" t="s">
        <v>81</v>
      </c>
      <c r="E669" s="15" t="s">
        <v>349</v>
      </c>
      <c r="F669" s="15"/>
      <c r="G669" s="15" t="s">
        <v>743</v>
      </c>
      <c r="H669" s="15" t="s">
        <v>2477</v>
      </c>
      <c r="I669" s="15" t="s">
        <v>211</v>
      </c>
      <c r="J669" s="3" t="s">
        <v>4218</v>
      </c>
      <c r="K669" s="15" t="n">
        <f aca="false">LEN(J669)</f>
        <v>66</v>
      </c>
      <c r="L669" s="3" t="s">
        <v>4219</v>
      </c>
      <c r="M669" s="15" t="n">
        <f aca="false">LEN(L669)</f>
        <v>163</v>
      </c>
      <c r="N669" s="3" t="s">
        <v>4220</v>
      </c>
      <c r="O669" s="15"/>
      <c r="P669" s="16"/>
      <c r="Q669" s="15"/>
      <c r="R669" s="15" t="s">
        <v>4221</v>
      </c>
      <c r="S669" s="15" t="n">
        <f aca="false">COUNTIF('Page-Keyword Map'!$A$2:$A$668,B669)</f>
        <v>0</v>
      </c>
      <c r="T669" s="16" t="n">
        <f aca="false">SUMIF('Page-Keyword Map'!$A$2:$A$668,B669,'Page-Keyword Map'!$H$2:$H$668)</f>
        <v>0</v>
      </c>
      <c r="U669" s="15" t="n">
        <f aca="false">COUNTIFS('Page-Keyword Map'!$A$2:$A$668,B669,'Page-Keyword Map'!$E$2:$E$668,"Nationwide")</f>
        <v>0</v>
      </c>
      <c r="V669" s="15" t="n">
        <f aca="false">COUNTIFS('Page-Keyword Map'!$A$2:$A$668,B669,'Page-Keyword Map'!$E$2:$E$668,"Provincial")</f>
        <v>0</v>
      </c>
      <c r="W669" s="15" t="n">
        <f aca="false">COUNTIFS('Page-Keyword Map'!$A$2:$A$668,B669,'Page-Keyword Map'!$E$2:$E$668,"City")</f>
        <v>0</v>
      </c>
      <c r="X669" s="15" t="str">
        <f aca="false">IF(O669="","",IF(ISNUMBER(SEARCH(O669,J669)),"Yes","No"))</f>
        <v/>
      </c>
      <c r="Y669" s="15" t="n">
        <v>0.5</v>
      </c>
      <c r="Z669" s="15" t="s">
        <v>216</v>
      </c>
      <c r="AA669" s="15" t="s">
        <v>217</v>
      </c>
      <c r="AB669" s="17"/>
      <c r="AC669" s="17"/>
    </row>
    <row r="670" customFormat="false" ht="23.85" hidden="false" customHeight="false" outlineLevel="0" collapsed="false">
      <c r="A670" s="15" t="s">
        <v>4222</v>
      </c>
      <c r="B670" s="15" t="s">
        <v>4223</v>
      </c>
      <c r="C670" s="15" t="s">
        <v>2076</v>
      </c>
      <c r="D670" s="15" t="s">
        <v>86</v>
      </c>
      <c r="E670" s="15" t="s">
        <v>356</v>
      </c>
      <c r="F670" s="15"/>
      <c r="G670" s="15" t="s">
        <v>657</v>
      </c>
      <c r="H670" s="15" t="s">
        <v>2077</v>
      </c>
      <c r="I670" s="15" t="s">
        <v>211</v>
      </c>
      <c r="J670" s="3" t="s">
        <v>4224</v>
      </c>
      <c r="K670" s="15" t="n">
        <f aca="false">LEN(J670)</f>
        <v>59</v>
      </c>
      <c r="L670" s="3" t="s">
        <v>4225</v>
      </c>
      <c r="M670" s="15" t="n">
        <f aca="false">LEN(L670)</f>
        <v>138</v>
      </c>
      <c r="N670" s="3" t="s">
        <v>4226</v>
      </c>
      <c r="O670" s="15" t="s">
        <v>4227</v>
      </c>
      <c r="P670" s="16" t="n">
        <v>71</v>
      </c>
      <c r="Q670" s="15" t="s">
        <v>104</v>
      </c>
      <c r="R670" s="15"/>
      <c r="S670" s="15" t="n">
        <f aca="false">COUNTIF('Page-Keyword Map'!$A$2:$A$668,B670)</f>
        <v>1</v>
      </c>
      <c r="T670" s="16" t="n">
        <f aca="false">SUMIF('Page-Keyword Map'!$A$2:$A$668,B670,'Page-Keyword Map'!$H$2:$H$668)</f>
        <v>71</v>
      </c>
      <c r="U670" s="15" t="n">
        <f aca="false">COUNTIFS('Page-Keyword Map'!$A$2:$A$668,B670,'Page-Keyword Map'!$E$2:$E$668,"Nationwide")</f>
        <v>0</v>
      </c>
      <c r="V670" s="15" t="n">
        <f aca="false">COUNTIFS('Page-Keyword Map'!$A$2:$A$668,B670,'Page-Keyword Map'!$E$2:$E$668,"Provincial")</f>
        <v>0</v>
      </c>
      <c r="W670" s="15" t="n">
        <f aca="false">COUNTIFS('Page-Keyword Map'!$A$2:$A$668,B670,'Page-Keyword Map'!$E$2:$E$668,"City")</f>
        <v>1</v>
      </c>
      <c r="X670" s="15" t="str">
        <f aca="false">IF(O670="","",IF(ISNUMBER(SEARCH(O670,J670)),"Yes","No"))</f>
        <v>Yes</v>
      </c>
      <c r="Y670" s="15" t="n">
        <v>0.5</v>
      </c>
      <c r="Z670" s="15" t="s">
        <v>216</v>
      </c>
      <c r="AA670" s="15" t="s">
        <v>217</v>
      </c>
      <c r="AB670" s="17"/>
      <c r="AC670" s="17"/>
    </row>
    <row r="671" customFormat="false" ht="23.85" hidden="false" customHeight="false" outlineLevel="0" collapsed="false">
      <c r="A671" s="15" t="s">
        <v>4228</v>
      </c>
      <c r="B671" s="15" t="s">
        <v>4229</v>
      </c>
      <c r="C671" s="15" t="s">
        <v>2076</v>
      </c>
      <c r="D671" s="15" t="s">
        <v>86</v>
      </c>
      <c r="E671" s="15" t="s">
        <v>356</v>
      </c>
      <c r="F671" s="15"/>
      <c r="G671" s="15" t="s">
        <v>657</v>
      </c>
      <c r="H671" s="15" t="s">
        <v>2084</v>
      </c>
      <c r="I671" s="15" t="s">
        <v>126</v>
      </c>
      <c r="J671" s="3" t="s">
        <v>4230</v>
      </c>
      <c r="K671" s="15" t="n">
        <f aca="false">LEN(J671)</f>
        <v>59</v>
      </c>
      <c r="L671" s="3" t="s">
        <v>4231</v>
      </c>
      <c r="M671" s="15" t="n">
        <f aca="false">LEN(L671)</f>
        <v>138</v>
      </c>
      <c r="N671" s="3" t="s">
        <v>4232</v>
      </c>
      <c r="O671" s="15" t="s">
        <v>4233</v>
      </c>
      <c r="P671" s="16" t="n">
        <v>710</v>
      </c>
      <c r="Q671" s="15" t="s">
        <v>104</v>
      </c>
      <c r="R671" s="15"/>
      <c r="S671" s="15" t="n">
        <f aca="false">COUNTIF('Page-Keyword Map'!$A$2:$A$668,B671)</f>
        <v>1</v>
      </c>
      <c r="T671" s="16" t="n">
        <f aca="false">SUMIF('Page-Keyword Map'!$A$2:$A$668,B671,'Page-Keyword Map'!$H$2:$H$668)</f>
        <v>710</v>
      </c>
      <c r="U671" s="15" t="n">
        <f aca="false">COUNTIFS('Page-Keyword Map'!$A$2:$A$668,B671,'Page-Keyword Map'!$E$2:$E$668,"Nationwide")</f>
        <v>0</v>
      </c>
      <c r="V671" s="15" t="n">
        <f aca="false">COUNTIFS('Page-Keyword Map'!$A$2:$A$668,B671,'Page-Keyword Map'!$E$2:$E$668,"Provincial")</f>
        <v>0</v>
      </c>
      <c r="W671" s="15" t="n">
        <f aca="false">COUNTIFS('Page-Keyword Map'!$A$2:$A$668,B671,'Page-Keyword Map'!$E$2:$E$668,"City")</f>
        <v>1</v>
      </c>
      <c r="X671" s="15" t="str">
        <f aca="false">IF(O671="","",IF(ISNUMBER(SEARCH(O671,J671)),"Yes","No"))</f>
        <v>Yes</v>
      </c>
      <c r="Y671" s="15" t="n">
        <v>0.7</v>
      </c>
      <c r="Z671" s="15" t="s">
        <v>2089</v>
      </c>
      <c r="AA671" s="15" t="s">
        <v>131</v>
      </c>
      <c r="AB671" s="17"/>
      <c r="AC671" s="17"/>
    </row>
    <row r="672" customFormat="false" ht="23.85" hidden="false" customHeight="false" outlineLevel="0" collapsed="false">
      <c r="A672" s="15" t="s">
        <v>4234</v>
      </c>
      <c r="B672" s="15" t="s">
        <v>4235</v>
      </c>
      <c r="C672" s="15" t="s">
        <v>2076</v>
      </c>
      <c r="D672" s="15" t="s">
        <v>86</v>
      </c>
      <c r="E672" s="15" t="s">
        <v>356</v>
      </c>
      <c r="F672" s="15"/>
      <c r="G672" s="15" t="s">
        <v>657</v>
      </c>
      <c r="H672" s="15" t="s">
        <v>2092</v>
      </c>
      <c r="I672" s="15" t="s">
        <v>126</v>
      </c>
      <c r="J672" s="3" t="s">
        <v>4236</v>
      </c>
      <c r="K672" s="15" t="n">
        <f aca="false">LEN(J672)</f>
        <v>60</v>
      </c>
      <c r="L672" s="3" t="s">
        <v>4237</v>
      </c>
      <c r="M672" s="15" t="n">
        <f aca="false">LEN(L672)</f>
        <v>139</v>
      </c>
      <c r="N672" s="3" t="s">
        <v>4238</v>
      </c>
      <c r="O672" s="15" t="s">
        <v>4239</v>
      </c>
      <c r="P672" s="16" t="n">
        <v>570</v>
      </c>
      <c r="Q672" s="15" t="s">
        <v>104</v>
      </c>
      <c r="R672" s="15"/>
      <c r="S672" s="15" t="n">
        <f aca="false">COUNTIF('Page-Keyword Map'!$A$2:$A$668,B672)</f>
        <v>1</v>
      </c>
      <c r="T672" s="16" t="n">
        <f aca="false">SUMIF('Page-Keyword Map'!$A$2:$A$668,B672,'Page-Keyword Map'!$H$2:$H$668)</f>
        <v>570</v>
      </c>
      <c r="U672" s="15" t="n">
        <f aca="false">COUNTIFS('Page-Keyword Map'!$A$2:$A$668,B672,'Page-Keyword Map'!$E$2:$E$668,"Nationwide")</f>
        <v>0</v>
      </c>
      <c r="V672" s="15" t="n">
        <f aca="false">COUNTIFS('Page-Keyword Map'!$A$2:$A$668,B672,'Page-Keyword Map'!$E$2:$E$668,"Provincial")</f>
        <v>0</v>
      </c>
      <c r="W672" s="15" t="n">
        <f aca="false">COUNTIFS('Page-Keyword Map'!$A$2:$A$668,B672,'Page-Keyword Map'!$E$2:$E$668,"City")</f>
        <v>1</v>
      </c>
      <c r="X672" s="15" t="str">
        <f aca="false">IF(O672="","",IF(ISNUMBER(SEARCH(O672,J672)),"Yes","No"))</f>
        <v>Yes</v>
      </c>
      <c r="Y672" s="15" t="n">
        <v>0.7</v>
      </c>
      <c r="Z672" s="15" t="s">
        <v>2089</v>
      </c>
      <c r="AA672" s="15" t="s">
        <v>131</v>
      </c>
      <c r="AB672" s="17"/>
      <c r="AC672" s="17"/>
    </row>
    <row r="673" customFormat="false" ht="23.85" hidden="false" customHeight="false" outlineLevel="0" collapsed="false">
      <c r="A673" s="15" t="s">
        <v>4240</v>
      </c>
      <c r="B673" s="15" t="s">
        <v>4241</v>
      </c>
      <c r="C673" s="15" t="s">
        <v>2076</v>
      </c>
      <c r="D673" s="15" t="s">
        <v>86</v>
      </c>
      <c r="E673" s="15" t="s">
        <v>356</v>
      </c>
      <c r="F673" s="15"/>
      <c r="G673" s="15" t="s">
        <v>657</v>
      </c>
      <c r="H673" s="15" t="s">
        <v>2099</v>
      </c>
      <c r="I673" s="15" t="s">
        <v>126</v>
      </c>
      <c r="J673" s="3" t="s">
        <v>4242</v>
      </c>
      <c r="K673" s="15" t="n">
        <f aca="false">LEN(J673)</f>
        <v>62</v>
      </c>
      <c r="L673" s="3" t="s">
        <v>4243</v>
      </c>
      <c r="M673" s="15" t="n">
        <f aca="false">LEN(L673)</f>
        <v>141</v>
      </c>
      <c r="N673" s="3" t="s">
        <v>4244</v>
      </c>
      <c r="O673" s="15" t="s">
        <v>4245</v>
      </c>
      <c r="P673" s="16" t="n">
        <v>89</v>
      </c>
      <c r="Q673" s="15" t="s">
        <v>104</v>
      </c>
      <c r="R673" s="15"/>
      <c r="S673" s="15" t="n">
        <f aca="false">COUNTIF('Page-Keyword Map'!$A$2:$A$668,B673)</f>
        <v>1</v>
      </c>
      <c r="T673" s="16" t="n">
        <f aca="false">SUMIF('Page-Keyword Map'!$A$2:$A$668,B673,'Page-Keyword Map'!$H$2:$H$668)</f>
        <v>89</v>
      </c>
      <c r="U673" s="15" t="n">
        <f aca="false">COUNTIFS('Page-Keyword Map'!$A$2:$A$668,B673,'Page-Keyword Map'!$E$2:$E$668,"Nationwide")</f>
        <v>0</v>
      </c>
      <c r="V673" s="15" t="n">
        <f aca="false">COUNTIFS('Page-Keyword Map'!$A$2:$A$668,B673,'Page-Keyword Map'!$E$2:$E$668,"Provincial")</f>
        <v>0</v>
      </c>
      <c r="W673" s="15" t="n">
        <f aca="false">COUNTIFS('Page-Keyword Map'!$A$2:$A$668,B673,'Page-Keyword Map'!$E$2:$E$668,"City")</f>
        <v>1</v>
      </c>
      <c r="X673" s="15" t="str">
        <f aca="false">IF(O673="","",IF(ISNUMBER(SEARCH(O673,J673)),"Yes","No"))</f>
        <v>Yes</v>
      </c>
      <c r="Y673" s="15" t="n">
        <v>0.5</v>
      </c>
      <c r="Z673" s="15" t="s">
        <v>2089</v>
      </c>
      <c r="AA673" s="15" t="s">
        <v>131</v>
      </c>
      <c r="AB673" s="17"/>
      <c r="AC673" s="17"/>
    </row>
    <row r="674" customFormat="false" ht="23.85" hidden="false" customHeight="false" outlineLevel="0" collapsed="false">
      <c r="A674" s="15" t="s">
        <v>4246</v>
      </c>
      <c r="B674" s="15" t="s">
        <v>4247</v>
      </c>
      <c r="C674" s="15" t="s">
        <v>2076</v>
      </c>
      <c r="D674" s="15" t="s">
        <v>86</v>
      </c>
      <c r="E674" s="15" t="s">
        <v>356</v>
      </c>
      <c r="F674" s="15"/>
      <c r="G674" s="15" t="s">
        <v>657</v>
      </c>
      <c r="H674" s="15" t="s">
        <v>2106</v>
      </c>
      <c r="I674" s="15" t="s">
        <v>126</v>
      </c>
      <c r="J674" s="3" t="s">
        <v>4248</v>
      </c>
      <c r="K674" s="15" t="n">
        <f aca="false">LEN(J674)</f>
        <v>60</v>
      </c>
      <c r="L674" s="3" t="s">
        <v>4249</v>
      </c>
      <c r="M674" s="15" t="n">
        <f aca="false">LEN(L674)</f>
        <v>139</v>
      </c>
      <c r="N674" s="3" t="s">
        <v>4250</v>
      </c>
      <c r="O674" s="15" t="s">
        <v>4251</v>
      </c>
      <c r="P674" s="16" t="n">
        <v>91</v>
      </c>
      <c r="Q674" s="15" t="s">
        <v>104</v>
      </c>
      <c r="R674" s="15"/>
      <c r="S674" s="15" t="n">
        <f aca="false">COUNTIF('Page-Keyword Map'!$A$2:$A$668,B674)</f>
        <v>1</v>
      </c>
      <c r="T674" s="16" t="n">
        <f aca="false">SUMIF('Page-Keyword Map'!$A$2:$A$668,B674,'Page-Keyword Map'!$H$2:$H$668)</f>
        <v>91</v>
      </c>
      <c r="U674" s="15" t="n">
        <f aca="false">COUNTIFS('Page-Keyword Map'!$A$2:$A$668,B674,'Page-Keyword Map'!$E$2:$E$668,"Nationwide")</f>
        <v>0</v>
      </c>
      <c r="V674" s="15" t="n">
        <f aca="false">COUNTIFS('Page-Keyword Map'!$A$2:$A$668,B674,'Page-Keyword Map'!$E$2:$E$668,"Provincial")</f>
        <v>0</v>
      </c>
      <c r="W674" s="15" t="n">
        <f aca="false">COUNTIFS('Page-Keyword Map'!$A$2:$A$668,B674,'Page-Keyword Map'!$E$2:$E$668,"City")</f>
        <v>1</v>
      </c>
      <c r="X674" s="15" t="str">
        <f aca="false">IF(O674="","",IF(ISNUMBER(SEARCH(O674,J674)),"Yes","No"))</f>
        <v>Yes</v>
      </c>
      <c r="Y674" s="15" t="n">
        <v>0.5</v>
      </c>
      <c r="Z674" s="15" t="s">
        <v>2089</v>
      </c>
      <c r="AA674" s="15" t="s">
        <v>131</v>
      </c>
      <c r="AB674" s="17"/>
      <c r="AC674" s="17"/>
    </row>
    <row r="675" customFormat="false" ht="23.85" hidden="false" customHeight="false" outlineLevel="0" collapsed="false">
      <c r="A675" s="15" t="s">
        <v>4252</v>
      </c>
      <c r="B675" s="15" t="s">
        <v>4253</v>
      </c>
      <c r="C675" s="15" t="s">
        <v>2076</v>
      </c>
      <c r="D675" s="15" t="s">
        <v>86</v>
      </c>
      <c r="E675" s="15" t="s">
        <v>356</v>
      </c>
      <c r="F675" s="15"/>
      <c r="G675" s="15" t="s">
        <v>666</v>
      </c>
      <c r="H675" s="15" t="s">
        <v>2113</v>
      </c>
      <c r="I675" s="15" t="s">
        <v>126</v>
      </c>
      <c r="J675" s="3" t="s">
        <v>4254</v>
      </c>
      <c r="K675" s="15" t="n">
        <f aca="false">LEN(J675)</f>
        <v>62</v>
      </c>
      <c r="L675" s="3" t="s">
        <v>4255</v>
      </c>
      <c r="M675" s="15" t="n">
        <f aca="false">LEN(L675)</f>
        <v>150</v>
      </c>
      <c r="N675" s="3" t="s">
        <v>4256</v>
      </c>
      <c r="O675" s="15" t="s">
        <v>4257</v>
      </c>
      <c r="P675" s="16" t="n">
        <v>130</v>
      </c>
      <c r="Q675" s="15" t="s">
        <v>104</v>
      </c>
      <c r="R675" s="15"/>
      <c r="S675" s="15" t="n">
        <f aca="false">COUNTIF('Page-Keyword Map'!$A$2:$A$668,B675)</f>
        <v>1</v>
      </c>
      <c r="T675" s="16" t="n">
        <f aca="false">SUMIF('Page-Keyword Map'!$A$2:$A$668,B675,'Page-Keyword Map'!$H$2:$H$668)</f>
        <v>130</v>
      </c>
      <c r="U675" s="15" t="n">
        <f aca="false">COUNTIFS('Page-Keyword Map'!$A$2:$A$668,B675,'Page-Keyword Map'!$E$2:$E$668,"Nationwide")</f>
        <v>0</v>
      </c>
      <c r="V675" s="15" t="n">
        <f aca="false">COUNTIFS('Page-Keyword Map'!$A$2:$A$668,B675,'Page-Keyword Map'!$E$2:$E$668,"Provincial")</f>
        <v>0</v>
      </c>
      <c r="W675" s="15" t="n">
        <f aca="false">COUNTIFS('Page-Keyword Map'!$A$2:$A$668,B675,'Page-Keyword Map'!$E$2:$E$668,"City")</f>
        <v>1</v>
      </c>
      <c r="X675" s="15" t="str">
        <f aca="false">IF(O675="","",IF(ISNUMBER(SEARCH(O675,J675)),"Yes","No"))</f>
        <v>Yes</v>
      </c>
      <c r="Y675" s="15" t="n">
        <v>0.5</v>
      </c>
      <c r="Z675" s="15" t="s">
        <v>2089</v>
      </c>
      <c r="AA675" s="15" t="s">
        <v>131</v>
      </c>
      <c r="AB675" s="17"/>
      <c r="AC675" s="17"/>
    </row>
    <row r="676" customFormat="false" ht="23.85" hidden="false" customHeight="false" outlineLevel="0" collapsed="false">
      <c r="A676" s="15" t="s">
        <v>4258</v>
      </c>
      <c r="B676" s="15" t="s">
        <v>4259</v>
      </c>
      <c r="C676" s="15" t="s">
        <v>2076</v>
      </c>
      <c r="D676" s="15" t="s">
        <v>86</v>
      </c>
      <c r="E676" s="15" t="s">
        <v>356</v>
      </c>
      <c r="F676" s="15"/>
      <c r="G676" s="15" t="s">
        <v>666</v>
      </c>
      <c r="H676" s="15" t="s">
        <v>2120</v>
      </c>
      <c r="I676" s="15" t="s">
        <v>126</v>
      </c>
      <c r="J676" s="3" t="s">
        <v>4260</v>
      </c>
      <c r="K676" s="15" t="n">
        <f aca="false">LEN(J676)</f>
        <v>59</v>
      </c>
      <c r="L676" s="3" t="s">
        <v>4261</v>
      </c>
      <c r="M676" s="15" t="n">
        <f aca="false">LEN(L676)</f>
        <v>147</v>
      </c>
      <c r="N676" s="3" t="s">
        <v>4262</v>
      </c>
      <c r="O676" s="15" t="s">
        <v>4263</v>
      </c>
      <c r="P676" s="16" t="n">
        <v>190</v>
      </c>
      <c r="Q676" s="15" t="s">
        <v>104</v>
      </c>
      <c r="R676" s="15"/>
      <c r="S676" s="15" t="n">
        <f aca="false">COUNTIF('Page-Keyword Map'!$A$2:$A$668,B676)</f>
        <v>1</v>
      </c>
      <c r="T676" s="16" t="n">
        <f aca="false">SUMIF('Page-Keyword Map'!$A$2:$A$668,B676,'Page-Keyword Map'!$H$2:$H$668)</f>
        <v>190</v>
      </c>
      <c r="U676" s="15" t="n">
        <f aca="false">COUNTIFS('Page-Keyword Map'!$A$2:$A$668,B676,'Page-Keyword Map'!$E$2:$E$668,"Nationwide")</f>
        <v>0</v>
      </c>
      <c r="V676" s="15" t="n">
        <f aca="false">COUNTIFS('Page-Keyword Map'!$A$2:$A$668,B676,'Page-Keyword Map'!$E$2:$E$668,"Provincial")</f>
        <v>0</v>
      </c>
      <c r="W676" s="15" t="n">
        <f aca="false">COUNTIFS('Page-Keyword Map'!$A$2:$A$668,B676,'Page-Keyword Map'!$E$2:$E$668,"City")</f>
        <v>1</v>
      </c>
      <c r="X676" s="15" t="str">
        <f aca="false">IF(O676="","",IF(ISNUMBER(SEARCH(O676,J676)),"Yes","No"))</f>
        <v>Yes</v>
      </c>
      <c r="Y676" s="15" t="n">
        <v>0.7</v>
      </c>
      <c r="Z676" s="15" t="s">
        <v>2089</v>
      </c>
      <c r="AA676" s="15" t="s">
        <v>131</v>
      </c>
      <c r="AB676" s="17"/>
      <c r="AC676" s="17"/>
    </row>
    <row r="677" customFormat="false" ht="23.85" hidden="false" customHeight="false" outlineLevel="0" collapsed="false">
      <c r="A677" s="15" t="s">
        <v>4264</v>
      </c>
      <c r="B677" s="15" t="s">
        <v>4265</v>
      </c>
      <c r="C677" s="15" t="s">
        <v>2076</v>
      </c>
      <c r="D677" s="15" t="s">
        <v>86</v>
      </c>
      <c r="E677" s="15" t="s">
        <v>356</v>
      </c>
      <c r="F677" s="15"/>
      <c r="G677" s="15" t="s">
        <v>666</v>
      </c>
      <c r="H677" s="15" t="s">
        <v>2127</v>
      </c>
      <c r="I677" s="15" t="s">
        <v>126</v>
      </c>
      <c r="J677" s="3" t="s">
        <v>4266</v>
      </c>
      <c r="K677" s="15" t="n">
        <f aca="false">LEN(J677)</f>
        <v>61</v>
      </c>
      <c r="L677" s="3" t="s">
        <v>4267</v>
      </c>
      <c r="M677" s="15" t="n">
        <f aca="false">LEN(L677)</f>
        <v>149</v>
      </c>
      <c r="N677" s="3" t="s">
        <v>4268</v>
      </c>
      <c r="O677" s="15" t="s">
        <v>4269</v>
      </c>
      <c r="P677" s="16" t="n">
        <v>120</v>
      </c>
      <c r="Q677" s="15" t="s">
        <v>104</v>
      </c>
      <c r="R677" s="15"/>
      <c r="S677" s="15" t="n">
        <f aca="false">COUNTIF('Page-Keyword Map'!$A$2:$A$668,B677)</f>
        <v>1</v>
      </c>
      <c r="T677" s="16" t="n">
        <f aca="false">SUMIF('Page-Keyword Map'!$A$2:$A$668,B677,'Page-Keyword Map'!$H$2:$H$668)</f>
        <v>120</v>
      </c>
      <c r="U677" s="15" t="n">
        <f aca="false">COUNTIFS('Page-Keyword Map'!$A$2:$A$668,B677,'Page-Keyword Map'!$E$2:$E$668,"Nationwide")</f>
        <v>0</v>
      </c>
      <c r="V677" s="15" t="n">
        <f aca="false">COUNTIFS('Page-Keyword Map'!$A$2:$A$668,B677,'Page-Keyword Map'!$E$2:$E$668,"Provincial")</f>
        <v>0</v>
      </c>
      <c r="W677" s="15" t="n">
        <f aca="false">COUNTIFS('Page-Keyword Map'!$A$2:$A$668,B677,'Page-Keyword Map'!$E$2:$E$668,"City")</f>
        <v>1</v>
      </c>
      <c r="X677" s="15" t="str">
        <f aca="false">IF(O677="","",IF(ISNUMBER(SEARCH(O677,J677)),"Yes","No"))</f>
        <v>Yes</v>
      </c>
      <c r="Y677" s="15" t="n">
        <v>0.5</v>
      </c>
      <c r="Z677" s="15" t="s">
        <v>2089</v>
      </c>
      <c r="AA677" s="15" t="s">
        <v>131</v>
      </c>
      <c r="AB677" s="17"/>
      <c r="AC677" s="17"/>
    </row>
    <row r="678" customFormat="false" ht="23.85" hidden="false" customHeight="false" outlineLevel="0" collapsed="false">
      <c r="A678" s="15" t="s">
        <v>4270</v>
      </c>
      <c r="B678" s="15" t="s">
        <v>4271</v>
      </c>
      <c r="C678" s="15" t="s">
        <v>2076</v>
      </c>
      <c r="D678" s="15" t="s">
        <v>86</v>
      </c>
      <c r="E678" s="15" t="s">
        <v>356</v>
      </c>
      <c r="F678" s="15"/>
      <c r="G678" s="15" t="s">
        <v>666</v>
      </c>
      <c r="H678" s="15" t="s">
        <v>2134</v>
      </c>
      <c r="I678" s="15" t="s">
        <v>126</v>
      </c>
      <c r="J678" s="3" t="s">
        <v>4272</v>
      </c>
      <c r="K678" s="15" t="n">
        <f aca="false">LEN(J678)</f>
        <v>59</v>
      </c>
      <c r="L678" s="3" t="s">
        <v>4273</v>
      </c>
      <c r="M678" s="15" t="n">
        <f aca="false">LEN(L678)</f>
        <v>147</v>
      </c>
      <c r="N678" s="3" t="s">
        <v>4274</v>
      </c>
      <c r="O678" s="15" t="s">
        <v>4275</v>
      </c>
      <c r="P678" s="16" t="n">
        <v>120</v>
      </c>
      <c r="Q678" s="15" t="s">
        <v>104</v>
      </c>
      <c r="R678" s="15"/>
      <c r="S678" s="15" t="n">
        <f aca="false">COUNTIF('Page-Keyword Map'!$A$2:$A$668,B678)</f>
        <v>1</v>
      </c>
      <c r="T678" s="16" t="n">
        <f aca="false">SUMIF('Page-Keyword Map'!$A$2:$A$668,B678,'Page-Keyword Map'!$H$2:$H$668)</f>
        <v>120</v>
      </c>
      <c r="U678" s="15" t="n">
        <f aca="false">COUNTIFS('Page-Keyword Map'!$A$2:$A$668,B678,'Page-Keyword Map'!$E$2:$E$668,"Nationwide")</f>
        <v>0</v>
      </c>
      <c r="V678" s="15" t="n">
        <f aca="false">COUNTIFS('Page-Keyword Map'!$A$2:$A$668,B678,'Page-Keyword Map'!$E$2:$E$668,"Provincial")</f>
        <v>0</v>
      </c>
      <c r="W678" s="15" t="n">
        <f aca="false">COUNTIFS('Page-Keyword Map'!$A$2:$A$668,B678,'Page-Keyword Map'!$E$2:$E$668,"City")</f>
        <v>1</v>
      </c>
      <c r="X678" s="15" t="str">
        <f aca="false">IF(O678="","",IF(ISNUMBER(SEARCH(O678,J678)),"Yes","No"))</f>
        <v>Yes</v>
      </c>
      <c r="Y678" s="15" t="n">
        <v>0.7</v>
      </c>
      <c r="Z678" s="15" t="s">
        <v>2089</v>
      </c>
      <c r="AA678" s="15" t="s">
        <v>131</v>
      </c>
      <c r="AB678" s="17"/>
      <c r="AC678" s="17"/>
    </row>
    <row r="679" customFormat="false" ht="23.85" hidden="false" customHeight="false" outlineLevel="0" collapsed="false">
      <c r="A679" s="15" t="s">
        <v>4276</v>
      </c>
      <c r="B679" s="15" t="s">
        <v>4277</v>
      </c>
      <c r="C679" s="15" t="s">
        <v>2076</v>
      </c>
      <c r="D679" s="15" t="s">
        <v>86</v>
      </c>
      <c r="E679" s="15" t="s">
        <v>356</v>
      </c>
      <c r="F679" s="15"/>
      <c r="G679" s="15" t="s">
        <v>666</v>
      </c>
      <c r="H679" s="15" t="s">
        <v>2141</v>
      </c>
      <c r="I679" s="15" t="s">
        <v>211</v>
      </c>
      <c r="J679" s="3" t="s">
        <v>4278</v>
      </c>
      <c r="K679" s="15" t="n">
        <f aca="false">LEN(J679)</f>
        <v>59</v>
      </c>
      <c r="L679" s="3" t="s">
        <v>4279</v>
      </c>
      <c r="M679" s="15" t="n">
        <f aca="false">LEN(L679)</f>
        <v>147</v>
      </c>
      <c r="N679" s="3" t="s">
        <v>4280</v>
      </c>
      <c r="O679" s="15" t="s">
        <v>4281</v>
      </c>
      <c r="P679" s="16" t="n">
        <v>110</v>
      </c>
      <c r="Q679" s="15" t="s">
        <v>104</v>
      </c>
      <c r="R679" s="15"/>
      <c r="S679" s="15" t="n">
        <f aca="false">COUNTIF('Page-Keyword Map'!$A$2:$A$668,B679)</f>
        <v>1</v>
      </c>
      <c r="T679" s="16" t="n">
        <f aca="false">SUMIF('Page-Keyword Map'!$A$2:$A$668,B679,'Page-Keyword Map'!$H$2:$H$668)</f>
        <v>110</v>
      </c>
      <c r="U679" s="15" t="n">
        <f aca="false">COUNTIFS('Page-Keyword Map'!$A$2:$A$668,B679,'Page-Keyword Map'!$E$2:$E$668,"Nationwide")</f>
        <v>0</v>
      </c>
      <c r="V679" s="15" t="n">
        <f aca="false">COUNTIFS('Page-Keyword Map'!$A$2:$A$668,B679,'Page-Keyword Map'!$E$2:$E$668,"Provincial")</f>
        <v>0</v>
      </c>
      <c r="W679" s="15" t="n">
        <f aca="false">COUNTIFS('Page-Keyword Map'!$A$2:$A$668,B679,'Page-Keyword Map'!$E$2:$E$668,"City")</f>
        <v>1</v>
      </c>
      <c r="X679" s="15" t="str">
        <f aca="false">IF(O679="","",IF(ISNUMBER(SEARCH(O679,J679)),"Yes","No"))</f>
        <v>Yes</v>
      </c>
      <c r="Y679" s="15" t="n">
        <v>0.5</v>
      </c>
      <c r="Z679" s="15" t="s">
        <v>216</v>
      </c>
      <c r="AA679" s="15" t="s">
        <v>217</v>
      </c>
      <c r="AB679" s="17"/>
      <c r="AC679" s="17"/>
    </row>
    <row r="680" customFormat="false" ht="23.85" hidden="false" customHeight="false" outlineLevel="0" collapsed="false">
      <c r="A680" s="15" t="s">
        <v>4282</v>
      </c>
      <c r="B680" s="15" t="s">
        <v>4283</v>
      </c>
      <c r="C680" s="15" t="s">
        <v>2076</v>
      </c>
      <c r="D680" s="15" t="s">
        <v>86</v>
      </c>
      <c r="E680" s="15" t="s">
        <v>356</v>
      </c>
      <c r="F680" s="15"/>
      <c r="G680" s="15" t="s">
        <v>666</v>
      </c>
      <c r="H680" s="15" t="s">
        <v>2148</v>
      </c>
      <c r="I680" s="15" t="s">
        <v>126</v>
      </c>
      <c r="J680" s="3" t="s">
        <v>4284</v>
      </c>
      <c r="K680" s="15" t="n">
        <f aca="false">LEN(J680)</f>
        <v>60</v>
      </c>
      <c r="L680" s="3" t="s">
        <v>4285</v>
      </c>
      <c r="M680" s="15" t="n">
        <f aca="false">LEN(L680)</f>
        <v>148</v>
      </c>
      <c r="N680" s="3" t="s">
        <v>4286</v>
      </c>
      <c r="O680" s="15" t="s">
        <v>4287</v>
      </c>
      <c r="P680" s="16" t="n">
        <v>160</v>
      </c>
      <c r="Q680" s="15" t="s">
        <v>104</v>
      </c>
      <c r="R680" s="15"/>
      <c r="S680" s="15" t="n">
        <f aca="false">COUNTIF('Page-Keyword Map'!$A$2:$A$668,B680)</f>
        <v>1</v>
      </c>
      <c r="T680" s="16" t="n">
        <f aca="false">SUMIF('Page-Keyword Map'!$A$2:$A$668,B680,'Page-Keyword Map'!$H$2:$H$668)</f>
        <v>160</v>
      </c>
      <c r="U680" s="15" t="n">
        <f aca="false">COUNTIFS('Page-Keyword Map'!$A$2:$A$668,B680,'Page-Keyword Map'!$E$2:$E$668,"Nationwide")</f>
        <v>0</v>
      </c>
      <c r="V680" s="15" t="n">
        <f aca="false">COUNTIFS('Page-Keyword Map'!$A$2:$A$668,B680,'Page-Keyword Map'!$E$2:$E$668,"Provincial")</f>
        <v>0</v>
      </c>
      <c r="W680" s="15" t="n">
        <f aca="false">COUNTIFS('Page-Keyword Map'!$A$2:$A$668,B680,'Page-Keyword Map'!$E$2:$E$668,"City")</f>
        <v>1</v>
      </c>
      <c r="X680" s="15" t="str">
        <f aca="false">IF(O680="","",IF(ISNUMBER(SEARCH(O680,J680)),"Yes","No"))</f>
        <v>No</v>
      </c>
      <c r="Y680" s="15" t="n">
        <v>0.5</v>
      </c>
      <c r="Z680" s="15" t="s">
        <v>2089</v>
      </c>
      <c r="AA680" s="15" t="s">
        <v>131</v>
      </c>
      <c r="AB680" s="17"/>
      <c r="AC680" s="17"/>
    </row>
    <row r="681" customFormat="false" ht="23.85" hidden="false" customHeight="false" outlineLevel="0" collapsed="false">
      <c r="A681" s="15" t="s">
        <v>4288</v>
      </c>
      <c r="B681" s="15" t="s">
        <v>4289</v>
      </c>
      <c r="C681" s="15" t="s">
        <v>2076</v>
      </c>
      <c r="D681" s="15" t="s">
        <v>86</v>
      </c>
      <c r="E681" s="15" t="s">
        <v>356</v>
      </c>
      <c r="F681" s="15"/>
      <c r="G681" s="15" t="s">
        <v>666</v>
      </c>
      <c r="H681" s="15" t="s">
        <v>2155</v>
      </c>
      <c r="I681" s="15" t="s">
        <v>126</v>
      </c>
      <c r="J681" s="3" t="s">
        <v>4290</v>
      </c>
      <c r="K681" s="15" t="n">
        <f aca="false">LEN(J681)</f>
        <v>58</v>
      </c>
      <c r="L681" s="3" t="s">
        <v>4291</v>
      </c>
      <c r="M681" s="15" t="n">
        <f aca="false">LEN(L681)</f>
        <v>146</v>
      </c>
      <c r="N681" s="3" t="s">
        <v>4292</v>
      </c>
      <c r="O681" s="15" t="s">
        <v>4293</v>
      </c>
      <c r="P681" s="16" t="n">
        <v>360</v>
      </c>
      <c r="Q681" s="15" t="s">
        <v>104</v>
      </c>
      <c r="R681" s="15"/>
      <c r="S681" s="15" t="n">
        <f aca="false">COUNTIF('Page-Keyword Map'!$A$2:$A$668,B681)</f>
        <v>1</v>
      </c>
      <c r="T681" s="16" t="n">
        <f aca="false">SUMIF('Page-Keyword Map'!$A$2:$A$668,B681,'Page-Keyword Map'!$H$2:$H$668)</f>
        <v>360</v>
      </c>
      <c r="U681" s="15" t="n">
        <f aca="false">COUNTIFS('Page-Keyword Map'!$A$2:$A$668,B681,'Page-Keyword Map'!$E$2:$E$668,"Nationwide")</f>
        <v>0</v>
      </c>
      <c r="V681" s="15" t="n">
        <f aca="false">COUNTIFS('Page-Keyword Map'!$A$2:$A$668,B681,'Page-Keyword Map'!$E$2:$E$668,"Provincial")</f>
        <v>0</v>
      </c>
      <c r="W681" s="15" t="n">
        <f aca="false">COUNTIFS('Page-Keyword Map'!$A$2:$A$668,B681,'Page-Keyword Map'!$E$2:$E$668,"City")</f>
        <v>1</v>
      </c>
      <c r="X681" s="15" t="str">
        <f aca="false">IF(O681="","",IF(ISNUMBER(SEARCH(O681,J681)),"Yes","No"))</f>
        <v>Yes</v>
      </c>
      <c r="Y681" s="15" t="n">
        <v>0.7</v>
      </c>
      <c r="Z681" s="15" t="s">
        <v>2089</v>
      </c>
      <c r="AA681" s="15" t="s">
        <v>131</v>
      </c>
      <c r="AB681" s="17"/>
      <c r="AC681" s="17"/>
    </row>
    <row r="682" customFormat="false" ht="23.85" hidden="false" customHeight="false" outlineLevel="0" collapsed="false">
      <c r="A682" s="15" t="s">
        <v>4294</v>
      </c>
      <c r="B682" s="15" t="s">
        <v>4295</v>
      </c>
      <c r="C682" s="15" t="s">
        <v>2076</v>
      </c>
      <c r="D682" s="15" t="s">
        <v>86</v>
      </c>
      <c r="E682" s="15" t="s">
        <v>356</v>
      </c>
      <c r="F682" s="15"/>
      <c r="G682" s="15" t="s">
        <v>666</v>
      </c>
      <c r="H682" s="15" t="s">
        <v>2162</v>
      </c>
      <c r="I682" s="15" t="s">
        <v>126</v>
      </c>
      <c r="J682" s="3" t="s">
        <v>4296</v>
      </c>
      <c r="K682" s="15" t="n">
        <f aca="false">LEN(J682)</f>
        <v>61</v>
      </c>
      <c r="L682" s="3" t="s">
        <v>4297</v>
      </c>
      <c r="M682" s="15" t="n">
        <f aca="false">LEN(L682)</f>
        <v>149</v>
      </c>
      <c r="N682" s="3" t="s">
        <v>4298</v>
      </c>
      <c r="O682" s="15" t="s">
        <v>4299</v>
      </c>
      <c r="P682" s="16" t="n">
        <v>410</v>
      </c>
      <c r="Q682" s="15" t="s">
        <v>104</v>
      </c>
      <c r="R682" s="15"/>
      <c r="S682" s="15" t="n">
        <f aca="false">COUNTIF('Page-Keyword Map'!$A$2:$A$668,B682)</f>
        <v>1</v>
      </c>
      <c r="T682" s="16" t="n">
        <f aca="false">SUMIF('Page-Keyword Map'!$A$2:$A$668,B682,'Page-Keyword Map'!$H$2:$H$668)</f>
        <v>410</v>
      </c>
      <c r="U682" s="15" t="n">
        <f aca="false">COUNTIFS('Page-Keyword Map'!$A$2:$A$668,B682,'Page-Keyword Map'!$E$2:$E$668,"Nationwide")</f>
        <v>0</v>
      </c>
      <c r="V682" s="15" t="n">
        <f aca="false">COUNTIFS('Page-Keyword Map'!$A$2:$A$668,B682,'Page-Keyword Map'!$E$2:$E$668,"Provincial")</f>
        <v>0</v>
      </c>
      <c r="W682" s="15" t="n">
        <f aca="false">COUNTIFS('Page-Keyword Map'!$A$2:$A$668,B682,'Page-Keyword Map'!$E$2:$E$668,"City")</f>
        <v>1</v>
      </c>
      <c r="X682" s="15" t="str">
        <f aca="false">IF(O682="","",IF(ISNUMBER(SEARCH(O682,J682)),"Yes","No"))</f>
        <v>Yes</v>
      </c>
      <c r="Y682" s="15" t="n">
        <v>0.7</v>
      </c>
      <c r="Z682" s="15" t="s">
        <v>2089</v>
      </c>
      <c r="AA682" s="15" t="s">
        <v>131</v>
      </c>
      <c r="AB682" s="17"/>
      <c r="AC682" s="17"/>
    </row>
    <row r="683" customFormat="false" ht="23.85" hidden="false" customHeight="false" outlineLevel="0" collapsed="false">
      <c r="A683" s="15" t="s">
        <v>4300</v>
      </c>
      <c r="B683" s="15" t="s">
        <v>4301</v>
      </c>
      <c r="C683" s="15" t="s">
        <v>2076</v>
      </c>
      <c r="D683" s="15" t="s">
        <v>86</v>
      </c>
      <c r="E683" s="15" t="s">
        <v>356</v>
      </c>
      <c r="F683" s="15"/>
      <c r="G683" s="15" t="s">
        <v>666</v>
      </c>
      <c r="H683" s="15" t="s">
        <v>2169</v>
      </c>
      <c r="I683" s="15" t="s">
        <v>126</v>
      </c>
      <c r="J683" s="3" t="s">
        <v>4302</v>
      </c>
      <c r="K683" s="15" t="n">
        <f aca="false">LEN(J683)</f>
        <v>60</v>
      </c>
      <c r="L683" s="3" t="s">
        <v>4303</v>
      </c>
      <c r="M683" s="15" t="n">
        <f aca="false">LEN(L683)</f>
        <v>148</v>
      </c>
      <c r="N683" s="3" t="s">
        <v>4304</v>
      </c>
      <c r="O683" s="15" t="s">
        <v>4305</v>
      </c>
      <c r="P683" s="16" t="n">
        <v>84</v>
      </c>
      <c r="Q683" s="15" t="s">
        <v>104</v>
      </c>
      <c r="R683" s="15"/>
      <c r="S683" s="15" t="n">
        <f aca="false">COUNTIF('Page-Keyword Map'!$A$2:$A$668,B683)</f>
        <v>1</v>
      </c>
      <c r="T683" s="16" t="n">
        <f aca="false">SUMIF('Page-Keyword Map'!$A$2:$A$668,B683,'Page-Keyword Map'!$H$2:$H$668)</f>
        <v>84</v>
      </c>
      <c r="U683" s="15" t="n">
        <f aca="false">COUNTIFS('Page-Keyword Map'!$A$2:$A$668,B683,'Page-Keyword Map'!$E$2:$E$668,"Nationwide")</f>
        <v>0</v>
      </c>
      <c r="V683" s="15" t="n">
        <f aca="false">COUNTIFS('Page-Keyword Map'!$A$2:$A$668,B683,'Page-Keyword Map'!$E$2:$E$668,"Provincial")</f>
        <v>0</v>
      </c>
      <c r="W683" s="15" t="n">
        <f aca="false">COUNTIFS('Page-Keyword Map'!$A$2:$A$668,B683,'Page-Keyword Map'!$E$2:$E$668,"City")</f>
        <v>1</v>
      </c>
      <c r="X683" s="15" t="str">
        <f aca="false">IF(O683="","",IF(ISNUMBER(SEARCH(O683,J683)),"Yes","No"))</f>
        <v>Yes</v>
      </c>
      <c r="Y683" s="15" t="n">
        <v>0.7</v>
      </c>
      <c r="Z683" s="15" t="s">
        <v>2089</v>
      </c>
      <c r="AA683" s="15" t="s">
        <v>131</v>
      </c>
      <c r="AB683" s="17"/>
      <c r="AC683" s="17"/>
    </row>
    <row r="684" customFormat="false" ht="23.85" hidden="false" customHeight="false" outlineLevel="0" collapsed="false">
      <c r="A684" s="15" t="s">
        <v>4306</v>
      </c>
      <c r="B684" s="15" t="s">
        <v>4307</v>
      </c>
      <c r="C684" s="15" t="s">
        <v>2076</v>
      </c>
      <c r="D684" s="15" t="s">
        <v>86</v>
      </c>
      <c r="E684" s="15" t="s">
        <v>356</v>
      </c>
      <c r="F684" s="15"/>
      <c r="G684" s="15" t="s">
        <v>673</v>
      </c>
      <c r="H684" s="15" t="s">
        <v>2176</v>
      </c>
      <c r="I684" s="15" t="s">
        <v>211</v>
      </c>
      <c r="J684" s="3" t="s">
        <v>4308</v>
      </c>
      <c r="K684" s="15" t="n">
        <f aca="false">LEN(J684)</f>
        <v>59</v>
      </c>
      <c r="L684" s="3" t="s">
        <v>4309</v>
      </c>
      <c r="M684" s="15" t="n">
        <f aca="false">LEN(L684)</f>
        <v>139</v>
      </c>
      <c r="N684" s="3" t="s">
        <v>4310</v>
      </c>
      <c r="O684" s="15" t="s">
        <v>4311</v>
      </c>
      <c r="P684" s="16" t="n">
        <v>53</v>
      </c>
      <c r="Q684" s="15" t="s">
        <v>104</v>
      </c>
      <c r="R684" s="15"/>
      <c r="S684" s="15" t="n">
        <f aca="false">COUNTIF('Page-Keyword Map'!$A$2:$A$668,B684)</f>
        <v>1</v>
      </c>
      <c r="T684" s="16" t="n">
        <f aca="false">SUMIF('Page-Keyword Map'!$A$2:$A$668,B684,'Page-Keyword Map'!$H$2:$H$668)</f>
        <v>53</v>
      </c>
      <c r="U684" s="15" t="n">
        <f aca="false">COUNTIFS('Page-Keyword Map'!$A$2:$A$668,B684,'Page-Keyword Map'!$E$2:$E$668,"Nationwide")</f>
        <v>0</v>
      </c>
      <c r="V684" s="15" t="n">
        <f aca="false">COUNTIFS('Page-Keyword Map'!$A$2:$A$668,B684,'Page-Keyword Map'!$E$2:$E$668,"Provincial")</f>
        <v>0</v>
      </c>
      <c r="W684" s="15" t="n">
        <f aca="false">COUNTIFS('Page-Keyword Map'!$A$2:$A$668,B684,'Page-Keyword Map'!$E$2:$E$668,"City")</f>
        <v>1</v>
      </c>
      <c r="X684" s="15" t="str">
        <f aca="false">IF(O684="","",IF(ISNUMBER(SEARCH(O684,J684)),"Yes","No"))</f>
        <v>Yes</v>
      </c>
      <c r="Y684" s="15" t="n">
        <v>0.5</v>
      </c>
      <c r="Z684" s="15" t="s">
        <v>216</v>
      </c>
      <c r="AA684" s="15" t="s">
        <v>217</v>
      </c>
      <c r="AB684" s="17"/>
      <c r="AC684" s="17"/>
    </row>
    <row r="685" customFormat="false" ht="23.85" hidden="false" customHeight="false" outlineLevel="0" collapsed="false">
      <c r="A685" s="15" t="s">
        <v>4312</v>
      </c>
      <c r="B685" s="15" t="s">
        <v>4313</v>
      </c>
      <c r="C685" s="15" t="s">
        <v>2076</v>
      </c>
      <c r="D685" s="15" t="s">
        <v>86</v>
      </c>
      <c r="E685" s="15" t="s">
        <v>356</v>
      </c>
      <c r="F685" s="15"/>
      <c r="G685" s="15" t="s">
        <v>673</v>
      </c>
      <c r="H685" s="15" t="s">
        <v>2183</v>
      </c>
      <c r="I685" s="15" t="s">
        <v>126</v>
      </c>
      <c r="J685" s="3" t="s">
        <v>4314</v>
      </c>
      <c r="K685" s="15" t="n">
        <f aca="false">LEN(J685)</f>
        <v>60</v>
      </c>
      <c r="L685" s="3" t="s">
        <v>4315</v>
      </c>
      <c r="M685" s="15" t="n">
        <f aca="false">LEN(L685)</f>
        <v>140</v>
      </c>
      <c r="N685" s="3" t="s">
        <v>4316</v>
      </c>
      <c r="O685" s="15" t="s">
        <v>4317</v>
      </c>
      <c r="P685" s="16" t="n">
        <v>450</v>
      </c>
      <c r="Q685" s="15" t="s">
        <v>104</v>
      </c>
      <c r="R685" s="15"/>
      <c r="S685" s="15" t="n">
        <f aca="false">COUNTIF('Page-Keyword Map'!$A$2:$A$668,B685)</f>
        <v>1</v>
      </c>
      <c r="T685" s="16" t="n">
        <f aca="false">SUMIF('Page-Keyword Map'!$A$2:$A$668,B685,'Page-Keyword Map'!$H$2:$H$668)</f>
        <v>450</v>
      </c>
      <c r="U685" s="15" t="n">
        <f aca="false">COUNTIFS('Page-Keyword Map'!$A$2:$A$668,B685,'Page-Keyword Map'!$E$2:$E$668,"Nationwide")</f>
        <v>0</v>
      </c>
      <c r="V685" s="15" t="n">
        <f aca="false">COUNTIFS('Page-Keyword Map'!$A$2:$A$668,B685,'Page-Keyword Map'!$E$2:$E$668,"Provincial")</f>
        <v>0</v>
      </c>
      <c r="W685" s="15" t="n">
        <f aca="false">COUNTIFS('Page-Keyword Map'!$A$2:$A$668,B685,'Page-Keyword Map'!$E$2:$E$668,"City")</f>
        <v>1</v>
      </c>
      <c r="X685" s="15" t="str">
        <f aca="false">IF(O685="","",IF(ISNUMBER(SEARCH(O685,J685)),"Yes","No"))</f>
        <v>Yes</v>
      </c>
      <c r="Y685" s="15" t="n">
        <v>0.7</v>
      </c>
      <c r="Z685" s="15" t="s">
        <v>2089</v>
      </c>
      <c r="AA685" s="15" t="s">
        <v>131</v>
      </c>
      <c r="AB685" s="17"/>
      <c r="AC685" s="17"/>
    </row>
    <row r="686" customFormat="false" ht="23.85" hidden="false" customHeight="false" outlineLevel="0" collapsed="false">
      <c r="A686" s="15" t="s">
        <v>4318</v>
      </c>
      <c r="B686" s="15" t="s">
        <v>4319</v>
      </c>
      <c r="C686" s="15" t="s">
        <v>2076</v>
      </c>
      <c r="D686" s="15" t="s">
        <v>86</v>
      </c>
      <c r="E686" s="15" t="s">
        <v>356</v>
      </c>
      <c r="F686" s="15"/>
      <c r="G686" s="15" t="s">
        <v>680</v>
      </c>
      <c r="H686" s="15" t="s">
        <v>2190</v>
      </c>
      <c r="I686" s="15" t="s">
        <v>126</v>
      </c>
      <c r="J686" s="3" t="s">
        <v>4320</v>
      </c>
      <c r="K686" s="15" t="n">
        <f aca="false">LEN(J686)</f>
        <v>63</v>
      </c>
      <c r="L686" s="3" t="s">
        <v>4321</v>
      </c>
      <c r="M686" s="15" t="n">
        <f aca="false">LEN(L686)</f>
        <v>148</v>
      </c>
      <c r="N686" s="3" t="s">
        <v>4322</v>
      </c>
      <c r="O686" s="15" t="s">
        <v>4323</v>
      </c>
      <c r="P686" s="16" t="n">
        <v>63</v>
      </c>
      <c r="Q686" s="15" t="s">
        <v>104</v>
      </c>
      <c r="R686" s="15"/>
      <c r="S686" s="15" t="n">
        <f aca="false">COUNTIF('Page-Keyword Map'!$A$2:$A$668,B686)</f>
        <v>1</v>
      </c>
      <c r="T686" s="16" t="n">
        <f aca="false">SUMIF('Page-Keyword Map'!$A$2:$A$668,B686,'Page-Keyword Map'!$H$2:$H$668)</f>
        <v>63</v>
      </c>
      <c r="U686" s="15" t="n">
        <f aca="false">COUNTIFS('Page-Keyword Map'!$A$2:$A$668,B686,'Page-Keyword Map'!$E$2:$E$668,"Nationwide")</f>
        <v>0</v>
      </c>
      <c r="V686" s="15" t="n">
        <f aca="false">COUNTIFS('Page-Keyword Map'!$A$2:$A$668,B686,'Page-Keyword Map'!$E$2:$E$668,"Provincial")</f>
        <v>0</v>
      </c>
      <c r="W686" s="15" t="n">
        <f aca="false">COUNTIFS('Page-Keyword Map'!$A$2:$A$668,B686,'Page-Keyword Map'!$E$2:$E$668,"City")</f>
        <v>1</v>
      </c>
      <c r="X686" s="15" t="str">
        <f aca="false">IF(O686="","",IF(ISNUMBER(SEARCH(O686,J686)),"Yes","No"))</f>
        <v>Yes</v>
      </c>
      <c r="Y686" s="15" t="n">
        <v>0.5</v>
      </c>
      <c r="Z686" s="15" t="s">
        <v>2089</v>
      </c>
      <c r="AA686" s="15" t="s">
        <v>131</v>
      </c>
      <c r="AB686" s="17"/>
      <c r="AC686" s="17"/>
    </row>
    <row r="687" customFormat="false" ht="23.85" hidden="false" customHeight="false" outlineLevel="0" collapsed="false">
      <c r="A687" s="15" t="s">
        <v>4324</v>
      </c>
      <c r="B687" s="15" t="s">
        <v>4325</v>
      </c>
      <c r="C687" s="15" t="s">
        <v>2076</v>
      </c>
      <c r="D687" s="15" t="s">
        <v>86</v>
      </c>
      <c r="E687" s="15" t="s">
        <v>356</v>
      </c>
      <c r="F687" s="15"/>
      <c r="G687" s="15" t="s">
        <v>680</v>
      </c>
      <c r="H687" s="15" t="s">
        <v>2197</v>
      </c>
      <c r="I687" s="15" t="s">
        <v>126</v>
      </c>
      <c r="J687" s="3" t="s">
        <v>4326</v>
      </c>
      <c r="K687" s="15" t="n">
        <f aca="false">LEN(J687)</f>
        <v>59</v>
      </c>
      <c r="L687" s="3" t="s">
        <v>4327</v>
      </c>
      <c r="M687" s="15" t="n">
        <f aca="false">LEN(L687)</f>
        <v>144</v>
      </c>
      <c r="N687" s="3" t="s">
        <v>4328</v>
      </c>
      <c r="O687" s="15" t="s">
        <v>4329</v>
      </c>
      <c r="P687" s="16" t="n">
        <v>75</v>
      </c>
      <c r="Q687" s="15" t="s">
        <v>104</v>
      </c>
      <c r="R687" s="15"/>
      <c r="S687" s="15" t="n">
        <f aca="false">COUNTIF('Page-Keyword Map'!$A$2:$A$668,B687)</f>
        <v>1</v>
      </c>
      <c r="T687" s="16" t="n">
        <f aca="false">SUMIF('Page-Keyword Map'!$A$2:$A$668,B687,'Page-Keyword Map'!$H$2:$H$668)</f>
        <v>75</v>
      </c>
      <c r="U687" s="15" t="n">
        <f aca="false">COUNTIFS('Page-Keyword Map'!$A$2:$A$668,B687,'Page-Keyword Map'!$E$2:$E$668,"Nationwide")</f>
        <v>0</v>
      </c>
      <c r="V687" s="15" t="n">
        <f aca="false">COUNTIFS('Page-Keyword Map'!$A$2:$A$668,B687,'Page-Keyword Map'!$E$2:$E$668,"Provincial")</f>
        <v>0</v>
      </c>
      <c r="W687" s="15" t="n">
        <f aca="false">COUNTIFS('Page-Keyword Map'!$A$2:$A$668,B687,'Page-Keyword Map'!$E$2:$E$668,"City")</f>
        <v>1</v>
      </c>
      <c r="X687" s="15" t="str">
        <f aca="false">IF(O687="","",IF(ISNUMBER(SEARCH(O687,J687)),"Yes","No"))</f>
        <v>Yes</v>
      </c>
      <c r="Y687" s="15" t="n">
        <v>0.5</v>
      </c>
      <c r="Z687" s="15" t="s">
        <v>2089</v>
      </c>
      <c r="AA687" s="15" t="s">
        <v>131</v>
      </c>
      <c r="AB687" s="17"/>
      <c r="AC687" s="17"/>
    </row>
    <row r="688" customFormat="false" ht="23.85" hidden="false" customHeight="false" outlineLevel="0" collapsed="false">
      <c r="A688" s="15" t="s">
        <v>4330</v>
      </c>
      <c r="B688" s="15" t="s">
        <v>4331</v>
      </c>
      <c r="C688" s="15" t="s">
        <v>2076</v>
      </c>
      <c r="D688" s="15" t="s">
        <v>86</v>
      </c>
      <c r="E688" s="15" t="s">
        <v>356</v>
      </c>
      <c r="F688" s="15"/>
      <c r="G688" s="15" t="s">
        <v>680</v>
      </c>
      <c r="H688" s="15" t="s">
        <v>2204</v>
      </c>
      <c r="I688" s="15" t="s">
        <v>126</v>
      </c>
      <c r="J688" s="3" t="s">
        <v>4332</v>
      </c>
      <c r="K688" s="15" t="n">
        <f aca="false">LEN(J688)</f>
        <v>62</v>
      </c>
      <c r="L688" s="3" t="s">
        <v>4333</v>
      </c>
      <c r="M688" s="15" t="n">
        <f aca="false">LEN(L688)</f>
        <v>147</v>
      </c>
      <c r="N688" s="3" t="s">
        <v>4334</v>
      </c>
      <c r="O688" s="15" t="s">
        <v>4335</v>
      </c>
      <c r="P688" s="16" t="n">
        <v>68</v>
      </c>
      <c r="Q688" s="15" t="s">
        <v>104</v>
      </c>
      <c r="R688" s="15"/>
      <c r="S688" s="15" t="n">
        <f aca="false">COUNTIF('Page-Keyword Map'!$A$2:$A$668,B688)</f>
        <v>1</v>
      </c>
      <c r="T688" s="16" t="n">
        <f aca="false">SUMIF('Page-Keyword Map'!$A$2:$A$668,B688,'Page-Keyword Map'!$H$2:$H$668)</f>
        <v>68</v>
      </c>
      <c r="U688" s="15" t="n">
        <f aca="false">COUNTIFS('Page-Keyword Map'!$A$2:$A$668,B688,'Page-Keyword Map'!$E$2:$E$668,"Nationwide")</f>
        <v>0</v>
      </c>
      <c r="V688" s="15" t="n">
        <f aca="false">COUNTIFS('Page-Keyword Map'!$A$2:$A$668,B688,'Page-Keyword Map'!$E$2:$E$668,"Provincial")</f>
        <v>0</v>
      </c>
      <c r="W688" s="15" t="n">
        <f aca="false">COUNTIFS('Page-Keyword Map'!$A$2:$A$668,B688,'Page-Keyword Map'!$E$2:$E$668,"City")</f>
        <v>1</v>
      </c>
      <c r="X688" s="15" t="str">
        <f aca="false">IF(O688="","",IF(ISNUMBER(SEARCH(O688,J688)),"Yes","No"))</f>
        <v>Yes</v>
      </c>
      <c r="Y688" s="15" t="n">
        <v>0.5</v>
      </c>
      <c r="Z688" s="15" t="s">
        <v>2089</v>
      </c>
      <c r="AA688" s="15" t="s">
        <v>131</v>
      </c>
      <c r="AB688" s="17"/>
      <c r="AC688" s="17"/>
    </row>
    <row r="689" customFormat="false" ht="23.85" hidden="false" customHeight="false" outlineLevel="0" collapsed="false">
      <c r="A689" s="15" t="s">
        <v>4336</v>
      </c>
      <c r="B689" s="15" t="s">
        <v>4337</v>
      </c>
      <c r="C689" s="15" t="s">
        <v>2076</v>
      </c>
      <c r="D689" s="15" t="s">
        <v>86</v>
      </c>
      <c r="E689" s="15" t="s">
        <v>356</v>
      </c>
      <c r="F689" s="15"/>
      <c r="G689" s="15" t="s">
        <v>687</v>
      </c>
      <c r="H689" s="15" t="s">
        <v>2211</v>
      </c>
      <c r="I689" s="15" t="s">
        <v>126</v>
      </c>
      <c r="J689" s="3" t="s">
        <v>4338</v>
      </c>
      <c r="K689" s="15" t="n">
        <f aca="false">LEN(J689)</f>
        <v>62</v>
      </c>
      <c r="L689" s="3" t="s">
        <v>4339</v>
      </c>
      <c r="M689" s="15" t="n">
        <f aca="false">LEN(L689)</f>
        <v>159</v>
      </c>
      <c r="N689" s="3" t="s">
        <v>4340</v>
      </c>
      <c r="O689" s="15" t="s">
        <v>4341</v>
      </c>
      <c r="P689" s="16" t="n">
        <v>98</v>
      </c>
      <c r="Q689" s="15" t="s">
        <v>104</v>
      </c>
      <c r="R689" s="15"/>
      <c r="S689" s="15" t="n">
        <f aca="false">COUNTIF('Page-Keyword Map'!$A$2:$A$668,B689)</f>
        <v>1</v>
      </c>
      <c r="T689" s="16" t="n">
        <f aca="false">SUMIF('Page-Keyword Map'!$A$2:$A$668,B689,'Page-Keyword Map'!$H$2:$H$668)</f>
        <v>98</v>
      </c>
      <c r="U689" s="15" t="n">
        <f aca="false">COUNTIFS('Page-Keyword Map'!$A$2:$A$668,B689,'Page-Keyword Map'!$E$2:$E$668,"Nationwide")</f>
        <v>0</v>
      </c>
      <c r="V689" s="15" t="n">
        <f aca="false">COUNTIFS('Page-Keyword Map'!$A$2:$A$668,B689,'Page-Keyword Map'!$E$2:$E$668,"Provincial")</f>
        <v>0</v>
      </c>
      <c r="W689" s="15" t="n">
        <f aca="false">COUNTIFS('Page-Keyword Map'!$A$2:$A$668,B689,'Page-Keyword Map'!$E$2:$E$668,"City")</f>
        <v>1</v>
      </c>
      <c r="X689" s="15" t="str">
        <f aca="false">IF(O689="","",IF(ISNUMBER(SEARCH(O689,J689)),"Yes","No"))</f>
        <v>No</v>
      </c>
      <c r="Y689" s="15" t="n">
        <v>0.7</v>
      </c>
      <c r="Z689" s="15" t="s">
        <v>2089</v>
      </c>
      <c r="AA689" s="15" t="s">
        <v>131</v>
      </c>
      <c r="AB689" s="17"/>
      <c r="AC689" s="17"/>
    </row>
    <row r="690" customFormat="false" ht="23.85" hidden="false" customHeight="false" outlineLevel="0" collapsed="false">
      <c r="A690" s="15" t="s">
        <v>4342</v>
      </c>
      <c r="B690" s="15" t="s">
        <v>4343</v>
      </c>
      <c r="C690" s="15" t="s">
        <v>2076</v>
      </c>
      <c r="D690" s="15" t="s">
        <v>86</v>
      </c>
      <c r="E690" s="15" t="s">
        <v>356</v>
      </c>
      <c r="F690" s="15"/>
      <c r="G690" s="15" t="s">
        <v>694</v>
      </c>
      <c r="H690" s="15" t="s">
        <v>2218</v>
      </c>
      <c r="I690" s="15" t="s">
        <v>211</v>
      </c>
      <c r="J690" s="3" t="s">
        <v>4344</v>
      </c>
      <c r="K690" s="15" t="n">
        <f aca="false">LEN(J690)</f>
        <v>63</v>
      </c>
      <c r="L690" s="3" t="s">
        <v>4345</v>
      </c>
      <c r="M690" s="15" t="n">
        <f aca="false">LEN(L690)</f>
        <v>157</v>
      </c>
      <c r="N690" s="3" t="s">
        <v>4346</v>
      </c>
      <c r="O690" s="15"/>
      <c r="P690" s="16"/>
      <c r="Q690" s="15"/>
      <c r="R690" s="15" t="s">
        <v>4347</v>
      </c>
      <c r="S690" s="15" t="n">
        <f aca="false">COUNTIF('Page-Keyword Map'!$A$2:$A$668,B690)</f>
        <v>0</v>
      </c>
      <c r="T690" s="16" t="n">
        <f aca="false">SUMIF('Page-Keyword Map'!$A$2:$A$668,B690,'Page-Keyword Map'!$H$2:$H$668)</f>
        <v>0</v>
      </c>
      <c r="U690" s="15" t="n">
        <f aca="false">COUNTIFS('Page-Keyword Map'!$A$2:$A$668,B690,'Page-Keyword Map'!$E$2:$E$668,"Nationwide")</f>
        <v>0</v>
      </c>
      <c r="V690" s="15" t="n">
        <f aca="false">COUNTIFS('Page-Keyword Map'!$A$2:$A$668,B690,'Page-Keyword Map'!$E$2:$E$668,"Provincial")</f>
        <v>0</v>
      </c>
      <c r="W690" s="15" t="n">
        <f aca="false">COUNTIFS('Page-Keyword Map'!$A$2:$A$668,B690,'Page-Keyword Map'!$E$2:$E$668,"City")</f>
        <v>0</v>
      </c>
      <c r="X690" s="15" t="str">
        <f aca="false">IF(O690="","",IF(ISNUMBER(SEARCH(O690,J690)),"Yes","No"))</f>
        <v/>
      </c>
      <c r="Y690" s="15" t="n">
        <v>0.5</v>
      </c>
      <c r="Z690" s="15" t="s">
        <v>216</v>
      </c>
      <c r="AA690" s="15" t="s">
        <v>217</v>
      </c>
      <c r="AB690" s="17"/>
      <c r="AC690" s="17"/>
    </row>
    <row r="691" customFormat="false" ht="23.85" hidden="false" customHeight="false" outlineLevel="0" collapsed="false">
      <c r="A691" s="15" t="s">
        <v>4348</v>
      </c>
      <c r="B691" s="15" t="s">
        <v>4349</v>
      </c>
      <c r="C691" s="15" t="s">
        <v>2076</v>
      </c>
      <c r="D691" s="15" t="s">
        <v>86</v>
      </c>
      <c r="E691" s="15" t="s">
        <v>356</v>
      </c>
      <c r="F691" s="15"/>
      <c r="G691" s="15" t="s">
        <v>701</v>
      </c>
      <c r="H691" s="15" t="s">
        <v>2225</v>
      </c>
      <c r="I691" s="15" t="s">
        <v>126</v>
      </c>
      <c r="J691" s="3" t="s">
        <v>4350</v>
      </c>
      <c r="K691" s="15" t="n">
        <f aca="false">LEN(J691)</f>
        <v>59</v>
      </c>
      <c r="L691" s="3" t="s">
        <v>4351</v>
      </c>
      <c r="M691" s="15" t="n">
        <f aca="false">LEN(L691)</f>
        <v>142</v>
      </c>
      <c r="N691" s="3" t="s">
        <v>4352</v>
      </c>
      <c r="O691" s="15" t="s">
        <v>4353</v>
      </c>
      <c r="P691" s="16" t="n">
        <v>300</v>
      </c>
      <c r="Q691" s="15" t="s">
        <v>104</v>
      </c>
      <c r="R691" s="15"/>
      <c r="S691" s="15" t="n">
        <f aca="false">COUNTIF('Page-Keyword Map'!$A$2:$A$668,B691)</f>
        <v>1</v>
      </c>
      <c r="T691" s="16" t="n">
        <f aca="false">SUMIF('Page-Keyword Map'!$A$2:$A$668,B691,'Page-Keyword Map'!$H$2:$H$668)</f>
        <v>300</v>
      </c>
      <c r="U691" s="15" t="n">
        <f aca="false">COUNTIFS('Page-Keyword Map'!$A$2:$A$668,B691,'Page-Keyword Map'!$E$2:$E$668,"Nationwide")</f>
        <v>0</v>
      </c>
      <c r="V691" s="15" t="n">
        <f aca="false">COUNTIFS('Page-Keyword Map'!$A$2:$A$668,B691,'Page-Keyword Map'!$E$2:$E$668,"Provincial")</f>
        <v>0</v>
      </c>
      <c r="W691" s="15" t="n">
        <f aca="false">COUNTIFS('Page-Keyword Map'!$A$2:$A$668,B691,'Page-Keyword Map'!$E$2:$E$668,"City")</f>
        <v>1</v>
      </c>
      <c r="X691" s="15" t="str">
        <f aca="false">IF(O691="","",IF(ISNUMBER(SEARCH(O691,J691)),"Yes","No"))</f>
        <v>Yes</v>
      </c>
      <c r="Y691" s="15" t="n">
        <v>0.7</v>
      </c>
      <c r="Z691" s="15" t="s">
        <v>2089</v>
      </c>
      <c r="AA691" s="15" t="s">
        <v>131</v>
      </c>
      <c r="AB691" s="17"/>
      <c r="AC691" s="17"/>
    </row>
    <row r="692" customFormat="false" ht="23.85" hidden="false" customHeight="false" outlineLevel="0" collapsed="false">
      <c r="A692" s="15" t="s">
        <v>4354</v>
      </c>
      <c r="B692" s="15" t="s">
        <v>4355</v>
      </c>
      <c r="C692" s="15" t="s">
        <v>2076</v>
      </c>
      <c r="D692" s="15" t="s">
        <v>86</v>
      </c>
      <c r="E692" s="15" t="s">
        <v>356</v>
      </c>
      <c r="F692" s="15"/>
      <c r="G692" s="15" t="s">
        <v>715</v>
      </c>
      <c r="H692" s="15" t="s">
        <v>2232</v>
      </c>
      <c r="I692" s="15" t="s">
        <v>211</v>
      </c>
      <c r="J692" s="3" t="s">
        <v>4356</v>
      </c>
      <c r="K692" s="15" t="n">
        <f aca="false">LEN(J692)</f>
        <v>56</v>
      </c>
      <c r="L692" s="3" t="s">
        <v>4357</v>
      </c>
      <c r="M692" s="15" t="n">
        <f aca="false">LEN(L692)</f>
        <v>135</v>
      </c>
      <c r="N692" s="3" t="s">
        <v>4358</v>
      </c>
      <c r="O692" s="15" t="s">
        <v>4359</v>
      </c>
      <c r="P692" s="16" t="n">
        <v>110</v>
      </c>
      <c r="Q692" s="15" t="s">
        <v>104</v>
      </c>
      <c r="R692" s="15"/>
      <c r="S692" s="15" t="n">
        <f aca="false">COUNTIF('Page-Keyword Map'!$A$2:$A$668,B692)</f>
        <v>1</v>
      </c>
      <c r="T692" s="16" t="n">
        <f aca="false">SUMIF('Page-Keyword Map'!$A$2:$A$668,B692,'Page-Keyword Map'!$H$2:$H$668)</f>
        <v>110</v>
      </c>
      <c r="U692" s="15" t="n">
        <f aca="false">COUNTIFS('Page-Keyword Map'!$A$2:$A$668,B692,'Page-Keyword Map'!$E$2:$E$668,"Nationwide")</f>
        <v>0</v>
      </c>
      <c r="V692" s="15" t="n">
        <f aca="false">COUNTIFS('Page-Keyword Map'!$A$2:$A$668,B692,'Page-Keyword Map'!$E$2:$E$668,"Provincial")</f>
        <v>0</v>
      </c>
      <c r="W692" s="15" t="n">
        <f aca="false">COUNTIFS('Page-Keyword Map'!$A$2:$A$668,B692,'Page-Keyword Map'!$E$2:$E$668,"City")</f>
        <v>1</v>
      </c>
      <c r="X692" s="15" t="str">
        <f aca="false">IF(O692="","",IF(ISNUMBER(SEARCH(O692,J692)),"Yes","No"))</f>
        <v>Yes</v>
      </c>
      <c r="Y692" s="15" t="n">
        <v>0.5</v>
      </c>
      <c r="Z692" s="15" t="s">
        <v>216</v>
      </c>
      <c r="AA692" s="15" t="s">
        <v>217</v>
      </c>
      <c r="AB692" s="17"/>
      <c r="AC692" s="17"/>
    </row>
    <row r="693" customFormat="false" ht="23.85" hidden="false" customHeight="false" outlineLevel="0" collapsed="false">
      <c r="A693" s="15" t="s">
        <v>4360</v>
      </c>
      <c r="B693" s="15" t="s">
        <v>4361</v>
      </c>
      <c r="C693" s="15" t="s">
        <v>2076</v>
      </c>
      <c r="D693" s="15" t="s">
        <v>86</v>
      </c>
      <c r="E693" s="15" t="s">
        <v>356</v>
      </c>
      <c r="F693" s="15"/>
      <c r="G693" s="15" t="s">
        <v>715</v>
      </c>
      <c r="H693" s="15" t="s">
        <v>2239</v>
      </c>
      <c r="I693" s="15" t="s">
        <v>126</v>
      </c>
      <c r="J693" s="3" t="s">
        <v>4362</v>
      </c>
      <c r="K693" s="15" t="n">
        <f aca="false">LEN(J693)</f>
        <v>58</v>
      </c>
      <c r="L693" s="3" t="s">
        <v>4363</v>
      </c>
      <c r="M693" s="15" t="n">
        <f aca="false">LEN(L693)</f>
        <v>137</v>
      </c>
      <c r="N693" s="3" t="s">
        <v>4364</v>
      </c>
      <c r="O693" s="15" t="s">
        <v>4365</v>
      </c>
      <c r="P693" s="16" t="n">
        <v>120</v>
      </c>
      <c r="Q693" s="15" t="s">
        <v>104</v>
      </c>
      <c r="R693" s="15"/>
      <c r="S693" s="15" t="n">
        <f aca="false">COUNTIF('Page-Keyword Map'!$A$2:$A$668,B693)</f>
        <v>1</v>
      </c>
      <c r="T693" s="16" t="n">
        <f aca="false">SUMIF('Page-Keyword Map'!$A$2:$A$668,B693,'Page-Keyword Map'!$H$2:$H$668)</f>
        <v>120</v>
      </c>
      <c r="U693" s="15" t="n">
        <f aca="false">COUNTIFS('Page-Keyword Map'!$A$2:$A$668,B693,'Page-Keyword Map'!$E$2:$E$668,"Nationwide")</f>
        <v>0</v>
      </c>
      <c r="V693" s="15" t="n">
        <f aca="false">COUNTIFS('Page-Keyword Map'!$A$2:$A$668,B693,'Page-Keyword Map'!$E$2:$E$668,"Provincial")</f>
        <v>0</v>
      </c>
      <c r="W693" s="15" t="n">
        <f aca="false">COUNTIFS('Page-Keyword Map'!$A$2:$A$668,B693,'Page-Keyword Map'!$E$2:$E$668,"City")</f>
        <v>1</v>
      </c>
      <c r="X693" s="15" t="str">
        <f aca="false">IF(O693="","",IF(ISNUMBER(SEARCH(O693,J693)),"Yes","No"))</f>
        <v>Yes</v>
      </c>
      <c r="Y693" s="15" t="n">
        <v>0.5</v>
      </c>
      <c r="Z693" s="15" t="s">
        <v>2089</v>
      </c>
      <c r="AA693" s="15" t="s">
        <v>131</v>
      </c>
      <c r="AB693" s="17"/>
      <c r="AC693" s="17"/>
    </row>
    <row r="694" customFormat="false" ht="23.85" hidden="false" customHeight="false" outlineLevel="0" collapsed="false">
      <c r="A694" s="15" t="s">
        <v>4366</v>
      </c>
      <c r="B694" s="15" t="s">
        <v>4367</v>
      </c>
      <c r="C694" s="15" t="s">
        <v>2076</v>
      </c>
      <c r="D694" s="15" t="s">
        <v>86</v>
      </c>
      <c r="E694" s="15" t="s">
        <v>356</v>
      </c>
      <c r="F694" s="15"/>
      <c r="G694" s="15" t="s">
        <v>715</v>
      </c>
      <c r="H694" s="15" t="s">
        <v>2246</v>
      </c>
      <c r="I694" s="15" t="s">
        <v>126</v>
      </c>
      <c r="J694" s="3" t="s">
        <v>4368</v>
      </c>
      <c r="K694" s="15" t="n">
        <f aca="false">LEN(J694)</f>
        <v>60</v>
      </c>
      <c r="L694" s="3" t="s">
        <v>4369</v>
      </c>
      <c r="M694" s="15" t="n">
        <f aca="false">LEN(L694)</f>
        <v>139</v>
      </c>
      <c r="N694" s="3" t="s">
        <v>4370</v>
      </c>
      <c r="O694" s="15" t="s">
        <v>4371</v>
      </c>
      <c r="P694" s="16" t="n">
        <v>410</v>
      </c>
      <c r="Q694" s="15" t="s">
        <v>104</v>
      </c>
      <c r="R694" s="15"/>
      <c r="S694" s="15" t="n">
        <f aca="false">COUNTIF('Page-Keyword Map'!$A$2:$A$668,B694)</f>
        <v>1</v>
      </c>
      <c r="T694" s="16" t="n">
        <f aca="false">SUMIF('Page-Keyword Map'!$A$2:$A$668,B694,'Page-Keyword Map'!$H$2:$H$668)</f>
        <v>410</v>
      </c>
      <c r="U694" s="15" t="n">
        <f aca="false">COUNTIFS('Page-Keyword Map'!$A$2:$A$668,B694,'Page-Keyword Map'!$E$2:$E$668,"Nationwide")</f>
        <v>0</v>
      </c>
      <c r="V694" s="15" t="n">
        <f aca="false">COUNTIFS('Page-Keyword Map'!$A$2:$A$668,B694,'Page-Keyword Map'!$E$2:$E$668,"Provincial")</f>
        <v>0</v>
      </c>
      <c r="W694" s="15" t="n">
        <f aca="false">COUNTIFS('Page-Keyword Map'!$A$2:$A$668,B694,'Page-Keyword Map'!$E$2:$E$668,"City")</f>
        <v>1</v>
      </c>
      <c r="X694" s="15" t="str">
        <f aca="false">IF(O694="","",IF(ISNUMBER(SEARCH(O694,J694)),"Yes","No"))</f>
        <v>Yes</v>
      </c>
      <c r="Y694" s="15" t="n">
        <v>0.7</v>
      </c>
      <c r="Z694" s="15" t="s">
        <v>2089</v>
      </c>
      <c r="AA694" s="15" t="s">
        <v>131</v>
      </c>
      <c r="AB694" s="17"/>
      <c r="AC694" s="17"/>
    </row>
    <row r="695" customFormat="false" ht="23.85" hidden="false" customHeight="false" outlineLevel="0" collapsed="false">
      <c r="A695" s="15" t="s">
        <v>4372</v>
      </c>
      <c r="B695" s="15" t="s">
        <v>4373</v>
      </c>
      <c r="C695" s="15" t="s">
        <v>2076</v>
      </c>
      <c r="D695" s="15" t="s">
        <v>86</v>
      </c>
      <c r="E695" s="15" t="s">
        <v>356</v>
      </c>
      <c r="F695" s="15"/>
      <c r="G695" s="15" t="s">
        <v>715</v>
      </c>
      <c r="H695" s="15" t="s">
        <v>2253</v>
      </c>
      <c r="I695" s="15" t="s">
        <v>126</v>
      </c>
      <c r="J695" s="3" t="s">
        <v>4374</v>
      </c>
      <c r="K695" s="15" t="n">
        <f aca="false">LEN(J695)</f>
        <v>62</v>
      </c>
      <c r="L695" s="3" t="s">
        <v>4375</v>
      </c>
      <c r="M695" s="15" t="n">
        <f aca="false">LEN(L695)</f>
        <v>141</v>
      </c>
      <c r="N695" s="3" t="s">
        <v>4376</v>
      </c>
      <c r="O695" s="15" t="s">
        <v>4377</v>
      </c>
      <c r="P695" s="16" t="n">
        <v>150</v>
      </c>
      <c r="Q695" s="15" t="s">
        <v>104</v>
      </c>
      <c r="R695" s="15"/>
      <c r="S695" s="15" t="n">
        <f aca="false">COUNTIF('Page-Keyword Map'!$A$2:$A$668,B695)</f>
        <v>1</v>
      </c>
      <c r="T695" s="16" t="n">
        <f aca="false">SUMIF('Page-Keyword Map'!$A$2:$A$668,B695,'Page-Keyword Map'!$H$2:$H$668)</f>
        <v>150</v>
      </c>
      <c r="U695" s="15" t="n">
        <f aca="false">COUNTIFS('Page-Keyword Map'!$A$2:$A$668,B695,'Page-Keyword Map'!$E$2:$E$668,"Nationwide")</f>
        <v>0</v>
      </c>
      <c r="V695" s="15" t="n">
        <f aca="false">COUNTIFS('Page-Keyword Map'!$A$2:$A$668,B695,'Page-Keyword Map'!$E$2:$E$668,"Provincial")</f>
        <v>0</v>
      </c>
      <c r="W695" s="15" t="n">
        <f aca="false">COUNTIFS('Page-Keyword Map'!$A$2:$A$668,B695,'Page-Keyword Map'!$E$2:$E$668,"City")</f>
        <v>1</v>
      </c>
      <c r="X695" s="15" t="str">
        <f aca="false">IF(O695="","",IF(ISNUMBER(SEARCH(O695,J695)),"Yes","No"))</f>
        <v>Yes</v>
      </c>
      <c r="Y695" s="15" t="n">
        <v>0.5</v>
      </c>
      <c r="Z695" s="15" t="s">
        <v>2089</v>
      </c>
      <c r="AA695" s="15" t="s">
        <v>131</v>
      </c>
      <c r="AB695" s="17"/>
      <c r="AC695" s="17"/>
    </row>
    <row r="696" customFormat="false" ht="23.85" hidden="false" customHeight="false" outlineLevel="0" collapsed="false">
      <c r="A696" s="15" t="s">
        <v>4378</v>
      </c>
      <c r="B696" s="15" t="s">
        <v>4379</v>
      </c>
      <c r="C696" s="15" t="s">
        <v>2076</v>
      </c>
      <c r="D696" s="15" t="s">
        <v>86</v>
      </c>
      <c r="E696" s="15" t="s">
        <v>356</v>
      </c>
      <c r="F696" s="15"/>
      <c r="G696" s="15" t="s">
        <v>715</v>
      </c>
      <c r="H696" s="15" t="s">
        <v>2260</v>
      </c>
      <c r="I696" s="15" t="s">
        <v>211</v>
      </c>
      <c r="J696" s="3" t="s">
        <v>4380</v>
      </c>
      <c r="K696" s="15" t="n">
        <f aca="false">LEN(J696)</f>
        <v>61</v>
      </c>
      <c r="L696" s="3" t="s">
        <v>4381</v>
      </c>
      <c r="M696" s="15" t="n">
        <f aca="false">LEN(L696)</f>
        <v>140</v>
      </c>
      <c r="N696" s="3" t="s">
        <v>4382</v>
      </c>
      <c r="O696" s="15" t="s">
        <v>4383</v>
      </c>
      <c r="P696" s="16" t="n">
        <v>120</v>
      </c>
      <c r="Q696" s="15" t="s">
        <v>104</v>
      </c>
      <c r="R696" s="15"/>
      <c r="S696" s="15" t="n">
        <f aca="false">COUNTIF('Page-Keyword Map'!$A$2:$A$668,B696)</f>
        <v>1</v>
      </c>
      <c r="T696" s="16" t="n">
        <f aca="false">SUMIF('Page-Keyword Map'!$A$2:$A$668,B696,'Page-Keyword Map'!$H$2:$H$668)</f>
        <v>120</v>
      </c>
      <c r="U696" s="15" t="n">
        <f aca="false">COUNTIFS('Page-Keyword Map'!$A$2:$A$668,B696,'Page-Keyword Map'!$E$2:$E$668,"Nationwide")</f>
        <v>0</v>
      </c>
      <c r="V696" s="15" t="n">
        <f aca="false">COUNTIFS('Page-Keyword Map'!$A$2:$A$668,B696,'Page-Keyword Map'!$E$2:$E$668,"Provincial")</f>
        <v>0</v>
      </c>
      <c r="W696" s="15" t="n">
        <f aca="false">COUNTIFS('Page-Keyword Map'!$A$2:$A$668,B696,'Page-Keyword Map'!$E$2:$E$668,"City")</f>
        <v>1</v>
      </c>
      <c r="X696" s="15" t="str">
        <f aca="false">IF(O696="","",IF(ISNUMBER(SEARCH(O696,J696)),"Yes","No"))</f>
        <v>Yes</v>
      </c>
      <c r="Y696" s="15" t="n">
        <v>0.5</v>
      </c>
      <c r="Z696" s="15" t="s">
        <v>216</v>
      </c>
      <c r="AA696" s="15" t="s">
        <v>217</v>
      </c>
      <c r="AB696" s="17"/>
      <c r="AC696" s="17"/>
    </row>
    <row r="697" customFormat="false" ht="23.85" hidden="false" customHeight="false" outlineLevel="0" collapsed="false">
      <c r="A697" s="15" t="s">
        <v>4384</v>
      </c>
      <c r="B697" s="15" t="s">
        <v>4385</v>
      </c>
      <c r="C697" s="15" t="s">
        <v>2076</v>
      </c>
      <c r="D697" s="15" t="s">
        <v>86</v>
      </c>
      <c r="E697" s="15" t="s">
        <v>356</v>
      </c>
      <c r="F697" s="15"/>
      <c r="G697" s="15" t="s">
        <v>715</v>
      </c>
      <c r="H697" s="15" t="s">
        <v>2267</v>
      </c>
      <c r="I697" s="15" t="s">
        <v>126</v>
      </c>
      <c r="J697" s="3" t="s">
        <v>4386</v>
      </c>
      <c r="K697" s="15" t="n">
        <f aca="false">LEN(J697)</f>
        <v>58</v>
      </c>
      <c r="L697" s="3" t="s">
        <v>4387</v>
      </c>
      <c r="M697" s="15" t="n">
        <f aca="false">LEN(L697)</f>
        <v>137</v>
      </c>
      <c r="N697" s="3" t="s">
        <v>4388</v>
      </c>
      <c r="O697" s="15" t="s">
        <v>4389</v>
      </c>
      <c r="P697" s="16" t="n">
        <v>120</v>
      </c>
      <c r="Q697" s="15" t="s">
        <v>104</v>
      </c>
      <c r="R697" s="15"/>
      <c r="S697" s="15" t="n">
        <f aca="false">COUNTIF('Page-Keyword Map'!$A$2:$A$668,B697)</f>
        <v>1</v>
      </c>
      <c r="T697" s="16" t="n">
        <f aca="false">SUMIF('Page-Keyword Map'!$A$2:$A$668,B697,'Page-Keyword Map'!$H$2:$H$668)</f>
        <v>120</v>
      </c>
      <c r="U697" s="15" t="n">
        <f aca="false">COUNTIFS('Page-Keyword Map'!$A$2:$A$668,B697,'Page-Keyword Map'!$E$2:$E$668,"Nationwide")</f>
        <v>0</v>
      </c>
      <c r="V697" s="15" t="n">
        <f aca="false">COUNTIFS('Page-Keyword Map'!$A$2:$A$668,B697,'Page-Keyword Map'!$E$2:$E$668,"Provincial")</f>
        <v>0</v>
      </c>
      <c r="W697" s="15" t="n">
        <f aca="false">COUNTIFS('Page-Keyword Map'!$A$2:$A$668,B697,'Page-Keyword Map'!$E$2:$E$668,"City")</f>
        <v>1</v>
      </c>
      <c r="X697" s="15" t="str">
        <f aca="false">IF(O697="","",IF(ISNUMBER(SEARCH(O697,J697)),"Yes","No"))</f>
        <v>Yes</v>
      </c>
      <c r="Y697" s="15" t="n">
        <v>0.5</v>
      </c>
      <c r="Z697" s="15" t="s">
        <v>2089</v>
      </c>
      <c r="AA697" s="15" t="s">
        <v>131</v>
      </c>
      <c r="AB697" s="17"/>
      <c r="AC697" s="17"/>
    </row>
    <row r="698" customFormat="false" ht="23.85" hidden="false" customHeight="false" outlineLevel="0" collapsed="false">
      <c r="A698" s="15" t="s">
        <v>4390</v>
      </c>
      <c r="B698" s="15" t="s">
        <v>4391</v>
      </c>
      <c r="C698" s="15" t="s">
        <v>2076</v>
      </c>
      <c r="D698" s="15" t="s">
        <v>86</v>
      </c>
      <c r="E698" s="15" t="s">
        <v>356</v>
      </c>
      <c r="F698" s="15"/>
      <c r="G698" s="15" t="s">
        <v>715</v>
      </c>
      <c r="H698" s="15" t="s">
        <v>2274</v>
      </c>
      <c r="I698" s="15" t="s">
        <v>126</v>
      </c>
      <c r="J698" s="3" t="s">
        <v>4392</v>
      </c>
      <c r="K698" s="15" t="n">
        <f aca="false">LEN(J698)</f>
        <v>60</v>
      </c>
      <c r="L698" s="3" t="s">
        <v>4393</v>
      </c>
      <c r="M698" s="15" t="n">
        <f aca="false">LEN(L698)</f>
        <v>139</v>
      </c>
      <c r="N698" s="3" t="s">
        <v>4394</v>
      </c>
      <c r="O698" s="15" t="s">
        <v>4395</v>
      </c>
      <c r="P698" s="16" t="n">
        <v>360</v>
      </c>
      <c r="Q698" s="15" t="s">
        <v>104</v>
      </c>
      <c r="R698" s="15"/>
      <c r="S698" s="15" t="n">
        <f aca="false">COUNTIF('Page-Keyword Map'!$A$2:$A$668,B698)</f>
        <v>1</v>
      </c>
      <c r="T698" s="16" t="n">
        <f aca="false">SUMIF('Page-Keyword Map'!$A$2:$A$668,B698,'Page-Keyword Map'!$H$2:$H$668)</f>
        <v>360</v>
      </c>
      <c r="U698" s="15" t="n">
        <f aca="false">COUNTIFS('Page-Keyword Map'!$A$2:$A$668,B698,'Page-Keyword Map'!$E$2:$E$668,"Nationwide")</f>
        <v>0</v>
      </c>
      <c r="V698" s="15" t="n">
        <f aca="false">COUNTIFS('Page-Keyword Map'!$A$2:$A$668,B698,'Page-Keyword Map'!$E$2:$E$668,"Provincial")</f>
        <v>0</v>
      </c>
      <c r="W698" s="15" t="n">
        <f aca="false">COUNTIFS('Page-Keyword Map'!$A$2:$A$668,B698,'Page-Keyword Map'!$E$2:$E$668,"City")</f>
        <v>1</v>
      </c>
      <c r="X698" s="15" t="str">
        <f aca="false">IF(O698="","",IF(ISNUMBER(SEARCH(O698,J698)),"Yes","No"))</f>
        <v>Yes</v>
      </c>
      <c r="Y698" s="15" t="n">
        <v>0.7</v>
      </c>
      <c r="Z698" s="15" t="s">
        <v>2089</v>
      </c>
      <c r="AA698" s="15" t="s">
        <v>131</v>
      </c>
      <c r="AB698" s="17"/>
      <c r="AC698" s="17"/>
    </row>
    <row r="699" customFormat="false" ht="23.85" hidden="false" customHeight="false" outlineLevel="0" collapsed="false">
      <c r="A699" s="15" t="s">
        <v>4396</v>
      </c>
      <c r="B699" s="15" t="s">
        <v>4397</v>
      </c>
      <c r="C699" s="15" t="s">
        <v>2076</v>
      </c>
      <c r="D699" s="15" t="s">
        <v>86</v>
      </c>
      <c r="E699" s="15" t="s">
        <v>356</v>
      </c>
      <c r="F699" s="15"/>
      <c r="G699" s="15" t="s">
        <v>715</v>
      </c>
      <c r="H699" s="15" t="s">
        <v>2281</v>
      </c>
      <c r="I699" s="15" t="s">
        <v>126</v>
      </c>
      <c r="J699" s="3" t="s">
        <v>4398</v>
      </c>
      <c r="K699" s="15" t="n">
        <f aca="false">LEN(J699)</f>
        <v>60</v>
      </c>
      <c r="L699" s="3" t="s">
        <v>4399</v>
      </c>
      <c r="M699" s="15" t="n">
        <f aca="false">LEN(L699)</f>
        <v>139</v>
      </c>
      <c r="N699" s="3" t="s">
        <v>4400</v>
      </c>
      <c r="O699" s="15" t="s">
        <v>4401</v>
      </c>
      <c r="P699" s="16" t="n">
        <v>110</v>
      </c>
      <c r="Q699" s="15" t="s">
        <v>104</v>
      </c>
      <c r="R699" s="15"/>
      <c r="S699" s="15" t="n">
        <f aca="false">COUNTIF('Page-Keyword Map'!$A$2:$A$668,B699)</f>
        <v>1</v>
      </c>
      <c r="T699" s="16" t="n">
        <f aca="false">SUMIF('Page-Keyword Map'!$A$2:$A$668,B699,'Page-Keyword Map'!$H$2:$H$668)</f>
        <v>110</v>
      </c>
      <c r="U699" s="15" t="n">
        <f aca="false">COUNTIFS('Page-Keyword Map'!$A$2:$A$668,B699,'Page-Keyword Map'!$E$2:$E$668,"Nationwide")</f>
        <v>0</v>
      </c>
      <c r="V699" s="15" t="n">
        <f aca="false">COUNTIFS('Page-Keyword Map'!$A$2:$A$668,B699,'Page-Keyword Map'!$E$2:$E$668,"Provincial")</f>
        <v>0</v>
      </c>
      <c r="W699" s="15" t="n">
        <f aca="false">COUNTIFS('Page-Keyword Map'!$A$2:$A$668,B699,'Page-Keyword Map'!$E$2:$E$668,"City")</f>
        <v>1</v>
      </c>
      <c r="X699" s="15" t="str">
        <f aca="false">IF(O699="","",IF(ISNUMBER(SEARCH(O699,J699)),"Yes","No"))</f>
        <v>Yes</v>
      </c>
      <c r="Y699" s="15" t="n">
        <v>0.5</v>
      </c>
      <c r="Z699" s="15" t="s">
        <v>2089</v>
      </c>
      <c r="AA699" s="15" t="s">
        <v>131</v>
      </c>
      <c r="AB699" s="17"/>
      <c r="AC699" s="17"/>
    </row>
    <row r="700" customFormat="false" ht="23.85" hidden="false" customHeight="false" outlineLevel="0" collapsed="false">
      <c r="A700" s="15" t="s">
        <v>4402</v>
      </c>
      <c r="B700" s="15" t="s">
        <v>4403</v>
      </c>
      <c r="C700" s="15" t="s">
        <v>2076</v>
      </c>
      <c r="D700" s="15" t="s">
        <v>86</v>
      </c>
      <c r="E700" s="15" t="s">
        <v>356</v>
      </c>
      <c r="F700" s="15"/>
      <c r="G700" s="15" t="s">
        <v>715</v>
      </c>
      <c r="H700" s="15" t="s">
        <v>2288</v>
      </c>
      <c r="I700" s="15" t="s">
        <v>126</v>
      </c>
      <c r="J700" s="3" t="s">
        <v>4404</v>
      </c>
      <c r="K700" s="15" t="n">
        <f aca="false">LEN(J700)</f>
        <v>61</v>
      </c>
      <c r="L700" s="3" t="s">
        <v>4405</v>
      </c>
      <c r="M700" s="15" t="n">
        <f aca="false">LEN(L700)</f>
        <v>140</v>
      </c>
      <c r="N700" s="3" t="s">
        <v>4406</v>
      </c>
      <c r="O700" s="15" t="s">
        <v>4407</v>
      </c>
      <c r="P700" s="16" t="n">
        <v>190</v>
      </c>
      <c r="Q700" s="15" t="s">
        <v>104</v>
      </c>
      <c r="R700" s="15"/>
      <c r="S700" s="15" t="n">
        <f aca="false">COUNTIF('Page-Keyword Map'!$A$2:$A$668,B700)</f>
        <v>1</v>
      </c>
      <c r="T700" s="16" t="n">
        <f aca="false">SUMIF('Page-Keyword Map'!$A$2:$A$668,B700,'Page-Keyword Map'!$H$2:$H$668)</f>
        <v>190</v>
      </c>
      <c r="U700" s="15" t="n">
        <f aca="false">COUNTIFS('Page-Keyword Map'!$A$2:$A$668,B700,'Page-Keyword Map'!$E$2:$E$668,"Nationwide")</f>
        <v>0</v>
      </c>
      <c r="V700" s="15" t="n">
        <f aca="false">COUNTIFS('Page-Keyword Map'!$A$2:$A$668,B700,'Page-Keyword Map'!$E$2:$E$668,"Provincial")</f>
        <v>0</v>
      </c>
      <c r="W700" s="15" t="n">
        <f aca="false">COUNTIFS('Page-Keyword Map'!$A$2:$A$668,B700,'Page-Keyword Map'!$E$2:$E$668,"City")</f>
        <v>1</v>
      </c>
      <c r="X700" s="15" t="str">
        <f aca="false">IF(O700="","",IF(ISNUMBER(SEARCH(O700,J700)),"Yes","No"))</f>
        <v>Yes</v>
      </c>
      <c r="Y700" s="15" t="n">
        <v>0.7</v>
      </c>
      <c r="Z700" s="15" t="s">
        <v>2089</v>
      </c>
      <c r="AA700" s="15" t="s">
        <v>131</v>
      </c>
      <c r="AB700" s="17"/>
      <c r="AC700" s="17"/>
    </row>
    <row r="701" customFormat="false" ht="23.85" hidden="false" customHeight="false" outlineLevel="0" collapsed="false">
      <c r="A701" s="15" t="s">
        <v>4408</v>
      </c>
      <c r="B701" s="15" t="s">
        <v>4409</v>
      </c>
      <c r="C701" s="15" t="s">
        <v>2076</v>
      </c>
      <c r="D701" s="15" t="s">
        <v>86</v>
      </c>
      <c r="E701" s="15" t="s">
        <v>356</v>
      </c>
      <c r="F701" s="15"/>
      <c r="G701" s="15" t="s">
        <v>715</v>
      </c>
      <c r="H701" s="15" t="s">
        <v>2295</v>
      </c>
      <c r="I701" s="15" t="s">
        <v>126</v>
      </c>
      <c r="J701" s="3" t="s">
        <v>4410</v>
      </c>
      <c r="K701" s="15" t="n">
        <f aca="false">LEN(J701)</f>
        <v>58</v>
      </c>
      <c r="L701" s="3" t="s">
        <v>4411</v>
      </c>
      <c r="M701" s="15" t="n">
        <f aca="false">LEN(L701)</f>
        <v>137</v>
      </c>
      <c r="N701" s="3" t="s">
        <v>4412</v>
      </c>
      <c r="O701" s="15" t="s">
        <v>4413</v>
      </c>
      <c r="P701" s="16" t="n">
        <v>290</v>
      </c>
      <c r="Q701" s="15" t="s">
        <v>104</v>
      </c>
      <c r="R701" s="15"/>
      <c r="S701" s="15" t="n">
        <f aca="false">COUNTIF('Page-Keyword Map'!$A$2:$A$668,B701)</f>
        <v>1</v>
      </c>
      <c r="T701" s="16" t="n">
        <f aca="false">SUMIF('Page-Keyword Map'!$A$2:$A$668,B701,'Page-Keyword Map'!$H$2:$H$668)</f>
        <v>290</v>
      </c>
      <c r="U701" s="15" t="n">
        <f aca="false">COUNTIFS('Page-Keyword Map'!$A$2:$A$668,B701,'Page-Keyword Map'!$E$2:$E$668,"Nationwide")</f>
        <v>0</v>
      </c>
      <c r="V701" s="15" t="n">
        <f aca="false">COUNTIFS('Page-Keyword Map'!$A$2:$A$668,B701,'Page-Keyword Map'!$E$2:$E$668,"Provincial")</f>
        <v>0</v>
      </c>
      <c r="W701" s="15" t="n">
        <f aca="false">COUNTIFS('Page-Keyword Map'!$A$2:$A$668,B701,'Page-Keyword Map'!$E$2:$E$668,"City")</f>
        <v>1</v>
      </c>
      <c r="X701" s="15" t="str">
        <f aca="false">IF(O701="","",IF(ISNUMBER(SEARCH(O701,J701)),"Yes","No"))</f>
        <v>No</v>
      </c>
      <c r="Y701" s="15" t="n">
        <v>0.7</v>
      </c>
      <c r="Z701" s="15" t="s">
        <v>2089</v>
      </c>
      <c r="AA701" s="15" t="s">
        <v>131</v>
      </c>
      <c r="AB701" s="17"/>
      <c r="AC701" s="17"/>
    </row>
    <row r="702" customFormat="false" ht="23.85" hidden="false" customHeight="false" outlineLevel="0" collapsed="false">
      <c r="A702" s="15" t="s">
        <v>4414</v>
      </c>
      <c r="B702" s="15" t="s">
        <v>4415</v>
      </c>
      <c r="C702" s="15" t="s">
        <v>2076</v>
      </c>
      <c r="D702" s="15" t="s">
        <v>86</v>
      </c>
      <c r="E702" s="15" t="s">
        <v>356</v>
      </c>
      <c r="F702" s="15"/>
      <c r="G702" s="15" t="s">
        <v>715</v>
      </c>
      <c r="H702" s="15" t="s">
        <v>2302</v>
      </c>
      <c r="I702" s="15" t="s">
        <v>126</v>
      </c>
      <c r="J702" s="3" t="s">
        <v>4416</v>
      </c>
      <c r="K702" s="15" t="n">
        <f aca="false">LEN(J702)</f>
        <v>59</v>
      </c>
      <c r="L702" s="3" t="s">
        <v>4417</v>
      </c>
      <c r="M702" s="15" t="n">
        <f aca="false">LEN(L702)</f>
        <v>138</v>
      </c>
      <c r="N702" s="3" t="s">
        <v>4418</v>
      </c>
      <c r="O702" s="15" t="s">
        <v>4419</v>
      </c>
      <c r="P702" s="16" t="n">
        <v>240</v>
      </c>
      <c r="Q702" s="15" t="s">
        <v>104</v>
      </c>
      <c r="R702" s="15"/>
      <c r="S702" s="15" t="n">
        <f aca="false">COUNTIF('Page-Keyword Map'!$A$2:$A$668,B702)</f>
        <v>1</v>
      </c>
      <c r="T702" s="16" t="n">
        <f aca="false">SUMIF('Page-Keyword Map'!$A$2:$A$668,B702,'Page-Keyword Map'!$H$2:$H$668)</f>
        <v>240</v>
      </c>
      <c r="U702" s="15" t="n">
        <f aca="false">COUNTIFS('Page-Keyword Map'!$A$2:$A$668,B702,'Page-Keyword Map'!$E$2:$E$668,"Nationwide")</f>
        <v>0</v>
      </c>
      <c r="V702" s="15" t="n">
        <f aca="false">COUNTIFS('Page-Keyword Map'!$A$2:$A$668,B702,'Page-Keyword Map'!$E$2:$E$668,"Provincial")</f>
        <v>0</v>
      </c>
      <c r="W702" s="15" t="n">
        <f aca="false">COUNTIFS('Page-Keyword Map'!$A$2:$A$668,B702,'Page-Keyword Map'!$E$2:$E$668,"City")</f>
        <v>1</v>
      </c>
      <c r="X702" s="15" t="str">
        <f aca="false">IF(O702="","",IF(ISNUMBER(SEARCH(O702,J702)),"Yes","No"))</f>
        <v>Yes</v>
      </c>
      <c r="Y702" s="15" t="n">
        <v>0.7</v>
      </c>
      <c r="Z702" s="15" t="s">
        <v>2089</v>
      </c>
      <c r="AA702" s="15" t="s">
        <v>131</v>
      </c>
      <c r="AB702" s="17"/>
      <c r="AC702" s="17"/>
    </row>
    <row r="703" customFormat="false" ht="23.85" hidden="false" customHeight="false" outlineLevel="0" collapsed="false">
      <c r="A703" s="15" t="s">
        <v>4420</v>
      </c>
      <c r="B703" s="15" t="s">
        <v>4421</v>
      </c>
      <c r="C703" s="15" t="s">
        <v>2076</v>
      </c>
      <c r="D703" s="15" t="s">
        <v>86</v>
      </c>
      <c r="E703" s="15" t="s">
        <v>356</v>
      </c>
      <c r="F703" s="15"/>
      <c r="G703" s="15" t="s">
        <v>715</v>
      </c>
      <c r="H703" s="15" t="s">
        <v>2309</v>
      </c>
      <c r="I703" s="15" t="s">
        <v>211</v>
      </c>
      <c r="J703" s="3" t="s">
        <v>4422</v>
      </c>
      <c r="K703" s="15" t="n">
        <f aca="false">LEN(J703)</f>
        <v>58</v>
      </c>
      <c r="L703" s="3" t="s">
        <v>4423</v>
      </c>
      <c r="M703" s="15" t="n">
        <f aca="false">LEN(L703)</f>
        <v>137</v>
      </c>
      <c r="N703" s="3" t="s">
        <v>4424</v>
      </c>
      <c r="O703" s="15" t="s">
        <v>4425</v>
      </c>
      <c r="P703" s="16" t="n">
        <v>110</v>
      </c>
      <c r="Q703" s="15" t="s">
        <v>104</v>
      </c>
      <c r="R703" s="15"/>
      <c r="S703" s="15" t="n">
        <f aca="false">COUNTIF('Page-Keyword Map'!$A$2:$A$668,B703)</f>
        <v>1</v>
      </c>
      <c r="T703" s="16" t="n">
        <f aca="false">SUMIF('Page-Keyword Map'!$A$2:$A$668,B703,'Page-Keyword Map'!$H$2:$H$668)</f>
        <v>110</v>
      </c>
      <c r="U703" s="15" t="n">
        <f aca="false">COUNTIFS('Page-Keyword Map'!$A$2:$A$668,B703,'Page-Keyword Map'!$E$2:$E$668,"Nationwide")</f>
        <v>0</v>
      </c>
      <c r="V703" s="15" t="n">
        <f aca="false">COUNTIFS('Page-Keyword Map'!$A$2:$A$668,B703,'Page-Keyword Map'!$E$2:$E$668,"Provincial")</f>
        <v>0</v>
      </c>
      <c r="W703" s="15" t="n">
        <f aca="false">COUNTIFS('Page-Keyword Map'!$A$2:$A$668,B703,'Page-Keyword Map'!$E$2:$E$668,"City")</f>
        <v>1</v>
      </c>
      <c r="X703" s="15" t="str">
        <f aca="false">IF(O703="","",IF(ISNUMBER(SEARCH(O703,J703)),"Yes","No"))</f>
        <v>Yes</v>
      </c>
      <c r="Y703" s="15" t="n">
        <v>0.5</v>
      </c>
      <c r="Z703" s="15" t="s">
        <v>216</v>
      </c>
      <c r="AA703" s="15" t="s">
        <v>217</v>
      </c>
      <c r="AB703" s="17"/>
      <c r="AC703" s="17"/>
    </row>
    <row r="704" customFormat="false" ht="23.85" hidden="false" customHeight="false" outlineLevel="0" collapsed="false">
      <c r="A704" s="15" t="s">
        <v>4426</v>
      </c>
      <c r="B704" s="15" t="s">
        <v>4427</v>
      </c>
      <c r="C704" s="15" t="s">
        <v>2076</v>
      </c>
      <c r="D704" s="15" t="s">
        <v>86</v>
      </c>
      <c r="E704" s="15" t="s">
        <v>356</v>
      </c>
      <c r="F704" s="15"/>
      <c r="G704" s="15" t="s">
        <v>715</v>
      </c>
      <c r="H704" s="15" t="s">
        <v>2316</v>
      </c>
      <c r="I704" s="15" t="s">
        <v>126</v>
      </c>
      <c r="J704" s="3" t="s">
        <v>4428</v>
      </c>
      <c r="K704" s="15" t="n">
        <f aca="false">LEN(J704)</f>
        <v>63</v>
      </c>
      <c r="L704" s="3" t="s">
        <v>4429</v>
      </c>
      <c r="M704" s="15" t="n">
        <f aca="false">LEN(L704)</f>
        <v>142</v>
      </c>
      <c r="N704" s="3" t="s">
        <v>4430</v>
      </c>
      <c r="O704" s="15" t="s">
        <v>4431</v>
      </c>
      <c r="P704" s="16" t="n">
        <v>440</v>
      </c>
      <c r="Q704" s="15" t="s">
        <v>104</v>
      </c>
      <c r="R704" s="15"/>
      <c r="S704" s="15" t="n">
        <f aca="false">COUNTIF('Page-Keyword Map'!$A$2:$A$668,B704)</f>
        <v>1</v>
      </c>
      <c r="T704" s="16" t="n">
        <f aca="false">SUMIF('Page-Keyword Map'!$A$2:$A$668,B704,'Page-Keyword Map'!$H$2:$H$668)</f>
        <v>440</v>
      </c>
      <c r="U704" s="15" t="n">
        <f aca="false">COUNTIFS('Page-Keyword Map'!$A$2:$A$668,B704,'Page-Keyword Map'!$E$2:$E$668,"Nationwide")</f>
        <v>0</v>
      </c>
      <c r="V704" s="15" t="n">
        <f aca="false">COUNTIFS('Page-Keyword Map'!$A$2:$A$668,B704,'Page-Keyword Map'!$E$2:$E$668,"Provincial")</f>
        <v>0</v>
      </c>
      <c r="W704" s="15" t="n">
        <f aca="false">COUNTIFS('Page-Keyword Map'!$A$2:$A$668,B704,'Page-Keyword Map'!$E$2:$E$668,"City")</f>
        <v>1</v>
      </c>
      <c r="X704" s="15" t="str">
        <f aca="false">IF(O704="","",IF(ISNUMBER(SEARCH(O704,J704)),"Yes","No"))</f>
        <v>Yes</v>
      </c>
      <c r="Y704" s="15" t="n">
        <v>0.7</v>
      </c>
      <c r="Z704" s="15" t="s">
        <v>2089</v>
      </c>
      <c r="AA704" s="15" t="s">
        <v>131</v>
      </c>
      <c r="AB704" s="17"/>
      <c r="AC704" s="17"/>
    </row>
    <row r="705" customFormat="false" ht="23.85" hidden="false" customHeight="false" outlineLevel="0" collapsed="false">
      <c r="A705" s="15" t="s">
        <v>4432</v>
      </c>
      <c r="B705" s="15" t="s">
        <v>4433</v>
      </c>
      <c r="C705" s="15" t="s">
        <v>2076</v>
      </c>
      <c r="D705" s="15" t="s">
        <v>86</v>
      </c>
      <c r="E705" s="15" t="s">
        <v>356</v>
      </c>
      <c r="F705" s="15"/>
      <c r="G705" s="15" t="s">
        <v>715</v>
      </c>
      <c r="H705" s="15" t="s">
        <v>2323</v>
      </c>
      <c r="I705" s="15" t="s">
        <v>126</v>
      </c>
      <c r="J705" s="3" t="s">
        <v>4434</v>
      </c>
      <c r="K705" s="15" t="n">
        <f aca="false">LEN(J705)</f>
        <v>60</v>
      </c>
      <c r="L705" s="3" t="s">
        <v>4435</v>
      </c>
      <c r="M705" s="15" t="n">
        <f aca="false">LEN(L705)</f>
        <v>139</v>
      </c>
      <c r="N705" s="3" t="s">
        <v>4436</v>
      </c>
      <c r="O705" s="15" t="s">
        <v>4437</v>
      </c>
      <c r="P705" s="16" t="n">
        <v>170</v>
      </c>
      <c r="Q705" s="15" t="s">
        <v>104</v>
      </c>
      <c r="R705" s="15"/>
      <c r="S705" s="15" t="n">
        <f aca="false">COUNTIF('Page-Keyword Map'!$A$2:$A$668,B705)</f>
        <v>1</v>
      </c>
      <c r="T705" s="16" t="n">
        <f aca="false">SUMIF('Page-Keyword Map'!$A$2:$A$668,B705,'Page-Keyword Map'!$H$2:$H$668)</f>
        <v>170</v>
      </c>
      <c r="U705" s="15" t="n">
        <f aca="false">COUNTIFS('Page-Keyword Map'!$A$2:$A$668,B705,'Page-Keyword Map'!$E$2:$E$668,"Nationwide")</f>
        <v>0</v>
      </c>
      <c r="V705" s="15" t="n">
        <f aca="false">COUNTIFS('Page-Keyword Map'!$A$2:$A$668,B705,'Page-Keyword Map'!$E$2:$E$668,"Provincial")</f>
        <v>0</v>
      </c>
      <c r="W705" s="15" t="n">
        <f aca="false">COUNTIFS('Page-Keyword Map'!$A$2:$A$668,B705,'Page-Keyword Map'!$E$2:$E$668,"City")</f>
        <v>1</v>
      </c>
      <c r="X705" s="15" t="str">
        <f aca="false">IF(O705="","",IF(ISNUMBER(SEARCH(O705,J705)),"Yes","No"))</f>
        <v>Yes</v>
      </c>
      <c r="Y705" s="15" t="n">
        <v>0.5</v>
      </c>
      <c r="Z705" s="15" t="s">
        <v>2089</v>
      </c>
      <c r="AA705" s="15" t="s">
        <v>131</v>
      </c>
      <c r="AB705" s="17"/>
      <c r="AC705" s="17"/>
    </row>
    <row r="706" customFormat="false" ht="23.85" hidden="false" customHeight="false" outlineLevel="0" collapsed="false">
      <c r="A706" s="15" t="s">
        <v>4438</v>
      </c>
      <c r="B706" s="15" t="s">
        <v>4439</v>
      </c>
      <c r="C706" s="15" t="s">
        <v>2076</v>
      </c>
      <c r="D706" s="15" t="s">
        <v>86</v>
      </c>
      <c r="E706" s="15" t="s">
        <v>356</v>
      </c>
      <c r="F706" s="15"/>
      <c r="G706" s="15" t="s">
        <v>715</v>
      </c>
      <c r="H706" s="15" t="s">
        <v>2330</v>
      </c>
      <c r="I706" s="15" t="s">
        <v>126</v>
      </c>
      <c r="J706" s="3" t="s">
        <v>4440</v>
      </c>
      <c r="K706" s="15" t="n">
        <f aca="false">LEN(J706)</f>
        <v>58</v>
      </c>
      <c r="L706" s="3" t="s">
        <v>4441</v>
      </c>
      <c r="M706" s="15" t="n">
        <f aca="false">LEN(L706)</f>
        <v>137</v>
      </c>
      <c r="N706" s="3" t="s">
        <v>4442</v>
      </c>
      <c r="O706" s="15" t="s">
        <v>4443</v>
      </c>
      <c r="P706" s="16" t="n">
        <v>140</v>
      </c>
      <c r="Q706" s="15" t="s">
        <v>104</v>
      </c>
      <c r="R706" s="15"/>
      <c r="S706" s="15" t="n">
        <f aca="false">COUNTIF('Page-Keyword Map'!$A$2:$A$668,B706)</f>
        <v>1</v>
      </c>
      <c r="T706" s="16" t="n">
        <f aca="false">SUMIF('Page-Keyword Map'!$A$2:$A$668,B706,'Page-Keyword Map'!$H$2:$H$668)</f>
        <v>140</v>
      </c>
      <c r="U706" s="15" t="n">
        <f aca="false">COUNTIFS('Page-Keyword Map'!$A$2:$A$668,B706,'Page-Keyword Map'!$E$2:$E$668,"Nationwide")</f>
        <v>0</v>
      </c>
      <c r="V706" s="15" t="n">
        <f aca="false">COUNTIFS('Page-Keyword Map'!$A$2:$A$668,B706,'Page-Keyword Map'!$E$2:$E$668,"Provincial")</f>
        <v>0</v>
      </c>
      <c r="W706" s="15" t="n">
        <f aca="false">COUNTIFS('Page-Keyword Map'!$A$2:$A$668,B706,'Page-Keyword Map'!$E$2:$E$668,"City")</f>
        <v>1</v>
      </c>
      <c r="X706" s="15" t="str">
        <f aca="false">IF(O706="","",IF(ISNUMBER(SEARCH(O706,J706)),"Yes","No"))</f>
        <v>Yes</v>
      </c>
      <c r="Y706" s="15" t="n">
        <v>0.5</v>
      </c>
      <c r="Z706" s="15" t="s">
        <v>2089</v>
      </c>
      <c r="AA706" s="15" t="s">
        <v>131</v>
      </c>
      <c r="AB706" s="17"/>
      <c r="AC706" s="17"/>
    </row>
    <row r="707" customFormat="false" ht="23.85" hidden="false" customHeight="false" outlineLevel="0" collapsed="false">
      <c r="A707" s="15" t="s">
        <v>4444</v>
      </c>
      <c r="B707" s="15" t="s">
        <v>4445</v>
      </c>
      <c r="C707" s="15" t="s">
        <v>2076</v>
      </c>
      <c r="D707" s="15" t="s">
        <v>86</v>
      </c>
      <c r="E707" s="15" t="s">
        <v>356</v>
      </c>
      <c r="F707" s="15"/>
      <c r="G707" s="15" t="s">
        <v>715</v>
      </c>
      <c r="H707" s="15" t="s">
        <v>2337</v>
      </c>
      <c r="I707" s="15" t="s">
        <v>126</v>
      </c>
      <c r="J707" s="3" t="s">
        <v>4446</v>
      </c>
      <c r="K707" s="15" t="n">
        <f aca="false">LEN(J707)</f>
        <v>58</v>
      </c>
      <c r="L707" s="3" t="s">
        <v>4447</v>
      </c>
      <c r="M707" s="15" t="n">
        <f aca="false">LEN(L707)</f>
        <v>137</v>
      </c>
      <c r="N707" s="3" t="s">
        <v>4448</v>
      </c>
      <c r="O707" s="15" t="s">
        <v>4449</v>
      </c>
      <c r="P707" s="16" t="n">
        <v>580</v>
      </c>
      <c r="Q707" s="15" t="s">
        <v>104</v>
      </c>
      <c r="R707" s="15"/>
      <c r="S707" s="15" t="n">
        <f aca="false">COUNTIF('Page-Keyword Map'!$A$2:$A$668,B707)</f>
        <v>1</v>
      </c>
      <c r="T707" s="16" t="n">
        <f aca="false">SUMIF('Page-Keyword Map'!$A$2:$A$668,B707,'Page-Keyword Map'!$H$2:$H$668)</f>
        <v>580</v>
      </c>
      <c r="U707" s="15" t="n">
        <f aca="false">COUNTIFS('Page-Keyword Map'!$A$2:$A$668,B707,'Page-Keyword Map'!$E$2:$E$668,"Nationwide")</f>
        <v>0</v>
      </c>
      <c r="V707" s="15" t="n">
        <f aca="false">COUNTIFS('Page-Keyword Map'!$A$2:$A$668,B707,'Page-Keyword Map'!$E$2:$E$668,"Provincial")</f>
        <v>0</v>
      </c>
      <c r="W707" s="15" t="n">
        <f aca="false">COUNTIFS('Page-Keyword Map'!$A$2:$A$668,B707,'Page-Keyword Map'!$E$2:$E$668,"City")</f>
        <v>1</v>
      </c>
      <c r="X707" s="15" t="str">
        <f aca="false">IF(O707="","",IF(ISNUMBER(SEARCH(O707,J707)),"Yes","No"))</f>
        <v>Yes</v>
      </c>
      <c r="Y707" s="15" t="n">
        <v>0.7</v>
      </c>
      <c r="Z707" s="15" t="s">
        <v>2089</v>
      </c>
      <c r="AA707" s="15" t="s">
        <v>131</v>
      </c>
      <c r="AB707" s="17"/>
      <c r="AC707" s="17"/>
    </row>
    <row r="708" customFormat="false" ht="23.85" hidden="false" customHeight="false" outlineLevel="0" collapsed="false">
      <c r="A708" s="15" t="s">
        <v>4450</v>
      </c>
      <c r="B708" s="15" t="s">
        <v>4451</v>
      </c>
      <c r="C708" s="15" t="s">
        <v>2076</v>
      </c>
      <c r="D708" s="15" t="s">
        <v>86</v>
      </c>
      <c r="E708" s="15" t="s">
        <v>356</v>
      </c>
      <c r="F708" s="15"/>
      <c r="G708" s="15" t="s">
        <v>715</v>
      </c>
      <c r="H708" s="15" t="s">
        <v>2344</v>
      </c>
      <c r="I708" s="15" t="s">
        <v>211</v>
      </c>
      <c r="J708" s="3" t="s">
        <v>4452</v>
      </c>
      <c r="K708" s="15" t="n">
        <f aca="false">LEN(J708)</f>
        <v>61</v>
      </c>
      <c r="L708" s="3" t="s">
        <v>4453</v>
      </c>
      <c r="M708" s="15" t="n">
        <f aca="false">LEN(L708)</f>
        <v>140</v>
      </c>
      <c r="N708" s="3" t="s">
        <v>4454</v>
      </c>
      <c r="O708" s="15" t="s">
        <v>4455</v>
      </c>
      <c r="P708" s="16" t="n">
        <v>90</v>
      </c>
      <c r="Q708" s="15" t="s">
        <v>104</v>
      </c>
      <c r="R708" s="15"/>
      <c r="S708" s="15" t="n">
        <f aca="false">COUNTIF('Page-Keyword Map'!$A$2:$A$668,B708)</f>
        <v>1</v>
      </c>
      <c r="T708" s="16" t="n">
        <f aca="false">SUMIF('Page-Keyword Map'!$A$2:$A$668,B708,'Page-Keyword Map'!$H$2:$H$668)</f>
        <v>90</v>
      </c>
      <c r="U708" s="15" t="n">
        <f aca="false">COUNTIFS('Page-Keyword Map'!$A$2:$A$668,B708,'Page-Keyword Map'!$E$2:$E$668,"Nationwide")</f>
        <v>0</v>
      </c>
      <c r="V708" s="15" t="n">
        <f aca="false">COUNTIFS('Page-Keyword Map'!$A$2:$A$668,B708,'Page-Keyword Map'!$E$2:$E$668,"Provincial")</f>
        <v>0</v>
      </c>
      <c r="W708" s="15" t="n">
        <f aca="false">COUNTIFS('Page-Keyword Map'!$A$2:$A$668,B708,'Page-Keyword Map'!$E$2:$E$668,"City")</f>
        <v>1</v>
      </c>
      <c r="X708" s="15" t="str">
        <f aca="false">IF(O708="","",IF(ISNUMBER(SEARCH(O708,J708)),"Yes","No"))</f>
        <v>Yes</v>
      </c>
      <c r="Y708" s="15" t="n">
        <v>0.5</v>
      </c>
      <c r="Z708" s="15" t="s">
        <v>216</v>
      </c>
      <c r="AA708" s="15" t="s">
        <v>217</v>
      </c>
      <c r="AB708" s="17"/>
      <c r="AC708" s="17"/>
    </row>
    <row r="709" customFormat="false" ht="23.85" hidden="false" customHeight="false" outlineLevel="0" collapsed="false">
      <c r="A709" s="15" t="s">
        <v>4456</v>
      </c>
      <c r="B709" s="15" t="s">
        <v>4457</v>
      </c>
      <c r="C709" s="15" t="s">
        <v>2076</v>
      </c>
      <c r="D709" s="15" t="s">
        <v>86</v>
      </c>
      <c r="E709" s="15" t="s">
        <v>356</v>
      </c>
      <c r="F709" s="15"/>
      <c r="G709" s="15" t="s">
        <v>715</v>
      </c>
      <c r="H709" s="15" t="s">
        <v>2351</v>
      </c>
      <c r="I709" s="15" t="s">
        <v>126</v>
      </c>
      <c r="J709" s="3" t="s">
        <v>4458</v>
      </c>
      <c r="K709" s="15" t="n">
        <f aca="false">LEN(J709)</f>
        <v>65</v>
      </c>
      <c r="L709" s="3" t="s">
        <v>4459</v>
      </c>
      <c r="M709" s="15" t="n">
        <f aca="false">LEN(L709)</f>
        <v>144</v>
      </c>
      <c r="N709" s="3" t="s">
        <v>4460</v>
      </c>
      <c r="O709" s="15" t="s">
        <v>4461</v>
      </c>
      <c r="P709" s="16" t="n">
        <v>160</v>
      </c>
      <c r="Q709" s="15" t="s">
        <v>104</v>
      </c>
      <c r="R709" s="15"/>
      <c r="S709" s="15" t="n">
        <f aca="false">COUNTIF('Page-Keyword Map'!$A$2:$A$668,B709)</f>
        <v>1</v>
      </c>
      <c r="T709" s="16" t="n">
        <f aca="false">SUMIF('Page-Keyword Map'!$A$2:$A$668,B709,'Page-Keyword Map'!$H$2:$H$668)</f>
        <v>160</v>
      </c>
      <c r="U709" s="15" t="n">
        <f aca="false">COUNTIFS('Page-Keyword Map'!$A$2:$A$668,B709,'Page-Keyword Map'!$E$2:$E$668,"Nationwide")</f>
        <v>0</v>
      </c>
      <c r="V709" s="15" t="n">
        <f aca="false">COUNTIFS('Page-Keyword Map'!$A$2:$A$668,B709,'Page-Keyword Map'!$E$2:$E$668,"Provincial")</f>
        <v>0</v>
      </c>
      <c r="W709" s="15" t="n">
        <f aca="false">COUNTIFS('Page-Keyword Map'!$A$2:$A$668,B709,'Page-Keyword Map'!$E$2:$E$668,"City")</f>
        <v>1</v>
      </c>
      <c r="X709" s="15" t="str">
        <f aca="false">IF(O709="","",IF(ISNUMBER(SEARCH(O709,J709)),"Yes","No"))</f>
        <v>Yes</v>
      </c>
      <c r="Y709" s="15" t="n">
        <v>0.5</v>
      </c>
      <c r="Z709" s="15" t="s">
        <v>2089</v>
      </c>
      <c r="AA709" s="15" t="s">
        <v>131</v>
      </c>
      <c r="AB709" s="17"/>
      <c r="AC709" s="17"/>
    </row>
    <row r="710" customFormat="false" ht="23.85" hidden="false" customHeight="false" outlineLevel="0" collapsed="false">
      <c r="A710" s="15" t="s">
        <v>4462</v>
      </c>
      <c r="B710" s="15" t="s">
        <v>4463</v>
      </c>
      <c r="C710" s="15" t="s">
        <v>2076</v>
      </c>
      <c r="D710" s="15" t="s">
        <v>86</v>
      </c>
      <c r="E710" s="15" t="s">
        <v>356</v>
      </c>
      <c r="F710" s="15"/>
      <c r="G710" s="15" t="s">
        <v>715</v>
      </c>
      <c r="H710" s="15" t="s">
        <v>2358</v>
      </c>
      <c r="I710" s="15" t="s">
        <v>126</v>
      </c>
      <c r="J710" s="3" t="s">
        <v>4464</v>
      </c>
      <c r="K710" s="15" t="n">
        <f aca="false">LEN(J710)</f>
        <v>66</v>
      </c>
      <c r="L710" s="3" t="s">
        <v>4465</v>
      </c>
      <c r="M710" s="15" t="n">
        <f aca="false">LEN(L710)</f>
        <v>145</v>
      </c>
      <c r="N710" s="3" t="s">
        <v>4466</v>
      </c>
      <c r="O710" s="15" t="s">
        <v>4467</v>
      </c>
      <c r="P710" s="16" t="n">
        <v>120</v>
      </c>
      <c r="Q710" s="15" t="s">
        <v>104</v>
      </c>
      <c r="R710" s="15"/>
      <c r="S710" s="15" t="n">
        <f aca="false">COUNTIF('Page-Keyword Map'!$A$2:$A$668,B710)</f>
        <v>1</v>
      </c>
      <c r="T710" s="16" t="n">
        <f aca="false">SUMIF('Page-Keyword Map'!$A$2:$A$668,B710,'Page-Keyword Map'!$H$2:$H$668)</f>
        <v>120</v>
      </c>
      <c r="U710" s="15" t="n">
        <f aca="false">COUNTIFS('Page-Keyword Map'!$A$2:$A$668,B710,'Page-Keyword Map'!$E$2:$E$668,"Nationwide")</f>
        <v>0</v>
      </c>
      <c r="V710" s="15" t="n">
        <f aca="false">COUNTIFS('Page-Keyword Map'!$A$2:$A$668,B710,'Page-Keyword Map'!$E$2:$E$668,"Provincial")</f>
        <v>0</v>
      </c>
      <c r="W710" s="15" t="n">
        <f aca="false">COUNTIFS('Page-Keyword Map'!$A$2:$A$668,B710,'Page-Keyword Map'!$E$2:$E$668,"City")</f>
        <v>1</v>
      </c>
      <c r="X710" s="15" t="str">
        <f aca="false">IF(O710="","",IF(ISNUMBER(SEARCH(O710,J710)),"Yes","No"))</f>
        <v>No</v>
      </c>
      <c r="Y710" s="15" t="n">
        <v>0.5</v>
      </c>
      <c r="Z710" s="15" t="s">
        <v>2089</v>
      </c>
      <c r="AA710" s="15" t="s">
        <v>131</v>
      </c>
      <c r="AB710" s="17"/>
      <c r="AC710" s="17"/>
    </row>
    <row r="711" customFormat="false" ht="23.85" hidden="false" customHeight="false" outlineLevel="0" collapsed="false">
      <c r="A711" s="15" t="s">
        <v>4468</v>
      </c>
      <c r="B711" s="15" t="s">
        <v>4469</v>
      </c>
      <c r="C711" s="15" t="s">
        <v>2076</v>
      </c>
      <c r="D711" s="15" t="s">
        <v>86</v>
      </c>
      <c r="E711" s="15" t="s">
        <v>356</v>
      </c>
      <c r="F711" s="15"/>
      <c r="G711" s="15" t="s">
        <v>715</v>
      </c>
      <c r="H711" s="15" t="s">
        <v>2365</v>
      </c>
      <c r="I711" s="15" t="s">
        <v>211</v>
      </c>
      <c r="J711" s="3" t="s">
        <v>4470</v>
      </c>
      <c r="K711" s="15" t="n">
        <f aca="false">LEN(J711)</f>
        <v>59</v>
      </c>
      <c r="L711" s="3" t="s">
        <v>4471</v>
      </c>
      <c r="M711" s="15" t="n">
        <f aca="false">LEN(L711)</f>
        <v>138</v>
      </c>
      <c r="N711" s="3" t="s">
        <v>4472</v>
      </c>
      <c r="O711" s="15" t="s">
        <v>4473</v>
      </c>
      <c r="P711" s="16" t="n">
        <v>140</v>
      </c>
      <c r="Q711" s="15" t="s">
        <v>104</v>
      </c>
      <c r="R711" s="15"/>
      <c r="S711" s="15" t="n">
        <f aca="false">COUNTIF('Page-Keyword Map'!$A$2:$A$668,B711)</f>
        <v>1</v>
      </c>
      <c r="T711" s="16" t="n">
        <f aca="false">SUMIF('Page-Keyword Map'!$A$2:$A$668,B711,'Page-Keyword Map'!$H$2:$H$668)</f>
        <v>140</v>
      </c>
      <c r="U711" s="15" t="n">
        <f aca="false">COUNTIFS('Page-Keyword Map'!$A$2:$A$668,B711,'Page-Keyword Map'!$E$2:$E$668,"Nationwide")</f>
        <v>0</v>
      </c>
      <c r="V711" s="15" t="n">
        <f aca="false">COUNTIFS('Page-Keyword Map'!$A$2:$A$668,B711,'Page-Keyword Map'!$E$2:$E$668,"Provincial")</f>
        <v>0</v>
      </c>
      <c r="W711" s="15" t="n">
        <f aca="false">COUNTIFS('Page-Keyword Map'!$A$2:$A$668,B711,'Page-Keyword Map'!$E$2:$E$668,"City")</f>
        <v>1</v>
      </c>
      <c r="X711" s="15" t="str">
        <f aca="false">IF(O711="","",IF(ISNUMBER(SEARCH(O711,J711)),"Yes","No"))</f>
        <v>Yes</v>
      </c>
      <c r="Y711" s="15" t="n">
        <v>0.5</v>
      </c>
      <c r="Z711" s="15" t="s">
        <v>216</v>
      </c>
      <c r="AA711" s="15" t="s">
        <v>217</v>
      </c>
      <c r="AB711" s="17"/>
      <c r="AC711" s="17"/>
    </row>
    <row r="712" customFormat="false" ht="23.85" hidden="false" customHeight="false" outlineLevel="0" collapsed="false">
      <c r="A712" s="15" t="s">
        <v>4474</v>
      </c>
      <c r="B712" s="15" t="s">
        <v>4475</v>
      </c>
      <c r="C712" s="15" t="s">
        <v>2076</v>
      </c>
      <c r="D712" s="15" t="s">
        <v>86</v>
      </c>
      <c r="E712" s="15" t="s">
        <v>356</v>
      </c>
      <c r="F712" s="15"/>
      <c r="G712" s="15" t="s">
        <v>715</v>
      </c>
      <c r="H712" s="15" t="s">
        <v>2372</v>
      </c>
      <c r="I712" s="15" t="s">
        <v>211</v>
      </c>
      <c r="J712" s="3" t="s">
        <v>4476</v>
      </c>
      <c r="K712" s="15" t="n">
        <f aca="false">LEN(J712)</f>
        <v>63</v>
      </c>
      <c r="L712" s="3" t="s">
        <v>4477</v>
      </c>
      <c r="M712" s="15" t="n">
        <f aca="false">LEN(L712)</f>
        <v>142</v>
      </c>
      <c r="N712" s="3" t="s">
        <v>4478</v>
      </c>
      <c r="O712" s="15" t="s">
        <v>4479</v>
      </c>
      <c r="P712" s="16" t="n">
        <v>97</v>
      </c>
      <c r="Q712" s="15" t="s">
        <v>104</v>
      </c>
      <c r="R712" s="15"/>
      <c r="S712" s="15" t="n">
        <f aca="false">COUNTIF('Page-Keyword Map'!$A$2:$A$668,B712)</f>
        <v>1</v>
      </c>
      <c r="T712" s="16" t="n">
        <f aca="false">SUMIF('Page-Keyword Map'!$A$2:$A$668,B712,'Page-Keyword Map'!$H$2:$H$668)</f>
        <v>97</v>
      </c>
      <c r="U712" s="15" t="n">
        <f aca="false">COUNTIFS('Page-Keyword Map'!$A$2:$A$668,B712,'Page-Keyword Map'!$E$2:$E$668,"Nationwide")</f>
        <v>0</v>
      </c>
      <c r="V712" s="15" t="n">
        <f aca="false">COUNTIFS('Page-Keyword Map'!$A$2:$A$668,B712,'Page-Keyword Map'!$E$2:$E$668,"Provincial")</f>
        <v>0</v>
      </c>
      <c r="W712" s="15" t="n">
        <f aca="false">COUNTIFS('Page-Keyword Map'!$A$2:$A$668,B712,'Page-Keyword Map'!$E$2:$E$668,"City")</f>
        <v>1</v>
      </c>
      <c r="X712" s="15" t="str">
        <f aca="false">IF(O712="","",IF(ISNUMBER(SEARCH(O712,J712)),"Yes","No"))</f>
        <v>Yes</v>
      </c>
      <c r="Y712" s="15" t="n">
        <v>0.5</v>
      </c>
      <c r="Z712" s="15" t="s">
        <v>216</v>
      </c>
      <c r="AA712" s="15" t="s">
        <v>217</v>
      </c>
      <c r="AB712" s="17"/>
      <c r="AC712" s="17"/>
    </row>
    <row r="713" customFormat="false" ht="23.85" hidden="false" customHeight="false" outlineLevel="0" collapsed="false">
      <c r="A713" s="15" t="s">
        <v>4480</v>
      </c>
      <c r="B713" s="15" t="s">
        <v>4481</v>
      </c>
      <c r="C713" s="15" t="s">
        <v>2076</v>
      </c>
      <c r="D713" s="15" t="s">
        <v>86</v>
      </c>
      <c r="E713" s="15" t="s">
        <v>356</v>
      </c>
      <c r="F713" s="15"/>
      <c r="G713" s="15" t="s">
        <v>715</v>
      </c>
      <c r="H713" s="15" t="s">
        <v>2379</v>
      </c>
      <c r="I713" s="15" t="s">
        <v>126</v>
      </c>
      <c r="J713" s="3" t="s">
        <v>4482</v>
      </c>
      <c r="K713" s="15" t="n">
        <f aca="false">LEN(J713)</f>
        <v>59</v>
      </c>
      <c r="L713" s="3" t="s">
        <v>4483</v>
      </c>
      <c r="M713" s="15" t="n">
        <f aca="false">LEN(L713)</f>
        <v>138</v>
      </c>
      <c r="N713" s="3" t="s">
        <v>4484</v>
      </c>
      <c r="O713" s="15" t="s">
        <v>4485</v>
      </c>
      <c r="P713" s="16" t="n">
        <v>1300</v>
      </c>
      <c r="Q713" s="15" t="s">
        <v>104</v>
      </c>
      <c r="R713" s="15"/>
      <c r="S713" s="15" t="n">
        <f aca="false">COUNTIF('Page-Keyword Map'!$A$2:$A$668,B713)</f>
        <v>1</v>
      </c>
      <c r="T713" s="16" t="n">
        <f aca="false">SUMIF('Page-Keyword Map'!$A$2:$A$668,B713,'Page-Keyword Map'!$H$2:$H$668)</f>
        <v>1300</v>
      </c>
      <c r="U713" s="15" t="n">
        <f aca="false">COUNTIFS('Page-Keyword Map'!$A$2:$A$668,B713,'Page-Keyword Map'!$E$2:$E$668,"Nationwide")</f>
        <v>0</v>
      </c>
      <c r="V713" s="15" t="n">
        <f aca="false">COUNTIFS('Page-Keyword Map'!$A$2:$A$668,B713,'Page-Keyword Map'!$E$2:$E$668,"Provincial")</f>
        <v>0</v>
      </c>
      <c r="W713" s="15" t="n">
        <f aca="false">COUNTIFS('Page-Keyword Map'!$A$2:$A$668,B713,'Page-Keyword Map'!$E$2:$E$668,"City")</f>
        <v>1</v>
      </c>
      <c r="X713" s="15" t="str">
        <f aca="false">IF(O713="","",IF(ISNUMBER(SEARCH(O713,J713)),"Yes","No"))</f>
        <v>Yes</v>
      </c>
      <c r="Y713" s="15" t="n">
        <v>0.7</v>
      </c>
      <c r="Z713" s="15" t="s">
        <v>2089</v>
      </c>
      <c r="AA713" s="15" t="s">
        <v>131</v>
      </c>
      <c r="AB713" s="17"/>
      <c r="AC713" s="17"/>
    </row>
    <row r="714" customFormat="false" ht="23.85" hidden="false" customHeight="false" outlineLevel="0" collapsed="false">
      <c r="A714" s="15" t="s">
        <v>4486</v>
      </c>
      <c r="B714" s="15" t="s">
        <v>4487</v>
      </c>
      <c r="C714" s="15" t="s">
        <v>2076</v>
      </c>
      <c r="D714" s="15" t="s">
        <v>86</v>
      </c>
      <c r="E714" s="15" t="s">
        <v>356</v>
      </c>
      <c r="F714" s="15"/>
      <c r="G714" s="15" t="s">
        <v>715</v>
      </c>
      <c r="H714" s="15" t="s">
        <v>2386</v>
      </c>
      <c r="I714" s="15" t="s">
        <v>126</v>
      </c>
      <c r="J714" s="3" t="s">
        <v>4488</v>
      </c>
      <c r="K714" s="15" t="n">
        <f aca="false">LEN(J714)</f>
        <v>59</v>
      </c>
      <c r="L714" s="3" t="s">
        <v>4489</v>
      </c>
      <c r="M714" s="15" t="n">
        <f aca="false">LEN(L714)</f>
        <v>138</v>
      </c>
      <c r="N714" s="3" t="s">
        <v>4490</v>
      </c>
      <c r="O714" s="15" t="s">
        <v>4491</v>
      </c>
      <c r="P714" s="16" t="n">
        <v>230</v>
      </c>
      <c r="Q714" s="15" t="s">
        <v>104</v>
      </c>
      <c r="R714" s="15"/>
      <c r="S714" s="15" t="n">
        <f aca="false">COUNTIF('Page-Keyword Map'!$A$2:$A$668,B714)</f>
        <v>1</v>
      </c>
      <c r="T714" s="16" t="n">
        <f aca="false">SUMIF('Page-Keyword Map'!$A$2:$A$668,B714,'Page-Keyword Map'!$H$2:$H$668)</f>
        <v>230</v>
      </c>
      <c r="U714" s="15" t="n">
        <f aca="false">COUNTIFS('Page-Keyword Map'!$A$2:$A$668,B714,'Page-Keyword Map'!$E$2:$E$668,"Nationwide")</f>
        <v>0</v>
      </c>
      <c r="V714" s="15" t="n">
        <f aca="false">COUNTIFS('Page-Keyword Map'!$A$2:$A$668,B714,'Page-Keyword Map'!$E$2:$E$668,"Provincial")</f>
        <v>0</v>
      </c>
      <c r="W714" s="15" t="n">
        <f aca="false">COUNTIFS('Page-Keyword Map'!$A$2:$A$668,B714,'Page-Keyword Map'!$E$2:$E$668,"City")</f>
        <v>1</v>
      </c>
      <c r="X714" s="15" t="str">
        <f aca="false">IF(O714="","",IF(ISNUMBER(SEARCH(O714,J714)),"Yes","No"))</f>
        <v>Yes</v>
      </c>
      <c r="Y714" s="15" t="n">
        <v>0.7</v>
      </c>
      <c r="Z714" s="15" t="s">
        <v>2089</v>
      </c>
      <c r="AA714" s="15" t="s">
        <v>131</v>
      </c>
      <c r="AB714" s="17"/>
      <c r="AC714" s="17"/>
    </row>
    <row r="715" customFormat="false" ht="23.85" hidden="false" customHeight="false" outlineLevel="0" collapsed="false">
      <c r="A715" s="15" t="s">
        <v>4492</v>
      </c>
      <c r="B715" s="15" t="s">
        <v>4493</v>
      </c>
      <c r="C715" s="15" t="s">
        <v>2076</v>
      </c>
      <c r="D715" s="15" t="s">
        <v>86</v>
      </c>
      <c r="E715" s="15" t="s">
        <v>356</v>
      </c>
      <c r="F715" s="15"/>
      <c r="G715" s="15" t="s">
        <v>715</v>
      </c>
      <c r="H715" s="15" t="s">
        <v>2393</v>
      </c>
      <c r="I715" s="15" t="s">
        <v>126</v>
      </c>
      <c r="J715" s="3" t="s">
        <v>4494</v>
      </c>
      <c r="K715" s="15" t="n">
        <f aca="false">LEN(J715)</f>
        <v>60</v>
      </c>
      <c r="L715" s="3" t="s">
        <v>4495</v>
      </c>
      <c r="M715" s="15" t="n">
        <f aca="false">LEN(L715)</f>
        <v>139</v>
      </c>
      <c r="N715" s="3" t="s">
        <v>4496</v>
      </c>
      <c r="O715" s="15" t="s">
        <v>4497</v>
      </c>
      <c r="P715" s="16" t="n">
        <v>110</v>
      </c>
      <c r="Q715" s="15" t="s">
        <v>104</v>
      </c>
      <c r="R715" s="15"/>
      <c r="S715" s="15" t="n">
        <f aca="false">COUNTIF('Page-Keyword Map'!$A$2:$A$668,B715)</f>
        <v>1</v>
      </c>
      <c r="T715" s="16" t="n">
        <f aca="false">SUMIF('Page-Keyword Map'!$A$2:$A$668,B715,'Page-Keyword Map'!$H$2:$H$668)</f>
        <v>110</v>
      </c>
      <c r="U715" s="15" t="n">
        <f aca="false">COUNTIFS('Page-Keyword Map'!$A$2:$A$668,B715,'Page-Keyword Map'!$E$2:$E$668,"Nationwide")</f>
        <v>0</v>
      </c>
      <c r="V715" s="15" t="n">
        <f aca="false">COUNTIFS('Page-Keyword Map'!$A$2:$A$668,B715,'Page-Keyword Map'!$E$2:$E$668,"Provincial")</f>
        <v>0</v>
      </c>
      <c r="W715" s="15" t="n">
        <f aca="false">COUNTIFS('Page-Keyword Map'!$A$2:$A$668,B715,'Page-Keyword Map'!$E$2:$E$668,"City")</f>
        <v>1</v>
      </c>
      <c r="X715" s="15" t="str">
        <f aca="false">IF(O715="","",IF(ISNUMBER(SEARCH(O715,J715)),"Yes","No"))</f>
        <v>Yes</v>
      </c>
      <c r="Y715" s="15" t="n">
        <v>0.5</v>
      </c>
      <c r="Z715" s="15" t="s">
        <v>2089</v>
      </c>
      <c r="AA715" s="15" t="s">
        <v>131</v>
      </c>
      <c r="AB715" s="17"/>
      <c r="AC715" s="17"/>
    </row>
    <row r="716" customFormat="false" ht="23.85" hidden="false" customHeight="false" outlineLevel="0" collapsed="false">
      <c r="A716" s="15" t="s">
        <v>4498</v>
      </c>
      <c r="B716" s="15" t="s">
        <v>4499</v>
      </c>
      <c r="C716" s="15" t="s">
        <v>2076</v>
      </c>
      <c r="D716" s="15" t="s">
        <v>86</v>
      </c>
      <c r="E716" s="15" t="s">
        <v>356</v>
      </c>
      <c r="F716" s="15"/>
      <c r="G716" s="15" t="s">
        <v>715</v>
      </c>
      <c r="H716" s="15" t="s">
        <v>2400</v>
      </c>
      <c r="I716" s="15" t="s">
        <v>211</v>
      </c>
      <c r="J716" s="3" t="s">
        <v>4500</v>
      </c>
      <c r="K716" s="15" t="n">
        <f aca="false">LEN(J716)</f>
        <v>58</v>
      </c>
      <c r="L716" s="3" t="s">
        <v>4501</v>
      </c>
      <c r="M716" s="15" t="n">
        <f aca="false">LEN(L716)</f>
        <v>137</v>
      </c>
      <c r="N716" s="3" t="s">
        <v>4502</v>
      </c>
      <c r="O716" s="15" t="s">
        <v>4503</v>
      </c>
      <c r="P716" s="16" t="n">
        <v>120</v>
      </c>
      <c r="Q716" s="15" t="s">
        <v>104</v>
      </c>
      <c r="R716" s="15"/>
      <c r="S716" s="15" t="n">
        <f aca="false">COUNTIF('Page-Keyword Map'!$A$2:$A$668,B716)</f>
        <v>1</v>
      </c>
      <c r="T716" s="16" t="n">
        <f aca="false">SUMIF('Page-Keyword Map'!$A$2:$A$668,B716,'Page-Keyword Map'!$H$2:$H$668)</f>
        <v>120</v>
      </c>
      <c r="U716" s="15" t="n">
        <f aca="false">COUNTIFS('Page-Keyword Map'!$A$2:$A$668,B716,'Page-Keyword Map'!$E$2:$E$668,"Nationwide")</f>
        <v>0</v>
      </c>
      <c r="V716" s="15" t="n">
        <f aca="false">COUNTIFS('Page-Keyword Map'!$A$2:$A$668,B716,'Page-Keyword Map'!$E$2:$E$668,"Provincial")</f>
        <v>0</v>
      </c>
      <c r="W716" s="15" t="n">
        <f aca="false">COUNTIFS('Page-Keyword Map'!$A$2:$A$668,B716,'Page-Keyword Map'!$E$2:$E$668,"City")</f>
        <v>1</v>
      </c>
      <c r="X716" s="15" t="str">
        <f aca="false">IF(O716="","",IF(ISNUMBER(SEARCH(O716,J716)),"Yes","No"))</f>
        <v>Yes</v>
      </c>
      <c r="Y716" s="15" t="n">
        <v>0.5</v>
      </c>
      <c r="Z716" s="15" t="s">
        <v>216</v>
      </c>
      <c r="AA716" s="15" t="s">
        <v>217</v>
      </c>
      <c r="AB716" s="17"/>
      <c r="AC716" s="17"/>
    </row>
    <row r="717" customFormat="false" ht="23.85" hidden="false" customHeight="false" outlineLevel="0" collapsed="false">
      <c r="A717" s="15" t="s">
        <v>4504</v>
      </c>
      <c r="B717" s="15" t="s">
        <v>4505</v>
      </c>
      <c r="C717" s="15" t="s">
        <v>2076</v>
      </c>
      <c r="D717" s="15" t="s">
        <v>86</v>
      </c>
      <c r="E717" s="15" t="s">
        <v>356</v>
      </c>
      <c r="F717" s="15"/>
      <c r="G717" s="15" t="s">
        <v>715</v>
      </c>
      <c r="H717" s="15" t="s">
        <v>2407</v>
      </c>
      <c r="I717" s="15" t="s">
        <v>126</v>
      </c>
      <c r="J717" s="3" t="s">
        <v>4506</v>
      </c>
      <c r="K717" s="15" t="n">
        <f aca="false">LEN(J717)</f>
        <v>59</v>
      </c>
      <c r="L717" s="3" t="s">
        <v>4507</v>
      </c>
      <c r="M717" s="15" t="n">
        <f aca="false">LEN(L717)</f>
        <v>138</v>
      </c>
      <c r="N717" s="3" t="s">
        <v>4508</v>
      </c>
      <c r="O717" s="15" t="s">
        <v>4509</v>
      </c>
      <c r="P717" s="16" t="n">
        <v>180</v>
      </c>
      <c r="Q717" s="15" t="s">
        <v>104</v>
      </c>
      <c r="R717" s="15"/>
      <c r="S717" s="15" t="n">
        <f aca="false">COUNTIF('Page-Keyword Map'!$A$2:$A$668,B717)</f>
        <v>1</v>
      </c>
      <c r="T717" s="16" t="n">
        <f aca="false">SUMIF('Page-Keyword Map'!$A$2:$A$668,B717,'Page-Keyword Map'!$H$2:$H$668)</f>
        <v>180</v>
      </c>
      <c r="U717" s="15" t="n">
        <f aca="false">COUNTIFS('Page-Keyword Map'!$A$2:$A$668,B717,'Page-Keyword Map'!$E$2:$E$668,"Nationwide")</f>
        <v>0</v>
      </c>
      <c r="V717" s="15" t="n">
        <f aca="false">COUNTIFS('Page-Keyword Map'!$A$2:$A$668,B717,'Page-Keyword Map'!$E$2:$E$668,"Provincial")</f>
        <v>0</v>
      </c>
      <c r="W717" s="15" t="n">
        <f aca="false">COUNTIFS('Page-Keyword Map'!$A$2:$A$668,B717,'Page-Keyword Map'!$E$2:$E$668,"City")</f>
        <v>1</v>
      </c>
      <c r="X717" s="15" t="str">
        <f aca="false">IF(O717="","",IF(ISNUMBER(SEARCH(O717,J717)),"Yes","No"))</f>
        <v>Yes</v>
      </c>
      <c r="Y717" s="15" t="n">
        <v>0.7</v>
      </c>
      <c r="Z717" s="15" t="s">
        <v>2089</v>
      </c>
      <c r="AA717" s="15" t="s">
        <v>131</v>
      </c>
      <c r="AB717" s="17"/>
      <c r="AC717" s="17"/>
    </row>
    <row r="718" customFormat="false" ht="23.85" hidden="false" customHeight="false" outlineLevel="0" collapsed="false">
      <c r="A718" s="15" t="s">
        <v>4510</v>
      </c>
      <c r="B718" s="15" t="s">
        <v>4511</v>
      </c>
      <c r="C718" s="15" t="s">
        <v>2076</v>
      </c>
      <c r="D718" s="15" t="s">
        <v>86</v>
      </c>
      <c r="E718" s="15" t="s">
        <v>356</v>
      </c>
      <c r="F718" s="15"/>
      <c r="G718" s="15" t="s">
        <v>722</v>
      </c>
      <c r="H718" s="15" t="s">
        <v>2414</v>
      </c>
      <c r="I718" s="15" t="s">
        <v>126</v>
      </c>
      <c r="J718" s="3" t="s">
        <v>4512</v>
      </c>
      <c r="K718" s="15" t="n">
        <f aca="false">LEN(J718)</f>
        <v>65</v>
      </c>
      <c r="L718" s="3" t="s">
        <v>4513</v>
      </c>
      <c r="M718" s="15" t="n">
        <f aca="false">LEN(L718)</f>
        <v>157</v>
      </c>
      <c r="N718" s="3" t="s">
        <v>4514</v>
      </c>
      <c r="O718" s="15" t="s">
        <v>4515</v>
      </c>
      <c r="P718" s="16" t="n">
        <v>42</v>
      </c>
      <c r="Q718" s="15" t="s">
        <v>104</v>
      </c>
      <c r="R718" s="15"/>
      <c r="S718" s="15" t="n">
        <f aca="false">COUNTIF('Page-Keyword Map'!$A$2:$A$668,B718)</f>
        <v>1</v>
      </c>
      <c r="T718" s="16" t="n">
        <f aca="false">SUMIF('Page-Keyword Map'!$A$2:$A$668,B718,'Page-Keyword Map'!$H$2:$H$668)</f>
        <v>42</v>
      </c>
      <c r="U718" s="15" t="n">
        <f aca="false">COUNTIFS('Page-Keyword Map'!$A$2:$A$668,B718,'Page-Keyword Map'!$E$2:$E$668,"Nationwide")</f>
        <v>0</v>
      </c>
      <c r="V718" s="15" t="n">
        <f aca="false">COUNTIFS('Page-Keyword Map'!$A$2:$A$668,B718,'Page-Keyword Map'!$E$2:$E$668,"Provincial")</f>
        <v>0</v>
      </c>
      <c r="W718" s="15" t="n">
        <f aca="false">COUNTIFS('Page-Keyword Map'!$A$2:$A$668,B718,'Page-Keyword Map'!$E$2:$E$668,"City")</f>
        <v>1</v>
      </c>
      <c r="X718" s="15" t="str">
        <f aca="false">IF(O718="","",IF(ISNUMBER(SEARCH(O718,J718)),"Yes","No"))</f>
        <v>Yes</v>
      </c>
      <c r="Y718" s="15" t="n">
        <v>0.5</v>
      </c>
      <c r="Z718" s="15" t="s">
        <v>2089</v>
      </c>
      <c r="AA718" s="15" t="s">
        <v>131</v>
      </c>
      <c r="AB718" s="17"/>
      <c r="AC718" s="17"/>
    </row>
    <row r="719" customFormat="false" ht="23.85" hidden="false" customHeight="false" outlineLevel="0" collapsed="false">
      <c r="A719" s="15" t="s">
        <v>4516</v>
      </c>
      <c r="B719" s="15" t="s">
        <v>4517</v>
      </c>
      <c r="C719" s="15" t="s">
        <v>2076</v>
      </c>
      <c r="D719" s="15" t="s">
        <v>86</v>
      </c>
      <c r="E719" s="15" t="s">
        <v>356</v>
      </c>
      <c r="F719" s="15"/>
      <c r="G719" s="15" t="s">
        <v>729</v>
      </c>
      <c r="H719" s="15" t="s">
        <v>2421</v>
      </c>
      <c r="I719" s="15" t="s">
        <v>126</v>
      </c>
      <c r="J719" s="3" t="s">
        <v>4518</v>
      </c>
      <c r="K719" s="15" t="n">
        <f aca="false">LEN(J719)</f>
        <v>60</v>
      </c>
      <c r="L719" s="3" t="s">
        <v>4519</v>
      </c>
      <c r="M719" s="15" t="n">
        <f aca="false">LEN(L719)</f>
        <v>151</v>
      </c>
      <c r="N719" s="3" t="s">
        <v>4520</v>
      </c>
      <c r="O719" s="15" t="s">
        <v>4521</v>
      </c>
      <c r="P719" s="16" t="n">
        <v>64</v>
      </c>
      <c r="Q719" s="15" t="s">
        <v>104</v>
      </c>
      <c r="R719" s="15"/>
      <c r="S719" s="15" t="n">
        <f aca="false">COUNTIF('Page-Keyword Map'!$A$2:$A$668,B719)</f>
        <v>1</v>
      </c>
      <c r="T719" s="16" t="n">
        <f aca="false">SUMIF('Page-Keyword Map'!$A$2:$A$668,B719,'Page-Keyword Map'!$H$2:$H$668)</f>
        <v>64</v>
      </c>
      <c r="U719" s="15" t="n">
        <f aca="false">COUNTIFS('Page-Keyword Map'!$A$2:$A$668,B719,'Page-Keyword Map'!$E$2:$E$668,"Nationwide")</f>
        <v>0</v>
      </c>
      <c r="V719" s="15" t="n">
        <f aca="false">COUNTIFS('Page-Keyword Map'!$A$2:$A$668,B719,'Page-Keyword Map'!$E$2:$E$668,"Provincial")</f>
        <v>0</v>
      </c>
      <c r="W719" s="15" t="n">
        <f aca="false">COUNTIFS('Page-Keyword Map'!$A$2:$A$668,B719,'Page-Keyword Map'!$E$2:$E$668,"City")</f>
        <v>1</v>
      </c>
      <c r="X719" s="15" t="str">
        <f aca="false">IF(O719="","",IF(ISNUMBER(SEARCH(O719,J719)),"Yes","No"))</f>
        <v>Yes</v>
      </c>
      <c r="Y719" s="15" t="n">
        <v>0.5</v>
      </c>
      <c r="Z719" s="15" t="s">
        <v>2089</v>
      </c>
      <c r="AA719" s="15" t="s">
        <v>131</v>
      </c>
      <c r="AB719" s="17"/>
      <c r="AC719" s="17"/>
    </row>
    <row r="720" customFormat="false" ht="23.85" hidden="false" customHeight="false" outlineLevel="0" collapsed="false">
      <c r="A720" s="15" t="s">
        <v>4522</v>
      </c>
      <c r="B720" s="15" t="s">
        <v>4523</v>
      </c>
      <c r="C720" s="15" t="s">
        <v>2076</v>
      </c>
      <c r="D720" s="15" t="s">
        <v>86</v>
      </c>
      <c r="E720" s="15" t="s">
        <v>356</v>
      </c>
      <c r="F720" s="15"/>
      <c r="G720" s="15" t="s">
        <v>729</v>
      </c>
      <c r="H720" s="15" t="s">
        <v>2428</v>
      </c>
      <c r="I720" s="15" t="s">
        <v>126</v>
      </c>
      <c r="J720" s="3" t="s">
        <v>4524</v>
      </c>
      <c r="K720" s="15" t="n">
        <f aca="false">LEN(J720)</f>
        <v>57</v>
      </c>
      <c r="L720" s="3" t="s">
        <v>4525</v>
      </c>
      <c r="M720" s="15" t="n">
        <f aca="false">LEN(L720)</f>
        <v>148</v>
      </c>
      <c r="N720" s="3" t="s">
        <v>4526</v>
      </c>
      <c r="O720" s="15" t="s">
        <v>4527</v>
      </c>
      <c r="P720" s="16" t="n">
        <v>88</v>
      </c>
      <c r="Q720" s="15" t="s">
        <v>104</v>
      </c>
      <c r="R720" s="15"/>
      <c r="S720" s="15" t="n">
        <f aca="false">COUNTIF('Page-Keyword Map'!$A$2:$A$668,B720)</f>
        <v>1</v>
      </c>
      <c r="T720" s="16" t="n">
        <f aca="false">SUMIF('Page-Keyword Map'!$A$2:$A$668,B720,'Page-Keyword Map'!$H$2:$H$668)</f>
        <v>88</v>
      </c>
      <c r="U720" s="15" t="n">
        <f aca="false">COUNTIFS('Page-Keyword Map'!$A$2:$A$668,B720,'Page-Keyword Map'!$E$2:$E$668,"Nationwide")</f>
        <v>0</v>
      </c>
      <c r="V720" s="15" t="n">
        <f aca="false">COUNTIFS('Page-Keyword Map'!$A$2:$A$668,B720,'Page-Keyword Map'!$E$2:$E$668,"Provincial")</f>
        <v>0</v>
      </c>
      <c r="W720" s="15" t="n">
        <f aca="false">COUNTIFS('Page-Keyword Map'!$A$2:$A$668,B720,'Page-Keyword Map'!$E$2:$E$668,"City")</f>
        <v>1</v>
      </c>
      <c r="X720" s="15" t="str">
        <f aca="false">IF(O720="","",IF(ISNUMBER(SEARCH(O720,J720)),"Yes","No"))</f>
        <v>Yes</v>
      </c>
      <c r="Y720" s="15" t="n">
        <v>0.7</v>
      </c>
      <c r="Z720" s="15" t="s">
        <v>2089</v>
      </c>
      <c r="AA720" s="15" t="s">
        <v>131</v>
      </c>
      <c r="AB720" s="17"/>
      <c r="AC720" s="17"/>
    </row>
    <row r="721" customFormat="false" ht="23.85" hidden="false" customHeight="false" outlineLevel="0" collapsed="false">
      <c r="A721" s="15" t="s">
        <v>4528</v>
      </c>
      <c r="B721" s="15" t="s">
        <v>4529</v>
      </c>
      <c r="C721" s="15" t="s">
        <v>2076</v>
      </c>
      <c r="D721" s="15" t="s">
        <v>86</v>
      </c>
      <c r="E721" s="15" t="s">
        <v>356</v>
      </c>
      <c r="F721" s="15"/>
      <c r="G721" s="15" t="s">
        <v>729</v>
      </c>
      <c r="H721" s="15" t="s">
        <v>2435</v>
      </c>
      <c r="I721" s="15" t="s">
        <v>126</v>
      </c>
      <c r="J721" s="3" t="s">
        <v>4530</v>
      </c>
      <c r="K721" s="15" t="n">
        <f aca="false">LEN(J721)</f>
        <v>61</v>
      </c>
      <c r="L721" s="3" t="s">
        <v>4531</v>
      </c>
      <c r="M721" s="15" t="n">
        <f aca="false">LEN(L721)</f>
        <v>152</v>
      </c>
      <c r="N721" s="3" t="s">
        <v>4532</v>
      </c>
      <c r="O721" s="15" t="s">
        <v>4533</v>
      </c>
      <c r="P721" s="16" t="n">
        <v>57</v>
      </c>
      <c r="Q721" s="15" t="s">
        <v>104</v>
      </c>
      <c r="R721" s="15"/>
      <c r="S721" s="15" t="n">
        <f aca="false">COUNTIF('Page-Keyword Map'!$A$2:$A$668,B721)</f>
        <v>1</v>
      </c>
      <c r="T721" s="16" t="n">
        <f aca="false">SUMIF('Page-Keyword Map'!$A$2:$A$668,B721,'Page-Keyword Map'!$H$2:$H$668)</f>
        <v>57</v>
      </c>
      <c r="U721" s="15" t="n">
        <f aca="false">COUNTIFS('Page-Keyword Map'!$A$2:$A$668,B721,'Page-Keyword Map'!$E$2:$E$668,"Nationwide")</f>
        <v>0</v>
      </c>
      <c r="V721" s="15" t="n">
        <f aca="false">COUNTIFS('Page-Keyword Map'!$A$2:$A$668,B721,'Page-Keyword Map'!$E$2:$E$668,"Provincial")</f>
        <v>0</v>
      </c>
      <c r="W721" s="15" t="n">
        <f aca="false">COUNTIFS('Page-Keyword Map'!$A$2:$A$668,B721,'Page-Keyword Map'!$E$2:$E$668,"City")</f>
        <v>1</v>
      </c>
      <c r="X721" s="15" t="str">
        <f aca="false">IF(O721="","",IF(ISNUMBER(SEARCH(O721,J721)),"Yes","No"))</f>
        <v>Yes</v>
      </c>
      <c r="Y721" s="15" t="n">
        <v>0.5</v>
      </c>
      <c r="Z721" s="15" t="s">
        <v>2089</v>
      </c>
      <c r="AA721" s="15" t="s">
        <v>131</v>
      </c>
      <c r="AB721" s="17"/>
      <c r="AC721" s="17"/>
    </row>
    <row r="722" customFormat="false" ht="23.85" hidden="false" customHeight="false" outlineLevel="0" collapsed="false">
      <c r="A722" s="15" t="s">
        <v>4534</v>
      </c>
      <c r="B722" s="15" t="s">
        <v>4535</v>
      </c>
      <c r="C722" s="15" t="s">
        <v>2076</v>
      </c>
      <c r="D722" s="15" t="s">
        <v>86</v>
      </c>
      <c r="E722" s="15" t="s">
        <v>356</v>
      </c>
      <c r="F722" s="15"/>
      <c r="G722" s="15" t="s">
        <v>729</v>
      </c>
      <c r="H722" s="15" t="s">
        <v>2442</v>
      </c>
      <c r="I722" s="15" t="s">
        <v>126</v>
      </c>
      <c r="J722" s="3" t="s">
        <v>4536</v>
      </c>
      <c r="K722" s="15" t="n">
        <f aca="false">LEN(J722)</f>
        <v>60</v>
      </c>
      <c r="L722" s="3" t="s">
        <v>4537</v>
      </c>
      <c r="M722" s="15" t="n">
        <f aca="false">LEN(L722)</f>
        <v>151</v>
      </c>
      <c r="N722" s="3" t="s">
        <v>4538</v>
      </c>
      <c r="O722" s="15" t="s">
        <v>4539</v>
      </c>
      <c r="P722" s="16" t="n">
        <v>270</v>
      </c>
      <c r="Q722" s="15" t="s">
        <v>104</v>
      </c>
      <c r="R722" s="15"/>
      <c r="S722" s="15" t="n">
        <f aca="false">COUNTIF('Page-Keyword Map'!$A$2:$A$668,B722)</f>
        <v>1</v>
      </c>
      <c r="T722" s="16" t="n">
        <f aca="false">SUMIF('Page-Keyword Map'!$A$2:$A$668,B722,'Page-Keyword Map'!$H$2:$H$668)</f>
        <v>270</v>
      </c>
      <c r="U722" s="15" t="n">
        <f aca="false">COUNTIFS('Page-Keyword Map'!$A$2:$A$668,B722,'Page-Keyword Map'!$E$2:$E$668,"Nationwide")</f>
        <v>0</v>
      </c>
      <c r="V722" s="15" t="n">
        <f aca="false">COUNTIFS('Page-Keyword Map'!$A$2:$A$668,B722,'Page-Keyword Map'!$E$2:$E$668,"Provincial")</f>
        <v>0</v>
      </c>
      <c r="W722" s="15" t="n">
        <f aca="false">COUNTIFS('Page-Keyword Map'!$A$2:$A$668,B722,'Page-Keyword Map'!$E$2:$E$668,"City")</f>
        <v>1</v>
      </c>
      <c r="X722" s="15" t="str">
        <f aca="false">IF(O722="","",IF(ISNUMBER(SEARCH(O722,J722)),"Yes","No"))</f>
        <v>Yes</v>
      </c>
      <c r="Y722" s="15" t="n">
        <v>0.7</v>
      </c>
      <c r="Z722" s="15" t="s">
        <v>2089</v>
      </c>
      <c r="AA722" s="15" t="s">
        <v>131</v>
      </c>
      <c r="AB722" s="17"/>
      <c r="AC722" s="17"/>
    </row>
    <row r="723" customFormat="false" ht="23.85" hidden="false" customHeight="false" outlineLevel="0" collapsed="false">
      <c r="A723" s="15" t="s">
        <v>4540</v>
      </c>
      <c r="B723" s="15" t="s">
        <v>4541</v>
      </c>
      <c r="C723" s="15" t="s">
        <v>2076</v>
      </c>
      <c r="D723" s="15" t="s">
        <v>86</v>
      </c>
      <c r="E723" s="15" t="s">
        <v>356</v>
      </c>
      <c r="F723" s="15"/>
      <c r="G723" s="15" t="s">
        <v>729</v>
      </c>
      <c r="H723" s="15" t="s">
        <v>2449</v>
      </c>
      <c r="I723" s="15" t="s">
        <v>126</v>
      </c>
      <c r="J723" s="3" t="s">
        <v>4542</v>
      </c>
      <c r="K723" s="15" t="n">
        <f aca="false">LEN(J723)</f>
        <v>63</v>
      </c>
      <c r="L723" s="3" t="s">
        <v>4543</v>
      </c>
      <c r="M723" s="15" t="n">
        <f aca="false">LEN(L723)</f>
        <v>154</v>
      </c>
      <c r="N723" s="3" t="s">
        <v>4544</v>
      </c>
      <c r="O723" s="15" t="s">
        <v>4545</v>
      </c>
      <c r="P723" s="16" t="n">
        <v>110</v>
      </c>
      <c r="Q723" s="15" t="s">
        <v>104</v>
      </c>
      <c r="R723" s="15"/>
      <c r="S723" s="15" t="n">
        <f aca="false">COUNTIF('Page-Keyword Map'!$A$2:$A$668,B723)</f>
        <v>1</v>
      </c>
      <c r="T723" s="16" t="n">
        <f aca="false">SUMIF('Page-Keyword Map'!$A$2:$A$668,B723,'Page-Keyword Map'!$H$2:$H$668)</f>
        <v>110</v>
      </c>
      <c r="U723" s="15" t="n">
        <f aca="false">COUNTIFS('Page-Keyword Map'!$A$2:$A$668,B723,'Page-Keyword Map'!$E$2:$E$668,"Nationwide")</f>
        <v>0</v>
      </c>
      <c r="V723" s="15" t="n">
        <f aca="false">COUNTIFS('Page-Keyword Map'!$A$2:$A$668,B723,'Page-Keyword Map'!$E$2:$E$668,"Provincial")</f>
        <v>0</v>
      </c>
      <c r="W723" s="15" t="n">
        <f aca="false">COUNTIFS('Page-Keyword Map'!$A$2:$A$668,B723,'Page-Keyword Map'!$E$2:$E$668,"City")</f>
        <v>1</v>
      </c>
      <c r="X723" s="15" t="str">
        <f aca="false">IF(O723="","",IF(ISNUMBER(SEARCH(O723,J723)),"Yes","No"))</f>
        <v>Yes</v>
      </c>
      <c r="Y723" s="15" t="n">
        <v>0.7</v>
      </c>
      <c r="Z723" s="15" t="s">
        <v>2089</v>
      </c>
      <c r="AA723" s="15" t="s">
        <v>131</v>
      </c>
      <c r="AB723" s="17"/>
      <c r="AC723" s="17"/>
    </row>
    <row r="724" customFormat="false" ht="23.85" hidden="false" customHeight="false" outlineLevel="0" collapsed="false">
      <c r="A724" s="15" t="s">
        <v>4546</v>
      </c>
      <c r="B724" s="15" t="s">
        <v>4547</v>
      </c>
      <c r="C724" s="15" t="s">
        <v>2076</v>
      </c>
      <c r="D724" s="15" t="s">
        <v>86</v>
      </c>
      <c r="E724" s="15" t="s">
        <v>356</v>
      </c>
      <c r="F724" s="15"/>
      <c r="G724" s="15" t="s">
        <v>729</v>
      </c>
      <c r="H724" s="15" t="s">
        <v>2456</v>
      </c>
      <c r="I724" s="15" t="s">
        <v>211</v>
      </c>
      <c r="J724" s="3" t="s">
        <v>4548</v>
      </c>
      <c r="K724" s="15" t="n">
        <f aca="false">LEN(J724)</f>
        <v>62</v>
      </c>
      <c r="L724" s="3" t="s">
        <v>4549</v>
      </c>
      <c r="M724" s="15" t="n">
        <f aca="false">LEN(L724)</f>
        <v>153</v>
      </c>
      <c r="N724" s="3" t="s">
        <v>4550</v>
      </c>
      <c r="O724" s="15" t="s">
        <v>4551</v>
      </c>
      <c r="P724" s="16" t="n">
        <v>42</v>
      </c>
      <c r="Q724" s="15" t="s">
        <v>104</v>
      </c>
      <c r="R724" s="15"/>
      <c r="S724" s="15" t="n">
        <f aca="false">COUNTIF('Page-Keyword Map'!$A$2:$A$668,B724)</f>
        <v>1</v>
      </c>
      <c r="T724" s="16" t="n">
        <f aca="false">SUMIF('Page-Keyword Map'!$A$2:$A$668,B724,'Page-Keyword Map'!$H$2:$H$668)</f>
        <v>42</v>
      </c>
      <c r="U724" s="15" t="n">
        <f aca="false">COUNTIFS('Page-Keyword Map'!$A$2:$A$668,B724,'Page-Keyword Map'!$E$2:$E$668,"Nationwide")</f>
        <v>0</v>
      </c>
      <c r="V724" s="15" t="n">
        <f aca="false">COUNTIFS('Page-Keyword Map'!$A$2:$A$668,B724,'Page-Keyword Map'!$E$2:$E$668,"Provincial")</f>
        <v>0</v>
      </c>
      <c r="W724" s="15" t="n">
        <f aca="false">COUNTIFS('Page-Keyword Map'!$A$2:$A$668,B724,'Page-Keyword Map'!$E$2:$E$668,"City")</f>
        <v>1</v>
      </c>
      <c r="X724" s="15" t="str">
        <f aca="false">IF(O724="","",IF(ISNUMBER(SEARCH(O724,J724)),"Yes","No"))</f>
        <v>Yes</v>
      </c>
      <c r="Y724" s="15" t="n">
        <v>0.5</v>
      </c>
      <c r="Z724" s="15" t="s">
        <v>216</v>
      </c>
      <c r="AA724" s="15" t="s">
        <v>217</v>
      </c>
      <c r="AB724" s="17"/>
      <c r="AC724" s="17"/>
    </row>
    <row r="725" customFormat="false" ht="23.85" hidden="false" customHeight="false" outlineLevel="0" collapsed="false">
      <c r="A725" s="15" t="s">
        <v>4552</v>
      </c>
      <c r="B725" s="15" t="s">
        <v>4553</v>
      </c>
      <c r="C725" s="15" t="s">
        <v>2076</v>
      </c>
      <c r="D725" s="15" t="s">
        <v>86</v>
      </c>
      <c r="E725" s="15" t="s">
        <v>356</v>
      </c>
      <c r="F725" s="15"/>
      <c r="G725" s="15" t="s">
        <v>736</v>
      </c>
      <c r="H725" s="15" t="s">
        <v>2463</v>
      </c>
      <c r="I725" s="15" t="s">
        <v>126</v>
      </c>
      <c r="J725" s="3" t="s">
        <v>4554</v>
      </c>
      <c r="K725" s="15" t="n">
        <f aca="false">LEN(J725)</f>
        <v>58</v>
      </c>
      <c r="L725" s="3" t="s">
        <v>4555</v>
      </c>
      <c r="M725" s="15" t="n">
        <f aca="false">LEN(L725)</f>
        <v>142</v>
      </c>
      <c r="N725" s="3" t="s">
        <v>4556</v>
      </c>
      <c r="O725" s="15" t="s">
        <v>4557</v>
      </c>
      <c r="P725" s="16" t="n">
        <v>170</v>
      </c>
      <c r="Q725" s="15" t="s">
        <v>104</v>
      </c>
      <c r="R725" s="15"/>
      <c r="S725" s="15" t="n">
        <f aca="false">COUNTIF('Page-Keyword Map'!$A$2:$A$668,B725)</f>
        <v>1</v>
      </c>
      <c r="T725" s="16" t="n">
        <f aca="false">SUMIF('Page-Keyword Map'!$A$2:$A$668,B725,'Page-Keyword Map'!$H$2:$H$668)</f>
        <v>170</v>
      </c>
      <c r="U725" s="15" t="n">
        <f aca="false">COUNTIFS('Page-Keyword Map'!$A$2:$A$668,B725,'Page-Keyword Map'!$E$2:$E$668,"Nationwide")</f>
        <v>0</v>
      </c>
      <c r="V725" s="15" t="n">
        <f aca="false">COUNTIFS('Page-Keyword Map'!$A$2:$A$668,B725,'Page-Keyword Map'!$E$2:$E$668,"Provincial")</f>
        <v>0</v>
      </c>
      <c r="W725" s="15" t="n">
        <f aca="false">COUNTIFS('Page-Keyword Map'!$A$2:$A$668,B725,'Page-Keyword Map'!$E$2:$E$668,"City")</f>
        <v>1</v>
      </c>
      <c r="X725" s="15" t="str">
        <f aca="false">IF(O725="","",IF(ISNUMBER(SEARCH(O725,J725)),"Yes","No"))</f>
        <v>Yes</v>
      </c>
      <c r="Y725" s="15" t="n">
        <v>0.7</v>
      </c>
      <c r="Z725" s="15" t="s">
        <v>2089</v>
      </c>
      <c r="AA725" s="15" t="s">
        <v>131</v>
      </c>
      <c r="AB725" s="17"/>
      <c r="AC725" s="17"/>
    </row>
    <row r="726" customFormat="false" ht="23.85" hidden="false" customHeight="false" outlineLevel="0" collapsed="false">
      <c r="A726" s="15" t="s">
        <v>4558</v>
      </c>
      <c r="B726" s="15" t="s">
        <v>4559</v>
      </c>
      <c r="C726" s="15" t="s">
        <v>2076</v>
      </c>
      <c r="D726" s="15" t="s">
        <v>86</v>
      </c>
      <c r="E726" s="15" t="s">
        <v>356</v>
      </c>
      <c r="F726" s="15"/>
      <c r="G726" s="15" t="s">
        <v>736</v>
      </c>
      <c r="H726" s="15" t="s">
        <v>2470</v>
      </c>
      <c r="I726" s="15" t="s">
        <v>126</v>
      </c>
      <c r="J726" s="3" t="s">
        <v>4560</v>
      </c>
      <c r="K726" s="15" t="n">
        <f aca="false">LEN(J726)</f>
        <v>61</v>
      </c>
      <c r="L726" s="3" t="s">
        <v>4561</v>
      </c>
      <c r="M726" s="15" t="n">
        <f aca="false">LEN(L726)</f>
        <v>145</v>
      </c>
      <c r="N726" s="3" t="s">
        <v>4562</v>
      </c>
      <c r="O726" s="15" t="s">
        <v>4563</v>
      </c>
      <c r="P726" s="16" t="n">
        <v>200</v>
      </c>
      <c r="Q726" s="15" t="s">
        <v>104</v>
      </c>
      <c r="R726" s="15"/>
      <c r="S726" s="15" t="n">
        <f aca="false">COUNTIF('Page-Keyword Map'!$A$2:$A$668,B726)</f>
        <v>1</v>
      </c>
      <c r="T726" s="16" t="n">
        <f aca="false">SUMIF('Page-Keyword Map'!$A$2:$A$668,B726,'Page-Keyword Map'!$H$2:$H$668)</f>
        <v>200</v>
      </c>
      <c r="U726" s="15" t="n">
        <f aca="false">COUNTIFS('Page-Keyword Map'!$A$2:$A$668,B726,'Page-Keyword Map'!$E$2:$E$668,"Nationwide")</f>
        <v>0</v>
      </c>
      <c r="V726" s="15" t="n">
        <f aca="false">COUNTIFS('Page-Keyword Map'!$A$2:$A$668,B726,'Page-Keyword Map'!$E$2:$E$668,"Provincial")</f>
        <v>0</v>
      </c>
      <c r="W726" s="15" t="n">
        <f aca="false">COUNTIFS('Page-Keyword Map'!$A$2:$A$668,B726,'Page-Keyword Map'!$E$2:$E$668,"City")</f>
        <v>1</v>
      </c>
      <c r="X726" s="15" t="str">
        <f aca="false">IF(O726="","",IF(ISNUMBER(SEARCH(O726,J726)),"Yes","No"))</f>
        <v>Yes</v>
      </c>
      <c r="Y726" s="15" t="n">
        <v>0.7</v>
      </c>
      <c r="Z726" s="15" t="s">
        <v>2089</v>
      </c>
      <c r="AA726" s="15" t="s">
        <v>131</v>
      </c>
      <c r="AB726" s="17"/>
      <c r="AC726" s="17"/>
    </row>
    <row r="727" customFormat="false" ht="23.85" hidden="false" customHeight="false" outlineLevel="0" collapsed="false">
      <c r="A727" s="15" t="s">
        <v>4564</v>
      </c>
      <c r="B727" s="15" t="s">
        <v>4565</v>
      </c>
      <c r="C727" s="15" t="s">
        <v>2076</v>
      </c>
      <c r="D727" s="15" t="s">
        <v>86</v>
      </c>
      <c r="E727" s="15" t="s">
        <v>356</v>
      </c>
      <c r="F727" s="15"/>
      <c r="G727" s="15" t="s">
        <v>743</v>
      </c>
      <c r="H727" s="15" t="s">
        <v>2477</v>
      </c>
      <c r="I727" s="15" t="s">
        <v>211</v>
      </c>
      <c r="J727" s="3" t="s">
        <v>4566</v>
      </c>
      <c r="K727" s="15" t="n">
        <f aca="false">LEN(J727)</f>
        <v>62</v>
      </c>
      <c r="L727" s="3" t="s">
        <v>4567</v>
      </c>
      <c r="M727" s="15" t="n">
        <f aca="false">LEN(L727)</f>
        <v>152</v>
      </c>
      <c r="N727" s="3" t="s">
        <v>4568</v>
      </c>
      <c r="O727" s="15"/>
      <c r="P727" s="16"/>
      <c r="Q727" s="15"/>
      <c r="R727" s="15" t="s">
        <v>4569</v>
      </c>
      <c r="S727" s="15" t="n">
        <f aca="false">COUNTIF('Page-Keyword Map'!$A$2:$A$668,B727)</f>
        <v>0</v>
      </c>
      <c r="T727" s="16" t="n">
        <f aca="false">SUMIF('Page-Keyword Map'!$A$2:$A$668,B727,'Page-Keyword Map'!$H$2:$H$668)</f>
        <v>0</v>
      </c>
      <c r="U727" s="15" t="n">
        <f aca="false">COUNTIFS('Page-Keyword Map'!$A$2:$A$668,B727,'Page-Keyword Map'!$E$2:$E$668,"Nationwide")</f>
        <v>0</v>
      </c>
      <c r="V727" s="15" t="n">
        <f aca="false">COUNTIFS('Page-Keyword Map'!$A$2:$A$668,B727,'Page-Keyword Map'!$E$2:$E$668,"Provincial")</f>
        <v>0</v>
      </c>
      <c r="W727" s="15" t="n">
        <f aca="false">COUNTIFS('Page-Keyword Map'!$A$2:$A$668,B727,'Page-Keyword Map'!$E$2:$E$668,"City")</f>
        <v>0</v>
      </c>
      <c r="X727" s="15" t="str">
        <f aca="false">IF(O727="","",IF(ISNUMBER(SEARCH(O727,J727)),"Yes","No"))</f>
        <v/>
      </c>
      <c r="Y727" s="15" t="n">
        <v>0.5</v>
      </c>
      <c r="Z727" s="15" t="s">
        <v>216</v>
      </c>
      <c r="AA727" s="15" t="s">
        <v>217</v>
      </c>
      <c r="AB727" s="17"/>
      <c r="AC727" s="17"/>
    </row>
    <row r="728" customFormat="false" ht="23.85" hidden="false" customHeight="false" outlineLevel="0" collapsed="false">
      <c r="A728" s="15" t="s">
        <v>4570</v>
      </c>
      <c r="B728" s="15" t="s">
        <v>4571</v>
      </c>
      <c r="C728" s="15" t="s">
        <v>4572</v>
      </c>
      <c r="D728" s="15" t="s">
        <v>94</v>
      </c>
      <c r="E728" s="15"/>
      <c r="F728" s="15"/>
      <c r="G728" s="15" t="s">
        <v>657</v>
      </c>
      <c r="H728" s="15"/>
      <c r="I728" s="15" t="s">
        <v>126</v>
      </c>
      <c r="J728" s="3" t="s">
        <v>4573</v>
      </c>
      <c r="K728" s="15" t="n">
        <f aca="false">LEN(J728)</f>
        <v>57</v>
      </c>
      <c r="L728" s="3" t="s">
        <v>4574</v>
      </c>
      <c r="M728" s="15" t="n">
        <f aca="false">LEN(L728)</f>
        <v>157</v>
      </c>
      <c r="N728" s="3" t="s">
        <v>4575</v>
      </c>
      <c r="O728" s="15"/>
      <c r="P728" s="16"/>
      <c r="Q728" s="15"/>
      <c r="R728" s="15" t="s">
        <v>4576</v>
      </c>
      <c r="S728" s="15" t="n">
        <f aca="false">COUNTIF('Page-Keyword Map'!$A$2:$A$668,B728)</f>
        <v>0</v>
      </c>
      <c r="T728" s="16" t="n">
        <f aca="false">SUMIF('Page-Keyword Map'!$A$2:$A$668,B728,'Page-Keyword Map'!$H$2:$H$668)</f>
        <v>0</v>
      </c>
      <c r="U728" s="15" t="n">
        <f aca="false">COUNTIFS('Page-Keyword Map'!$A$2:$A$668,B728,'Page-Keyword Map'!$E$2:$E$668,"Nationwide")</f>
        <v>0</v>
      </c>
      <c r="V728" s="15" t="n">
        <f aca="false">COUNTIFS('Page-Keyword Map'!$A$2:$A$668,B728,'Page-Keyword Map'!$E$2:$E$668,"Provincial")</f>
        <v>0</v>
      </c>
      <c r="W728" s="15" t="n">
        <f aca="false">COUNTIFS('Page-Keyword Map'!$A$2:$A$668,B728,'Page-Keyword Map'!$E$2:$E$668,"City")</f>
        <v>0</v>
      </c>
      <c r="X728" s="15" t="str">
        <f aca="false">IF(O728="","",IF(ISNUMBER(SEARCH(O728,J728)),"Yes","No"))</f>
        <v/>
      </c>
      <c r="Y728" s="15" t="n">
        <v>0.6</v>
      </c>
      <c r="Z728" s="15" t="s">
        <v>4577</v>
      </c>
      <c r="AA728" s="15" t="s">
        <v>131</v>
      </c>
      <c r="AB728" s="17"/>
      <c r="AC728" s="17"/>
    </row>
    <row r="729" customFormat="false" ht="23.85" hidden="false" customHeight="false" outlineLevel="0" collapsed="false">
      <c r="A729" s="15" t="s">
        <v>4578</v>
      </c>
      <c r="B729" s="15" t="s">
        <v>4579</v>
      </c>
      <c r="C729" s="15" t="s">
        <v>4572</v>
      </c>
      <c r="D729" s="15" t="s">
        <v>94</v>
      </c>
      <c r="E729" s="15"/>
      <c r="F729" s="15"/>
      <c r="G729" s="15" t="s">
        <v>657</v>
      </c>
      <c r="H729" s="15" t="s">
        <v>2077</v>
      </c>
      <c r="I729" s="15" t="s">
        <v>211</v>
      </c>
      <c r="J729" s="3" t="s">
        <v>4580</v>
      </c>
      <c r="K729" s="15" t="n">
        <f aca="false">LEN(J729)</f>
        <v>60</v>
      </c>
      <c r="L729" s="3" t="s">
        <v>4581</v>
      </c>
      <c r="M729" s="15" t="n">
        <f aca="false">LEN(L729)</f>
        <v>144</v>
      </c>
      <c r="N729" s="3" t="s">
        <v>4582</v>
      </c>
      <c r="O729" s="15"/>
      <c r="P729" s="16"/>
      <c r="Q729" s="15"/>
      <c r="R729" s="15" t="s">
        <v>4583</v>
      </c>
      <c r="S729" s="15" t="n">
        <f aca="false">COUNTIF('Page-Keyword Map'!$A$2:$A$668,B729)</f>
        <v>0</v>
      </c>
      <c r="T729" s="16" t="n">
        <f aca="false">SUMIF('Page-Keyword Map'!$A$2:$A$668,B729,'Page-Keyword Map'!$H$2:$H$668)</f>
        <v>0</v>
      </c>
      <c r="U729" s="15" t="n">
        <f aca="false">COUNTIFS('Page-Keyword Map'!$A$2:$A$668,B729,'Page-Keyword Map'!$E$2:$E$668,"Nationwide")</f>
        <v>0</v>
      </c>
      <c r="V729" s="15" t="n">
        <f aca="false">COUNTIFS('Page-Keyword Map'!$A$2:$A$668,B729,'Page-Keyword Map'!$E$2:$E$668,"Provincial")</f>
        <v>0</v>
      </c>
      <c r="W729" s="15" t="n">
        <f aca="false">COUNTIFS('Page-Keyword Map'!$A$2:$A$668,B729,'Page-Keyword Map'!$E$2:$E$668,"City")</f>
        <v>0</v>
      </c>
      <c r="X729" s="15" t="str">
        <f aca="false">IF(O729="","",IF(ISNUMBER(SEARCH(O729,J729)),"Yes","No"))</f>
        <v/>
      </c>
      <c r="Y729" s="15" t="n">
        <v>0.5</v>
      </c>
      <c r="Z729" s="15" t="s">
        <v>216</v>
      </c>
      <c r="AA729" s="15" t="s">
        <v>217</v>
      </c>
      <c r="AB729" s="17"/>
      <c r="AC729" s="17"/>
    </row>
    <row r="730" customFormat="false" ht="23.85" hidden="false" customHeight="false" outlineLevel="0" collapsed="false">
      <c r="A730" s="15" t="s">
        <v>4584</v>
      </c>
      <c r="B730" s="15" t="s">
        <v>4585</v>
      </c>
      <c r="C730" s="15" t="s">
        <v>4572</v>
      </c>
      <c r="D730" s="15" t="s">
        <v>94</v>
      </c>
      <c r="E730" s="15"/>
      <c r="F730" s="15"/>
      <c r="G730" s="15" t="s">
        <v>657</v>
      </c>
      <c r="H730" s="15" t="s">
        <v>2084</v>
      </c>
      <c r="I730" s="15" t="s">
        <v>126</v>
      </c>
      <c r="J730" s="3" t="s">
        <v>4586</v>
      </c>
      <c r="K730" s="15" t="n">
        <f aca="false">LEN(J730)</f>
        <v>60</v>
      </c>
      <c r="L730" s="3" t="s">
        <v>4587</v>
      </c>
      <c r="M730" s="15" t="n">
        <f aca="false">LEN(L730)</f>
        <v>144</v>
      </c>
      <c r="N730" s="3" t="s">
        <v>4588</v>
      </c>
      <c r="O730" s="15" t="s">
        <v>4589</v>
      </c>
      <c r="P730" s="16" t="n">
        <v>370</v>
      </c>
      <c r="Q730" s="15" t="s">
        <v>104</v>
      </c>
      <c r="R730" s="15"/>
      <c r="S730" s="15" t="n">
        <f aca="false">COUNTIF('Page-Keyword Map'!$A$2:$A$668,B730)</f>
        <v>1</v>
      </c>
      <c r="T730" s="16" t="n">
        <f aca="false">SUMIF('Page-Keyword Map'!$A$2:$A$668,B730,'Page-Keyword Map'!$H$2:$H$668)</f>
        <v>370</v>
      </c>
      <c r="U730" s="15" t="n">
        <f aca="false">COUNTIFS('Page-Keyword Map'!$A$2:$A$668,B730,'Page-Keyword Map'!$E$2:$E$668,"Nationwide")</f>
        <v>0</v>
      </c>
      <c r="V730" s="15" t="n">
        <f aca="false">COUNTIFS('Page-Keyword Map'!$A$2:$A$668,B730,'Page-Keyword Map'!$E$2:$E$668,"Provincial")</f>
        <v>0</v>
      </c>
      <c r="W730" s="15" t="n">
        <f aca="false">COUNTIFS('Page-Keyword Map'!$A$2:$A$668,B730,'Page-Keyword Map'!$E$2:$E$668,"City")</f>
        <v>1</v>
      </c>
      <c r="X730" s="15" t="str">
        <f aca="false">IF(O730="","",IF(ISNUMBER(SEARCH(O730,J730)),"Yes","No"))</f>
        <v>No</v>
      </c>
      <c r="Y730" s="15" t="n">
        <v>0.5</v>
      </c>
      <c r="Z730" s="15" t="s">
        <v>4577</v>
      </c>
      <c r="AA730" s="15" t="s">
        <v>131</v>
      </c>
      <c r="AB730" s="17"/>
      <c r="AC730" s="17"/>
    </row>
    <row r="731" customFormat="false" ht="23.85" hidden="false" customHeight="false" outlineLevel="0" collapsed="false">
      <c r="A731" s="15" t="s">
        <v>4590</v>
      </c>
      <c r="B731" s="15" t="s">
        <v>4591</v>
      </c>
      <c r="C731" s="15" t="s">
        <v>4572</v>
      </c>
      <c r="D731" s="15" t="s">
        <v>94</v>
      </c>
      <c r="E731" s="15"/>
      <c r="F731" s="15"/>
      <c r="G731" s="15" t="s">
        <v>657</v>
      </c>
      <c r="H731" s="15" t="s">
        <v>2092</v>
      </c>
      <c r="I731" s="15" t="s">
        <v>126</v>
      </c>
      <c r="J731" s="3" t="s">
        <v>4592</v>
      </c>
      <c r="K731" s="15" t="n">
        <f aca="false">LEN(J731)</f>
        <v>61</v>
      </c>
      <c r="L731" s="3" t="s">
        <v>4593</v>
      </c>
      <c r="M731" s="15" t="n">
        <f aca="false">LEN(L731)</f>
        <v>145</v>
      </c>
      <c r="N731" s="3" t="s">
        <v>4594</v>
      </c>
      <c r="O731" s="15" t="s">
        <v>4595</v>
      </c>
      <c r="P731" s="16" t="n">
        <v>300</v>
      </c>
      <c r="Q731" s="15" t="s">
        <v>104</v>
      </c>
      <c r="R731" s="15"/>
      <c r="S731" s="15" t="n">
        <f aca="false">COUNTIF('Page-Keyword Map'!$A$2:$A$668,B731)</f>
        <v>1</v>
      </c>
      <c r="T731" s="16" t="n">
        <f aca="false">SUMIF('Page-Keyword Map'!$A$2:$A$668,B731,'Page-Keyword Map'!$H$2:$H$668)</f>
        <v>300</v>
      </c>
      <c r="U731" s="15" t="n">
        <f aca="false">COUNTIFS('Page-Keyword Map'!$A$2:$A$668,B731,'Page-Keyword Map'!$E$2:$E$668,"Nationwide")</f>
        <v>0</v>
      </c>
      <c r="V731" s="15" t="n">
        <f aca="false">COUNTIFS('Page-Keyword Map'!$A$2:$A$668,B731,'Page-Keyword Map'!$E$2:$E$668,"Provincial")</f>
        <v>0</v>
      </c>
      <c r="W731" s="15" t="n">
        <f aca="false">COUNTIFS('Page-Keyword Map'!$A$2:$A$668,B731,'Page-Keyword Map'!$E$2:$E$668,"City")</f>
        <v>1</v>
      </c>
      <c r="X731" s="15" t="str">
        <f aca="false">IF(O731="","",IF(ISNUMBER(SEARCH(O731,J731)),"Yes","No"))</f>
        <v>No</v>
      </c>
      <c r="Y731" s="15" t="n">
        <v>0.5</v>
      </c>
      <c r="Z731" s="15" t="s">
        <v>4577</v>
      </c>
      <c r="AA731" s="15" t="s">
        <v>131</v>
      </c>
      <c r="AB731" s="17"/>
      <c r="AC731" s="17"/>
    </row>
    <row r="732" customFormat="false" ht="23.85" hidden="false" customHeight="false" outlineLevel="0" collapsed="false">
      <c r="A732" s="15" t="s">
        <v>4596</v>
      </c>
      <c r="B732" s="15" t="s">
        <v>4597</v>
      </c>
      <c r="C732" s="15" t="s">
        <v>4572</v>
      </c>
      <c r="D732" s="15" t="s">
        <v>94</v>
      </c>
      <c r="E732" s="15"/>
      <c r="F732" s="15"/>
      <c r="G732" s="15" t="s">
        <v>657</v>
      </c>
      <c r="H732" s="15" t="s">
        <v>2099</v>
      </c>
      <c r="I732" s="15" t="s">
        <v>126</v>
      </c>
      <c r="J732" s="3" t="s">
        <v>4598</v>
      </c>
      <c r="K732" s="15" t="n">
        <f aca="false">LEN(J732)</f>
        <v>63</v>
      </c>
      <c r="L732" s="3" t="s">
        <v>4599</v>
      </c>
      <c r="M732" s="15" t="n">
        <f aca="false">LEN(L732)</f>
        <v>147</v>
      </c>
      <c r="N732" s="3" t="s">
        <v>4600</v>
      </c>
      <c r="O732" s="15"/>
      <c r="P732" s="16"/>
      <c r="Q732" s="15"/>
      <c r="R732" s="15" t="s">
        <v>4601</v>
      </c>
      <c r="S732" s="15" t="n">
        <f aca="false">COUNTIF('Page-Keyword Map'!$A$2:$A$668,B732)</f>
        <v>0</v>
      </c>
      <c r="T732" s="16" t="n">
        <f aca="false">SUMIF('Page-Keyword Map'!$A$2:$A$668,B732,'Page-Keyword Map'!$H$2:$H$668)</f>
        <v>0</v>
      </c>
      <c r="U732" s="15" t="n">
        <f aca="false">COUNTIFS('Page-Keyword Map'!$A$2:$A$668,B732,'Page-Keyword Map'!$E$2:$E$668,"Nationwide")</f>
        <v>0</v>
      </c>
      <c r="V732" s="15" t="n">
        <f aca="false">COUNTIFS('Page-Keyword Map'!$A$2:$A$668,B732,'Page-Keyword Map'!$E$2:$E$668,"Provincial")</f>
        <v>0</v>
      </c>
      <c r="W732" s="15" t="n">
        <f aca="false">COUNTIFS('Page-Keyword Map'!$A$2:$A$668,B732,'Page-Keyword Map'!$E$2:$E$668,"City")</f>
        <v>0</v>
      </c>
      <c r="X732" s="15" t="str">
        <f aca="false">IF(O732="","",IF(ISNUMBER(SEARCH(O732,J732)),"Yes","No"))</f>
        <v/>
      </c>
      <c r="Y732" s="15" t="n">
        <v>0.5</v>
      </c>
      <c r="Z732" s="15" t="s">
        <v>4577</v>
      </c>
      <c r="AA732" s="15" t="s">
        <v>131</v>
      </c>
      <c r="AB732" s="17"/>
      <c r="AC732" s="17"/>
    </row>
    <row r="733" customFormat="false" ht="23.85" hidden="false" customHeight="false" outlineLevel="0" collapsed="false">
      <c r="A733" s="15" t="s">
        <v>4602</v>
      </c>
      <c r="B733" s="15" t="s">
        <v>4603</v>
      </c>
      <c r="C733" s="15" t="s">
        <v>4572</v>
      </c>
      <c r="D733" s="15" t="s">
        <v>94</v>
      </c>
      <c r="E733" s="15"/>
      <c r="F733" s="15"/>
      <c r="G733" s="15" t="s">
        <v>657</v>
      </c>
      <c r="H733" s="15" t="s">
        <v>2106</v>
      </c>
      <c r="I733" s="15" t="s">
        <v>126</v>
      </c>
      <c r="J733" s="3" t="s">
        <v>4604</v>
      </c>
      <c r="K733" s="15" t="n">
        <f aca="false">LEN(J733)</f>
        <v>61</v>
      </c>
      <c r="L733" s="3" t="s">
        <v>4605</v>
      </c>
      <c r="M733" s="15" t="n">
        <f aca="false">LEN(L733)</f>
        <v>145</v>
      </c>
      <c r="N733" s="3" t="s">
        <v>4606</v>
      </c>
      <c r="O733" s="15"/>
      <c r="P733" s="16"/>
      <c r="Q733" s="15"/>
      <c r="R733" s="15" t="s">
        <v>4607</v>
      </c>
      <c r="S733" s="15" t="n">
        <f aca="false">COUNTIF('Page-Keyword Map'!$A$2:$A$668,B733)</f>
        <v>0</v>
      </c>
      <c r="T733" s="16" t="n">
        <f aca="false">SUMIF('Page-Keyword Map'!$A$2:$A$668,B733,'Page-Keyword Map'!$H$2:$H$668)</f>
        <v>0</v>
      </c>
      <c r="U733" s="15" t="n">
        <f aca="false">COUNTIFS('Page-Keyword Map'!$A$2:$A$668,B733,'Page-Keyword Map'!$E$2:$E$668,"Nationwide")</f>
        <v>0</v>
      </c>
      <c r="V733" s="15" t="n">
        <f aca="false">COUNTIFS('Page-Keyword Map'!$A$2:$A$668,B733,'Page-Keyword Map'!$E$2:$E$668,"Provincial")</f>
        <v>0</v>
      </c>
      <c r="W733" s="15" t="n">
        <f aca="false">COUNTIFS('Page-Keyword Map'!$A$2:$A$668,B733,'Page-Keyword Map'!$E$2:$E$668,"City")</f>
        <v>0</v>
      </c>
      <c r="X733" s="15" t="str">
        <f aca="false">IF(O733="","",IF(ISNUMBER(SEARCH(O733,J733)),"Yes","No"))</f>
        <v/>
      </c>
      <c r="Y733" s="15" t="n">
        <v>0.5</v>
      </c>
      <c r="Z733" s="15" t="s">
        <v>4577</v>
      </c>
      <c r="AA733" s="15" t="s">
        <v>131</v>
      </c>
      <c r="AB733" s="17"/>
      <c r="AC733" s="17"/>
    </row>
    <row r="734" customFormat="false" ht="23.85" hidden="false" customHeight="false" outlineLevel="0" collapsed="false">
      <c r="A734" s="15" t="s">
        <v>4608</v>
      </c>
      <c r="B734" s="15" t="s">
        <v>4609</v>
      </c>
      <c r="C734" s="15" t="s">
        <v>4572</v>
      </c>
      <c r="D734" s="15" t="s">
        <v>94</v>
      </c>
      <c r="E734" s="15"/>
      <c r="F734" s="15"/>
      <c r="G734" s="15" t="s">
        <v>666</v>
      </c>
      <c r="H734" s="15"/>
      <c r="I734" s="15" t="s">
        <v>126</v>
      </c>
      <c r="J734" s="3" t="s">
        <v>4610</v>
      </c>
      <c r="K734" s="15" t="n">
        <f aca="false">LEN(J734)</f>
        <v>66</v>
      </c>
      <c r="L734" s="3" t="s">
        <v>4611</v>
      </c>
      <c r="M734" s="15" t="n">
        <f aca="false">LEN(L734)</f>
        <v>159</v>
      </c>
      <c r="N734" s="3" t="s">
        <v>4612</v>
      </c>
      <c r="O734" s="15"/>
      <c r="P734" s="16"/>
      <c r="Q734" s="15"/>
      <c r="R734" s="15" t="s">
        <v>4613</v>
      </c>
      <c r="S734" s="15" t="n">
        <f aca="false">COUNTIF('Page-Keyword Map'!$A$2:$A$668,B734)</f>
        <v>0</v>
      </c>
      <c r="T734" s="16" t="n">
        <f aca="false">SUMIF('Page-Keyword Map'!$A$2:$A$668,B734,'Page-Keyword Map'!$H$2:$H$668)</f>
        <v>0</v>
      </c>
      <c r="U734" s="15" t="n">
        <f aca="false">COUNTIFS('Page-Keyword Map'!$A$2:$A$668,B734,'Page-Keyword Map'!$E$2:$E$668,"Nationwide")</f>
        <v>0</v>
      </c>
      <c r="V734" s="15" t="n">
        <f aca="false">COUNTIFS('Page-Keyword Map'!$A$2:$A$668,B734,'Page-Keyword Map'!$E$2:$E$668,"Provincial")</f>
        <v>0</v>
      </c>
      <c r="W734" s="15" t="n">
        <f aca="false">COUNTIFS('Page-Keyword Map'!$A$2:$A$668,B734,'Page-Keyword Map'!$E$2:$E$668,"City")</f>
        <v>0</v>
      </c>
      <c r="X734" s="15" t="str">
        <f aca="false">IF(O734="","",IF(ISNUMBER(SEARCH(O734,J734)),"Yes","No"))</f>
        <v/>
      </c>
      <c r="Y734" s="15" t="n">
        <v>0.6</v>
      </c>
      <c r="Z734" s="15" t="s">
        <v>4577</v>
      </c>
      <c r="AA734" s="15" t="s">
        <v>131</v>
      </c>
      <c r="AB734" s="17"/>
      <c r="AC734" s="17"/>
    </row>
    <row r="735" customFormat="false" ht="23.85" hidden="false" customHeight="false" outlineLevel="0" collapsed="false">
      <c r="A735" s="15" t="s">
        <v>4614</v>
      </c>
      <c r="B735" s="15" t="s">
        <v>4615</v>
      </c>
      <c r="C735" s="15" t="s">
        <v>4572</v>
      </c>
      <c r="D735" s="15" t="s">
        <v>94</v>
      </c>
      <c r="E735" s="15"/>
      <c r="F735" s="15"/>
      <c r="G735" s="15" t="s">
        <v>666</v>
      </c>
      <c r="H735" s="15" t="s">
        <v>2113</v>
      </c>
      <c r="I735" s="15" t="s">
        <v>126</v>
      </c>
      <c r="J735" s="3" t="s">
        <v>4616</v>
      </c>
      <c r="K735" s="15" t="n">
        <f aca="false">LEN(J735)</f>
        <v>63</v>
      </c>
      <c r="L735" s="3" t="s">
        <v>4617</v>
      </c>
      <c r="M735" s="15" t="n">
        <f aca="false">LEN(L735)</f>
        <v>156</v>
      </c>
      <c r="N735" s="3" t="s">
        <v>4618</v>
      </c>
      <c r="O735" s="15"/>
      <c r="P735" s="16"/>
      <c r="Q735" s="15"/>
      <c r="R735" s="15" t="s">
        <v>4619</v>
      </c>
      <c r="S735" s="15" t="n">
        <f aca="false">COUNTIF('Page-Keyword Map'!$A$2:$A$668,B735)</f>
        <v>0</v>
      </c>
      <c r="T735" s="16" t="n">
        <f aca="false">SUMIF('Page-Keyword Map'!$A$2:$A$668,B735,'Page-Keyword Map'!$H$2:$H$668)</f>
        <v>0</v>
      </c>
      <c r="U735" s="15" t="n">
        <f aca="false">COUNTIFS('Page-Keyword Map'!$A$2:$A$668,B735,'Page-Keyword Map'!$E$2:$E$668,"Nationwide")</f>
        <v>0</v>
      </c>
      <c r="V735" s="15" t="n">
        <f aca="false">COUNTIFS('Page-Keyword Map'!$A$2:$A$668,B735,'Page-Keyword Map'!$E$2:$E$668,"Provincial")</f>
        <v>0</v>
      </c>
      <c r="W735" s="15" t="n">
        <f aca="false">COUNTIFS('Page-Keyword Map'!$A$2:$A$668,B735,'Page-Keyword Map'!$E$2:$E$668,"City")</f>
        <v>0</v>
      </c>
      <c r="X735" s="15" t="str">
        <f aca="false">IF(O735="","",IF(ISNUMBER(SEARCH(O735,J735)),"Yes","No"))</f>
        <v/>
      </c>
      <c r="Y735" s="15" t="n">
        <v>0.5</v>
      </c>
      <c r="Z735" s="15" t="s">
        <v>4577</v>
      </c>
      <c r="AA735" s="15" t="s">
        <v>131</v>
      </c>
      <c r="AB735" s="17"/>
      <c r="AC735" s="17"/>
    </row>
    <row r="736" customFormat="false" ht="23.85" hidden="false" customHeight="false" outlineLevel="0" collapsed="false">
      <c r="A736" s="15" t="s">
        <v>4620</v>
      </c>
      <c r="B736" s="15" t="s">
        <v>4621</v>
      </c>
      <c r="C736" s="15" t="s">
        <v>4572</v>
      </c>
      <c r="D736" s="15" t="s">
        <v>94</v>
      </c>
      <c r="E736" s="15"/>
      <c r="F736" s="15"/>
      <c r="G736" s="15" t="s">
        <v>666</v>
      </c>
      <c r="H736" s="15" t="s">
        <v>2120</v>
      </c>
      <c r="I736" s="15" t="s">
        <v>126</v>
      </c>
      <c r="J736" s="3" t="s">
        <v>4622</v>
      </c>
      <c r="K736" s="15" t="n">
        <f aca="false">LEN(J736)</f>
        <v>60</v>
      </c>
      <c r="L736" s="3" t="s">
        <v>4623</v>
      </c>
      <c r="M736" s="15" t="n">
        <f aca="false">LEN(L736)</f>
        <v>153</v>
      </c>
      <c r="N736" s="3" t="s">
        <v>4624</v>
      </c>
      <c r="O736" s="15" t="s">
        <v>4625</v>
      </c>
      <c r="P736" s="16" t="n">
        <v>99</v>
      </c>
      <c r="Q736" s="15" t="s">
        <v>104</v>
      </c>
      <c r="R736" s="15"/>
      <c r="S736" s="15" t="n">
        <f aca="false">COUNTIF('Page-Keyword Map'!$A$2:$A$668,B736)</f>
        <v>1</v>
      </c>
      <c r="T736" s="16" t="n">
        <f aca="false">SUMIF('Page-Keyword Map'!$A$2:$A$668,B736,'Page-Keyword Map'!$H$2:$H$668)</f>
        <v>99</v>
      </c>
      <c r="U736" s="15" t="n">
        <f aca="false">COUNTIFS('Page-Keyword Map'!$A$2:$A$668,B736,'Page-Keyword Map'!$E$2:$E$668,"Nationwide")</f>
        <v>0</v>
      </c>
      <c r="V736" s="15" t="n">
        <f aca="false">COUNTIFS('Page-Keyword Map'!$A$2:$A$668,B736,'Page-Keyword Map'!$E$2:$E$668,"Provincial")</f>
        <v>0</v>
      </c>
      <c r="W736" s="15" t="n">
        <f aca="false">COUNTIFS('Page-Keyword Map'!$A$2:$A$668,B736,'Page-Keyword Map'!$E$2:$E$668,"City")</f>
        <v>1</v>
      </c>
      <c r="X736" s="15" t="str">
        <f aca="false">IF(O736="","",IF(ISNUMBER(SEARCH(O736,J736)),"Yes","No"))</f>
        <v>No</v>
      </c>
      <c r="Y736" s="15" t="n">
        <v>0.5</v>
      </c>
      <c r="Z736" s="15" t="s">
        <v>4577</v>
      </c>
      <c r="AA736" s="15" t="s">
        <v>131</v>
      </c>
      <c r="AB736" s="17"/>
      <c r="AC736" s="17"/>
    </row>
    <row r="737" customFormat="false" ht="23.85" hidden="false" customHeight="false" outlineLevel="0" collapsed="false">
      <c r="A737" s="15" t="s">
        <v>4626</v>
      </c>
      <c r="B737" s="15" t="s">
        <v>4627</v>
      </c>
      <c r="C737" s="15" t="s">
        <v>4572</v>
      </c>
      <c r="D737" s="15" t="s">
        <v>94</v>
      </c>
      <c r="E737" s="15"/>
      <c r="F737" s="15"/>
      <c r="G737" s="15" t="s">
        <v>666</v>
      </c>
      <c r="H737" s="15" t="s">
        <v>2127</v>
      </c>
      <c r="I737" s="15" t="s">
        <v>126</v>
      </c>
      <c r="J737" s="3" t="s">
        <v>4628</v>
      </c>
      <c r="K737" s="15" t="n">
        <f aca="false">LEN(J737)</f>
        <v>62</v>
      </c>
      <c r="L737" s="3" t="s">
        <v>4629</v>
      </c>
      <c r="M737" s="15" t="n">
        <f aca="false">LEN(L737)</f>
        <v>155</v>
      </c>
      <c r="N737" s="3" t="s">
        <v>4630</v>
      </c>
      <c r="O737" s="15"/>
      <c r="P737" s="16"/>
      <c r="Q737" s="15"/>
      <c r="R737" s="15" t="s">
        <v>4631</v>
      </c>
      <c r="S737" s="15" t="n">
        <f aca="false">COUNTIF('Page-Keyword Map'!$A$2:$A$668,B737)</f>
        <v>0</v>
      </c>
      <c r="T737" s="16" t="n">
        <f aca="false">SUMIF('Page-Keyword Map'!$A$2:$A$668,B737,'Page-Keyword Map'!$H$2:$H$668)</f>
        <v>0</v>
      </c>
      <c r="U737" s="15" t="n">
        <f aca="false">COUNTIFS('Page-Keyword Map'!$A$2:$A$668,B737,'Page-Keyword Map'!$E$2:$E$668,"Nationwide")</f>
        <v>0</v>
      </c>
      <c r="V737" s="15" t="n">
        <f aca="false">COUNTIFS('Page-Keyword Map'!$A$2:$A$668,B737,'Page-Keyword Map'!$E$2:$E$668,"Provincial")</f>
        <v>0</v>
      </c>
      <c r="W737" s="15" t="n">
        <f aca="false">COUNTIFS('Page-Keyword Map'!$A$2:$A$668,B737,'Page-Keyword Map'!$E$2:$E$668,"City")</f>
        <v>0</v>
      </c>
      <c r="X737" s="15" t="str">
        <f aca="false">IF(O737="","",IF(ISNUMBER(SEARCH(O737,J737)),"Yes","No"))</f>
        <v/>
      </c>
      <c r="Y737" s="15" t="n">
        <v>0.5</v>
      </c>
      <c r="Z737" s="15" t="s">
        <v>4577</v>
      </c>
      <c r="AA737" s="15" t="s">
        <v>131</v>
      </c>
      <c r="AB737" s="17"/>
      <c r="AC737" s="17"/>
    </row>
    <row r="738" customFormat="false" ht="23.85" hidden="false" customHeight="false" outlineLevel="0" collapsed="false">
      <c r="A738" s="15" t="s">
        <v>4632</v>
      </c>
      <c r="B738" s="15" t="s">
        <v>4633</v>
      </c>
      <c r="C738" s="15" t="s">
        <v>4572</v>
      </c>
      <c r="D738" s="15" t="s">
        <v>94</v>
      </c>
      <c r="E738" s="15"/>
      <c r="F738" s="15"/>
      <c r="G738" s="15" t="s">
        <v>666</v>
      </c>
      <c r="H738" s="15" t="s">
        <v>2134</v>
      </c>
      <c r="I738" s="15" t="s">
        <v>126</v>
      </c>
      <c r="J738" s="3" t="s">
        <v>4634</v>
      </c>
      <c r="K738" s="15" t="n">
        <f aca="false">LEN(J738)</f>
        <v>60</v>
      </c>
      <c r="L738" s="3" t="s">
        <v>4635</v>
      </c>
      <c r="M738" s="15" t="n">
        <f aca="false">LEN(L738)</f>
        <v>153</v>
      </c>
      <c r="N738" s="3" t="s">
        <v>4636</v>
      </c>
      <c r="O738" s="15" t="s">
        <v>4637</v>
      </c>
      <c r="P738" s="16" t="n">
        <v>64</v>
      </c>
      <c r="Q738" s="15" t="s">
        <v>104</v>
      </c>
      <c r="R738" s="15"/>
      <c r="S738" s="15" t="n">
        <f aca="false">COUNTIF('Page-Keyword Map'!$A$2:$A$668,B738)</f>
        <v>1</v>
      </c>
      <c r="T738" s="16" t="n">
        <f aca="false">SUMIF('Page-Keyword Map'!$A$2:$A$668,B738,'Page-Keyword Map'!$H$2:$H$668)</f>
        <v>64</v>
      </c>
      <c r="U738" s="15" t="n">
        <f aca="false">COUNTIFS('Page-Keyword Map'!$A$2:$A$668,B738,'Page-Keyword Map'!$E$2:$E$668,"Nationwide")</f>
        <v>0</v>
      </c>
      <c r="V738" s="15" t="n">
        <f aca="false">COUNTIFS('Page-Keyword Map'!$A$2:$A$668,B738,'Page-Keyword Map'!$E$2:$E$668,"Provincial")</f>
        <v>0</v>
      </c>
      <c r="W738" s="15" t="n">
        <f aca="false">COUNTIFS('Page-Keyword Map'!$A$2:$A$668,B738,'Page-Keyword Map'!$E$2:$E$668,"City")</f>
        <v>1</v>
      </c>
      <c r="X738" s="15" t="str">
        <f aca="false">IF(O738="","",IF(ISNUMBER(SEARCH(O738,J738)),"Yes","No"))</f>
        <v>No</v>
      </c>
      <c r="Y738" s="15" t="n">
        <v>0.5</v>
      </c>
      <c r="Z738" s="15" t="s">
        <v>4577</v>
      </c>
      <c r="AA738" s="15" t="s">
        <v>131</v>
      </c>
      <c r="AB738" s="17"/>
      <c r="AC738" s="17"/>
    </row>
    <row r="739" customFormat="false" ht="23.85" hidden="false" customHeight="false" outlineLevel="0" collapsed="false">
      <c r="A739" s="15" t="s">
        <v>4638</v>
      </c>
      <c r="B739" s="15" t="s">
        <v>4639</v>
      </c>
      <c r="C739" s="15" t="s">
        <v>4572</v>
      </c>
      <c r="D739" s="15" t="s">
        <v>94</v>
      </c>
      <c r="E739" s="15"/>
      <c r="F739" s="15"/>
      <c r="G739" s="15" t="s">
        <v>666</v>
      </c>
      <c r="H739" s="15" t="s">
        <v>2141</v>
      </c>
      <c r="I739" s="15" t="s">
        <v>211</v>
      </c>
      <c r="J739" s="3" t="s">
        <v>4640</v>
      </c>
      <c r="K739" s="15" t="n">
        <f aca="false">LEN(J739)</f>
        <v>60</v>
      </c>
      <c r="L739" s="3" t="s">
        <v>4641</v>
      </c>
      <c r="M739" s="15" t="n">
        <f aca="false">LEN(L739)</f>
        <v>153</v>
      </c>
      <c r="N739" s="3" t="s">
        <v>4642</v>
      </c>
      <c r="O739" s="15"/>
      <c r="P739" s="16"/>
      <c r="Q739" s="15"/>
      <c r="R739" s="15" t="s">
        <v>4643</v>
      </c>
      <c r="S739" s="15" t="n">
        <f aca="false">COUNTIF('Page-Keyword Map'!$A$2:$A$668,B739)</f>
        <v>0</v>
      </c>
      <c r="T739" s="16" t="n">
        <f aca="false">SUMIF('Page-Keyword Map'!$A$2:$A$668,B739,'Page-Keyword Map'!$H$2:$H$668)</f>
        <v>0</v>
      </c>
      <c r="U739" s="15" t="n">
        <f aca="false">COUNTIFS('Page-Keyword Map'!$A$2:$A$668,B739,'Page-Keyword Map'!$E$2:$E$668,"Nationwide")</f>
        <v>0</v>
      </c>
      <c r="V739" s="15" t="n">
        <f aca="false">COUNTIFS('Page-Keyword Map'!$A$2:$A$668,B739,'Page-Keyword Map'!$E$2:$E$668,"Provincial")</f>
        <v>0</v>
      </c>
      <c r="W739" s="15" t="n">
        <f aca="false">COUNTIFS('Page-Keyword Map'!$A$2:$A$668,B739,'Page-Keyword Map'!$E$2:$E$668,"City")</f>
        <v>0</v>
      </c>
      <c r="X739" s="15" t="str">
        <f aca="false">IF(O739="","",IF(ISNUMBER(SEARCH(O739,J739)),"Yes","No"))</f>
        <v/>
      </c>
      <c r="Y739" s="15" t="n">
        <v>0.5</v>
      </c>
      <c r="Z739" s="15" t="s">
        <v>216</v>
      </c>
      <c r="AA739" s="15" t="s">
        <v>217</v>
      </c>
      <c r="AB739" s="17"/>
      <c r="AC739" s="17"/>
    </row>
    <row r="740" customFormat="false" ht="23.85" hidden="false" customHeight="false" outlineLevel="0" collapsed="false">
      <c r="A740" s="15" t="s">
        <v>4644</v>
      </c>
      <c r="B740" s="15" t="s">
        <v>4645</v>
      </c>
      <c r="C740" s="15" t="s">
        <v>4572</v>
      </c>
      <c r="D740" s="15" t="s">
        <v>94</v>
      </c>
      <c r="E740" s="15"/>
      <c r="F740" s="15"/>
      <c r="G740" s="15" t="s">
        <v>666</v>
      </c>
      <c r="H740" s="15" t="s">
        <v>2148</v>
      </c>
      <c r="I740" s="15" t="s">
        <v>126</v>
      </c>
      <c r="J740" s="3" t="s">
        <v>4646</v>
      </c>
      <c r="K740" s="15" t="n">
        <f aca="false">LEN(J740)</f>
        <v>61</v>
      </c>
      <c r="L740" s="3" t="s">
        <v>4647</v>
      </c>
      <c r="M740" s="15" t="n">
        <f aca="false">LEN(L740)</f>
        <v>154</v>
      </c>
      <c r="N740" s="3" t="s">
        <v>4648</v>
      </c>
      <c r="O740" s="15"/>
      <c r="P740" s="16"/>
      <c r="Q740" s="15"/>
      <c r="R740" s="15" t="s">
        <v>4649</v>
      </c>
      <c r="S740" s="15" t="n">
        <f aca="false">COUNTIF('Page-Keyword Map'!$A$2:$A$668,B740)</f>
        <v>0</v>
      </c>
      <c r="T740" s="16" t="n">
        <f aca="false">SUMIF('Page-Keyword Map'!$A$2:$A$668,B740,'Page-Keyword Map'!$H$2:$H$668)</f>
        <v>0</v>
      </c>
      <c r="U740" s="15" t="n">
        <f aca="false">COUNTIFS('Page-Keyword Map'!$A$2:$A$668,B740,'Page-Keyword Map'!$E$2:$E$668,"Nationwide")</f>
        <v>0</v>
      </c>
      <c r="V740" s="15" t="n">
        <f aca="false">COUNTIFS('Page-Keyword Map'!$A$2:$A$668,B740,'Page-Keyword Map'!$E$2:$E$668,"Provincial")</f>
        <v>0</v>
      </c>
      <c r="W740" s="15" t="n">
        <f aca="false">COUNTIFS('Page-Keyword Map'!$A$2:$A$668,B740,'Page-Keyword Map'!$E$2:$E$668,"City")</f>
        <v>0</v>
      </c>
      <c r="X740" s="15" t="str">
        <f aca="false">IF(O740="","",IF(ISNUMBER(SEARCH(O740,J740)),"Yes","No"))</f>
        <v/>
      </c>
      <c r="Y740" s="15" t="n">
        <v>0.5</v>
      </c>
      <c r="Z740" s="15" t="s">
        <v>4577</v>
      </c>
      <c r="AA740" s="15" t="s">
        <v>131</v>
      </c>
      <c r="AB740" s="17"/>
      <c r="AC740" s="17"/>
    </row>
    <row r="741" customFormat="false" ht="23.85" hidden="false" customHeight="false" outlineLevel="0" collapsed="false">
      <c r="A741" s="15" t="s">
        <v>4650</v>
      </c>
      <c r="B741" s="15" t="s">
        <v>4651</v>
      </c>
      <c r="C741" s="15" t="s">
        <v>4572</v>
      </c>
      <c r="D741" s="15" t="s">
        <v>94</v>
      </c>
      <c r="E741" s="15"/>
      <c r="F741" s="15"/>
      <c r="G741" s="15" t="s">
        <v>666</v>
      </c>
      <c r="H741" s="15" t="s">
        <v>2155</v>
      </c>
      <c r="I741" s="15" t="s">
        <v>126</v>
      </c>
      <c r="J741" s="3" t="s">
        <v>4652</v>
      </c>
      <c r="K741" s="15" t="n">
        <f aca="false">LEN(J741)</f>
        <v>59</v>
      </c>
      <c r="L741" s="3" t="s">
        <v>4653</v>
      </c>
      <c r="M741" s="15" t="n">
        <f aca="false">LEN(L741)</f>
        <v>152</v>
      </c>
      <c r="N741" s="3" t="s">
        <v>4654</v>
      </c>
      <c r="O741" s="15" t="s">
        <v>4655</v>
      </c>
      <c r="P741" s="16" t="n">
        <v>190</v>
      </c>
      <c r="Q741" s="15" t="s">
        <v>104</v>
      </c>
      <c r="R741" s="15"/>
      <c r="S741" s="15" t="n">
        <f aca="false">COUNTIF('Page-Keyword Map'!$A$2:$A$668,B741)</f>
        <v>1</v>
      </c>
      <c r="T741" s="16" t="n">
        <f aca="false">SUMIF('Page-Keyword Map'!$A$2:$A$668,B741,'Page-Keyword Map'!$H$2:$H$668)</f>
        <v>190</v>
      </c>
      <c r="U741" s="15" t="n">
        <f aca="false">COUNTIFS('Page-Keyword Map'!$A$2:$A$668,B741,'Page-Keyword Map'!$E$2:$E$668,"Nationwide")</f>
        <v>0</v>
      </c>
      <c r="V741" s="15" t="n">
        <f aca="false">COUNTIFS('Page-Keyword Map'!$A$2:$A$668,B741,'Page-Keyword Map'!$E$2:$E$668,"Provincial")</f>
        <v>0</v>
      </c>
      <c r="W741" s="15" t="n">
        <f aca="false">COUNTIFS('Page-Keyword Map'!$A$2:$A$668,B741,'Page-Keyword Map'!$E$2:$E$668,"City")</f>
        <v>1</v>
      </c>
      <c r="X741" s="15" t="str">
        <f aca="false">IF(O741="","",IF(ISNUMBER(SEARCH(O741,J741)),"Yes","No"))</f>
        <v>No</v>
      </c>
      <c r="Y741" s="15" t="n">
        <v>0.5</v>
      </c>
      <c r="Z741" s="15" t="s">
        <v>4577</v>
      </c>
      <c r="AA741" s="15" t="s">
        <v>131</v>
      </c>
      <c r="AB741" s="17"/>
      <c r="AC741" s="17"/>
    </row>
    <row r="742" customFormat="false" ht="23.85" hidden="false" customHeight="false" outlineLevel="0" collapsed="false">
      <c r="A742" s="15" t="s">
        <v>4656</v>
      </c>
      <c r="B742" s="15" t="s">
        <v>4657</v>
      </c>
      <c r="C742" s="15" t="s">
        <v>4572</v>
      </c>
      <c r="D742" s="15" t="s">
        <v>94</v>
      </c>
      <c r="E742" s="15"/>
      <c r="F742" s="15"/>
      <c r="G742" s="15" t="s">
        <v>666</v>
      </c>
      <c r="H742" s="15" t="s">
        <v>2162</v>
      </c>
      <c r="I742" s="15" t="s">
        <v>126</v>
      </c>
      <c r="J742" s="3" t="s">
        <v>4658</v>
      </c>
      <c r="K742" s="15" t="n">
        <f aca="false">LEN(J742)</f>
        <v>62</v>
      </c>
      <c r="L742" s="3" t="s">
        <v>4659</v>
      </c>
      <c r="M742" s="15" t="n">
        <f aca="false">LEN(L742)</f>
        <v>155</v>
      </c>
      <c r="N742" s="3" t="s">
        <v>4660</v>
      </c>
      <c r="O742" s="15" t="s">
        <v>4661</v>
      </c>
      <c r="P742" s="16" t="n">
        <v>220</v>
      </c>
      <c r="Q742" s="15" t="s">
        <v>104</v>
      </c>
      <c r="R742" s="15"/>
      <c r="S742" s="15" t="n">
        <f aca="false">COUNTIF('Page-Keyword Map'!$A$2:$A$668,B742)</f>
        <v>1</v>
      </c>
      <c r="T742" s="16" t="n">
        <f aca="false">SUMIF('Page-Keyword Map'!$A$2:$A$668,B742,'Page-Keyword Map'!$H$2:$H$668)</f>
        <v>220</v>
      </c>
      <c r="U742" s="15" t="n">
        <f aca="false">COUNTIFS('Page-Keyword Map'!$A$2:$A$668,B742,'Page-Keyword Map'!$E$2:$E$668,"Nationwide")</f>
        <v>0</v>
      </c>
      <c r="V742" s="15" t="n">
        <f aca="false">COUNTIFS('Page-Keyword Map'!$A$2:$A$668,B742,'Page-Keyword Map'!$E$2:$E$668,"Provincial")</f>
        <v>0</v>
      </c>
      <c r="W742" s="15" t="n">
        <f aca="false">COUNTIFS('Page-Keyword Map'!$A$2:$A$668,B742,'Page-Keyword Map'!$E$2:$E$668,"City")</f>
        <v>1</v>
      </c>
      <c r="X742" s="15" t="str">
        <f aca="false">IF(O742="","",IF(ISNUMBER(SEARCH(O742,J742)),"Yes","No"))</f>
        <v>No</v>
      </c>
      <c r="Y742" s="15" t="n">
        <v>0.5</v>
      </c>
      <c r="Z742" s="15" t="s">
        <v>4577</v>
      </c>
      <c r="AA742" s="15" t="s">
        <v>131</v>
      </c>
      <c r="AB742" s="17"/>
      <c r="AC742" s="17"/>
    </row>
    <row r="743" customFormat="false" ht="23.85" hidden="false" customHeight="false" outlineLevel="0" collapsed="false">
      <c r="A743" s="15" t="s">
        <v>4662</v>
      </c>
      <c r="B743" s="15" t="s">
        <v>4663</v>
      </c>
      <c r="C743" s="15" t="s">
        <v>4572</v>
      </c>
      <c r="D743" s="15" t="s">
        <v>94</v>
      </c>
      <c r="E743" s="15"/>
      <c r="F743" s="15"/>
      <c r="G743" s="15" t="s">
        <v>666</v>
      </c>
      <c r="H743" s="15" t="s">
        <v>2169</v>
      </c>
      <c r="I743" s="15" t="s">
        <v>126</v>
      </c>
      <c r="J743" s="3" t="s">
        <v>4664</v>
      </c>
      <c r="K743" s="15" t="n">
        <f aca="false">LEN(J743)</f>
        <v>61</v>
      </c>
      <c r="L743" s="3" t="s">
        <v>4665</v>
      </c>
      <c r="M743" s="15" t="n">
        <f aca="false">LEN(L743)</f>
        <v>154</v>
      </c>
      <c r="N743" s="3" t="s">
        <v>4666</v>
      </c>
      <c r="O743" s="15" t="s">
        <v>4667</v>
      </c>
      <c r="P743" s="16" t="n">
        <v>44</v>
      </c>
      <c r="Q743" s="15" t="s">
        <v>104</v>
      </c>
      <c r="R743" s="15"/>
      <c r="S743" s="15" t="n">
        <f aca="false">COUNTIF('Page-Keyword Map'!$A$2:$A$668,B743)</f>
        <v>1</v>
      </c>
      <c r="T743" s="16" t="n">
        <f aca="false">SUMIF('Page-Keyword Map'!$A$2:$A$668,B743,'Page-Keyword Map'!$H$2:$H$668)</f>
        <v>44</v>
      </c>
      <c r="U743" s="15" t="n">
        <f aca="false">COUNTIFS('Page-Keyword Map'!$A$2:$A$668,B743,'Page-Keyword Map'!$E$2:$E$668,"Nationwide")</f>
        <v>0</v>
      </c>
      <c r="V743" s="15" t="n">
        <f aca="false">COUNTIFS('Page-Keyword Map'!$A$2:$A$668,B743,'Page-Keyword Map'!$E$2:$E$668,"Provincial")</f>
        <v>0</v>
      </c>
      <c r="W743" s="15" t="n">
        <f aca="false">COUNTIFS('Page-Keyword Map'!$A$2:$A$668,B743,'Page-Keyword Map'!$E$2:$E$668,"City")</f>
        <v>1</v>
      </c>
      <c r="X743" s="15" t="str">
        <f aca="false">IF(O743="","",IF(ISNUMBER(SEARCH(O743,J743)),"Yes","No"))</f>
        <v>No</v>
      </c>
      <c r="Y743" s="15" t="n">
        <v>0.5</v>
      </c>
      <c r="Z743" s="15" t="s">
        <v>4577</v>
      </c>
      <c r="AA743" s="15" t="s">
        <v>131</v>
      </c>
      <c r="AB743" s="17"/>
      <c r="AC743" s="17"/>
    </row>
    <row r="744" customFormat="false" ht="23.85" hidden="false" customHeight="false" outlineLevel="0" collapsed="false">
      <c r="A744" s="15" t="s">
        <v>4668</v>
      </c>
      <c r="B744" s="15" t="s">
        <v>4669</v>
      </c>
      <c r="C744" s="15" t="s">
        <v>4572</v>
      </c>
      <c r="D744" s="15" t="s">
        <v>94</v>
      </c>
      <c r="E744" s="15"/>
      <c r="F744" s="15"/>
      <c r="G744" s="15" t="s">
        <v>673</v>
      </c>
      <c r="H744" s="15"/>
      <c r="I744" s="15" t="s">
        <v>126</v>
      </c>
      <c r="J744" s="3" t="s">
        <v>4670</v>
      </c>
      <c r="K744" s="15" t="n">
        <f aca="false">LEN(J744)</f>
        <v>58</v>
      </c>
      <c r="L744" s="3" t="s">
        <v>4671</v>
      </c>
      <c r="M744" s="15" t="n">
        <f aca="false">LEN(L744)</f>
        <v>164</v>
      </c>
      <c r="N744" s="3" t="s">
        <v>4672</v>
      </c>
      <c r="O744" s="15"/>
      <c r="P744" s="16"/>
      <c r="Q744" s="15"/>
      <c r="R744" s="15" t="s">
        <v>4673</v>
      </c>
      <c r="S744" s="15" t="n">
        <f aca="false">COUNTIF('Page-Keyword Map'!$A$2:$A$668,B744)</f>
        <v>0</v>
      </c>
      <c r="T744" s="16" t="n">
        <f aca="false">SUMIF('Page-Keyword Map'!$A$2:$A$668,B744,'Page-Keyword Map'!$H$2:$H$668)</f>
        <v>0</v>
      </c>
      <c r="U744" s="15" t="n">
        <f aca="false">COUNTIFS('Page-Keyword Map'!$A$2:$A$668,B744,'Page-Keyword Map'!$E$2:$E$668,"Nationwide")</f>
        <v>0</v>
      </c>
      <c r="V744" s="15" t="n">
        <f aca="false">COUNTIFS('Page-Keyword Map'!$A$2:$A$668,B744,'Page-Keyword Map'!$E$2:$E$668,"Provincial")</f>
        <v>0</v>
      </c>
      <c r="W744" s="15" t="n">
        <f aca="false">COUNTIFS('Page-Keyword Map'!$A$2:$A$668,B744,'Page-Keyword Map'!$E$2:$E$668,"City")</f>
        <v>0</v>
      </c>
      <c r="X744" s="15" t="str">
        <f aca="false">IF(O744="","",IF(ISNUMBER(SEARCH(O744,J744)),"Yes","No"))</f>
        <v/>
      </c>
      <c r="Y744" s="15" t="n">
        <v>0.6</v>
      </c>
      <c r="Z744" s="15" t="s">
        <v>4577</v>
      </c>
      <c r="AA744" s="15" t="s">
        <v>131</v>
      </c>
      <c r="AB744" s="17"/>
      <c r="AC744" s="17"/>
    </row>
    <row r="745" customFormat="false" ht="23.85" hidden="false" customHeight="false" outlineLevel="0" collapsed="false">
      <c r="A745" s="15" t="s">
        <v>4674</v>
      </c>
      <c r="B745" s="15" t="s">
        <v>4675</v>
      </c>
      <c r="C745" s="15" t="s">
        <v>4572</v>
      </c>
      <c r="D745" s="15" t="s">
        <v>94</v>
      </c>
      <c r="E745" s="15"/>
      <c r="F745" s="15"/>
      <c r="G745" s="15" t="s">
        <v>673</v>
      </c>
      <c r="H745" s="15" t="s">
        <v>2176</v>
      </c>
      <c r="I745" s="15" t="s">
        <v>211</v>
      </c>
      <c r="J745" s="3" t="s">
        <v>4676</v>
      </c>
      <c r="K745" s="15" t="n">
        <f aca="false">LEN(J745)</f>
        <v>60</v>
      </c>
      <c r="L745" s="3" t="s">
        <v>4677</v>
      </c>
      <c r="M745" s="15" t="n">
        <f aca="false">LEN(L745)</f>
        <v>145</v>
      </c>
      <c r="N745" s="3" t="s">
        <v>4678</v>
      </c>
      <c r="O745" s="15"/>
      <c r="P745" s="16"/>
      <c r="Q745" s="15"/>
      <c r="R745" s="15" t="s">
        <v>4679</v>
      </c>
      <c r="S745" s="15" t="n">
        <f aca="false">COUNTIF('Page-Keyword Map'!$A$2:$A$668,B745)</f>
        <v>0</v>
      </c>
      <c r="T745" s="16" t="n">
        <f aca="false">SUMIF('Page-Keyword Map'!$A$2:$A$668,B745,'Page-Keyword Map'!$H$2:$H$668)</f>
        <v>0</v>
      </c>
      <c r="U745" s="15" t="n">
        <f aca="false">COUNTIFS('Page-Keyword Map'!$A$2:$A$668,B745,'Page-Keyword Map'!$E$2:$E$668,"Nationwide")</f>
        <v>0</v>
      </c>
      <c r="V745" s="15" t="n">
        <f aca="false">COUNTIFS('Page-Keyword Map'!$A$2:$A$668,B745,'Page-Keyword Map'!$E$2:$E$668,"Provincial")</f>
        <v>0</v>
      </c>
      <c r="W745" s="15" t="n">
        <f aca="false">COUNTIFS('Page-Keyword Map'!$A$2:$A$668,B745,'Page-Keyword Map'!$E$2:$E$668,"City")</f>
        <v>0</v>
      </c>
      <c r="X745" s="15" t="str">
        <f aca="false">IF(O745="","",IF(ISNUMBER(SEARCH(O745,J745)),"Yes","No"))</f>
        <v/>
      </c>
      <c r="Y745" s="15" t="n">
        <v>0.5</v>
      </c>
      <c r="Z745" s="15" t="s">
        <v>216</v>
      </c>
      <c r="AA745" s="15" t="s">
        <v>217</v>
      </c>
      <c r="AB745" s="17"/>
      <c r="AC745" s="17"/>
    </row>
    <row r="746" customFormat="false" ht="23.85" hidden="false" customHeight="false" outlineLevel="0" collapsed="false">
      <c r="A746" s="15" t="s">
        <v>4680</v>
      </c>
      <c r="B746" s="15" t="s">
        <v>4681</v>
      </c>
      <c r="C746" s="15" t="s">
        <v>4572</v>
      </c>
      <c r="D746" s="15" t="s">
        <v>94</v>
      </c>
      <c r="E746" s="15"/>
      <c r="F746" s="15"/>
      <c r="G746" s="15" t="s">
        <v>673</v>
      </c>
      <c r="H746" s="15" t="s">
        <v>2183</v>
      </c>
      <c r="I746" s="15" t="s">
        <v>126</v>
      </c>
      <c r="J746" s="3" t="s">
        <v>4682</v>
      </c>
      <c r="K746" s="15" t="n">
        <f aca="false">LEN(J746)</f>
        <v>61</v>
      </c>
      <c r="L746" s="3" t="s">
        <v>4683</v>
      </c>
      <c r="M746" s="15" t="n">
        <f aca="false">LEN(L746)</f>
        <v>146</v>
      </c>
      <c r="N746" s="3" t="s">
        <v>4684</v>
      </c>
      <c r="O746" s="15" t="s">
        <v>4685</v>
      </c>
      <c r="P746" s="16" t="n">
        <v>240</v>
      </c>
      <c r="Q746" s="15" t="s">
        <v>104</v>
      </c>
      <c r="R746" s="15"/>
      <c r="S746" s="15" t="n">
        <f aca="false">COUNTIF('Page-Keyword Map'!$A$2:$A$668,B746)</f>
        <v>1</v>
      </c>
      <c r="T746" s="16" t="n">
        <f aca="false">SUMIF('Page-Keyword Map'!$A$2:$A$668,B746,'Page-Keyword Map'!$H$2:$H$668)</f>
        <v>240</v>
      </c>
      <c r="U746" s="15" t="n">
        <f aca="false">COUNTIFS('Page-Keyword Map'!$A$2:$A$668,B746,'Page-Keyword Map'!$E$2:$E$668,"Nationwide")</f>
        <v>0</v>
      </c>
      <c r="V746" s="15" t="n">
        <f aca="false">COUNTIFS('Page-Keyword Map'!$A$2:$A$668,B746,'Page-Keyword Map'!$E$2:$E$668,"Provincial")</f>
        <v>0</v>
      </c>
      <c r="W746" s="15" t="n">
        <f aca="false">COUNTIFS('Page-Keyword Map'!$A$2:$A$668,B746,'Page-Keyword Map'!$E$2:$E$668,"City")</f>
        <v>1</v>
      </c>
      <c r="X746" s="15" t="str">
        <f aca="false">IF(O746="","",IF(ISNUMBER(SEARCH(O746,J746)),"Yes","No"))</f>
        <v>No</v>
      </c>
      <c r="Y746" s="15" t="n">
        <v>0.5</v>
      </c>
      <c r="Z746" s="15" t="s">
        <v>4577</v>
      </c>
      <c r="AA746" s="15" t="s">
        <v>131</v>
      </c>
      <c r="AB746" s="17"/>
      <c r="AC746" s="17"/>
    </row>
    <row r="747" customFormat="false" ht="23.85" hidden="false" customHeight="false" outlineLevel="0" collapsed="false">
      <c r="A747" s="15" t="s">
        <v>4686</v>
      </c>
      <c r="B747" s="15" t="s">
        <v>4687</v>
      </c>
      <c r="C747" s="15" t="s">
        <v>4572</v>
      </c>
      <c r="D747" s="15" t="s">
        <v>94</v>
      </c>
      <c r="E747" s="15"/>
      <c r="F747" s="15"/>
      <c r="G747" s="15" t="s">
        <v>680</v>
      </c>
      <c r="H747" s="15"/>
      <c r="I747" s="15" t="s">
        <v>126</v>
      </c>
      <c r="J747" s="3" t="s">
        <v>4688</v>
      </c>
      <c r="K747" s="15" t="n">
        <f aca="false">LEN(J747)</f>
        <v>63</v>
      </c>
      <c r="L747" s="3" t="s">
        <v>4689</v>
      </c>
      <c r="M747" s="15" t="n">
        <f aca="false">LEN(L747)</f>
        <v>158</v>
      </c>
      <c r="N747" s="3" t="s">
        <v>4690</v>
      </c>
      <c r="O747" s="15"/>
      <c r="P747" s="16"/>
      <c r="Q747" s="15"/>
      <c r="R747" s="15" t="s">
        <v>4691</v>
      </c>
      <c r="S747" s="15" t="n">
        <f aca="false">COUNTIF('Page-Keyword Map'!$A$2:$A$668,B747)</f>
        <v>0</v>
      </c>
      <c r="T747" s="16" t="n">
        <f aca="false">SUMIF('Page-Keyword Map'!$A$2:$A$668,B747,'Page-Keyword Map'!$H$2:$H$668)</f>
        <v>0</v>
      </c>
      <c r="U747" s="15" t="n">
        <f aca="false">COUNTIFS('Page-Keyword Map'!$A$2:$A$668,B747,'Page-Keyword Map'!$E$2:$E$668,"Nationwide")</f>
        <v>0</v>
      </c>
      <c r="V747" s="15" t="n">
        <f aca="false">COUNTIFS('Page-Keyword Map'!$A$2:$A$668,B747,'Page-Keyword Map'!$E$2:$E$668,"Provincial")</f>
        <v>0</v>
      </c>
      <c r="W747" s="15" t="n">
        <f aca="false">COUNTIFS('Page-Keyword Map'!$A$2:$A$668,B747,'Page-Keyword Map'!$E$2:$E$668,"City")</f>
        <v>0</v>
      </c>
      <c r="X747" s="15" t="str">
        <f aca="false">IF(O747="","",IF(ISNUMBER(SEARCH(O747,J747)),"Yes","No"))</f>
        <v/>
      </c>
      <c r="Y747" s="15" t="n">
        <v>0.6</v>
      </c>
      <c r="Z747" s="15" t="s">
        <v>4577</v>
      </c>
      <c r="AA747" s="15" t="s">
        <v>131</v>
      </c>
      <c r="AB747" s="17"/>
      <c r="AC747" s="17"/>
    </row>
    <row r="748" customFormat="false" ht="23.85" hidden="false" customHeight="false" outlineLevel="0" collapsed="false">
      <c r="A748" s="15" t="s">
        <v>4692</v>
      </c>
      <c r="B748" s="15" t="s">
        <v>4693</v>
      </c>
      <c r="C748" s="15" t="s">
        <v>4572</v>
      </c>
      <c r="D748" s="15" t="s">
        <v>94</v>
      </c>
      <c r="E748" s="15"/>
      <c r="F748" s="15"/>
      <c r="G748" s="15" t="s">
        <v>680</v>
      </c>
      <c r="H748" s="15" t="s">
        <v>2190</v>
      </c>
      <c r="I748" s="15" t="s">
        <v>126</v>
      </c>
      <c r="J748" s="3" t="s">
        <v>4694</v>
      </c>
      <c r="K748" s="15" t="n">
        <f aca="false">LEN(J748)</f>
        <v>64</v>
      </c>
      <c r="L748" s="3" t="s">
        <v>4695</v>
      </c>
      <c r="M748" s="15" t="n">
        <f aca="false">LEN(L748)</f>
        <v>154</v>
      </c>
      <c r="N748" s="3" t="s">
        <v>4696</v>
      </c>
      <c r="O748" s="15"/>
      <c r="P748" s="16"/>
      <c r="Q748" s="15"/>
      <c r="R748" s="15" t="s">
        <v>4697</v>
      </c>
      <c r="S748" s="15" t="n">
        <f aca="false">COUNTIF('Page-Keyword Map'!$A$2:$A$668,B748)</f>
        <v>0</v>
      </c>
      <c r="T748" s="16" t="n">
        <f aca="false">SUMIF('Page-Keyword Map'!$A$2:$A$668,B748,'Page-Keyword Map'!$H$2:$H$668)</f>
        <v>0</v>
      </c>
      <c r="U748" s="15" t="n">
        <f aca="false">COUNTIFS('Page-Keyword Map'!$A$2:$A$668,B748,'Page-Keyword Map'!$E$2:$E$668,"Nationwide")</f>
        <v>0</v>
      </c>
      <c r="V748" s="15" t="n">
        <f aca="false">COUNTIFS('Page-Keyword Map'!$A$2:$A$668,B748,'Page-Keyword Map'!$E$2:$E$668,"Provincial")</f>
        <v>0</v>
      </c>
      <c r="W748" s="15" t="n">
        <f aca="false">COUNTIFS('Page-Keyword Map'!$A$2:$A$668,B748,'Page-Keyword Map'!$E$2:$E$668,"City")</f>
        <v>0</v>
      </c>
      <c r="X748" s="15" t="str">
        <f aca="false">IF(O748="","",IF(ISNUMBER(SEARCH(O748,J748)),"Yes","No"))</f>
        <v/>
      </c>
      <c r="Y748" s="15" t="n">
        <v>0.5</v>
      </c>
      <c r="Z748" s="15" t="s">
        <v>4577</v>
      </c>
      <c r="AA748" s="15" t="s">
        <v>131</v>
      </c>
      <c r="AB748" s="17"/>
      <c r="AC748" s="17"/>
    </row>
    <row r="749" customFormat="false" ht="23.85" hidden="false" customHeight="false" outlineLevel="0" collapsed="false">
      <c r="A749" s="15" t="s">
        <v>4698</v>
      </c>
      <c r="B749" s="15" t="s">
        <v>4699</v>
      </c>
      <c r="C749" s="15" t="s">
        <v>4572</v>
      </c>
      <c r="D749" s="15" t="s">
        <v>94</v>
      </c>
      <c r="E749" s="15"/>
      <c r="F749" s="15"/>
      <c r="G749" s="15" t="s">
        <v>680</v>
      </c>
      <c r="H749" s="15" t="s">
        <v>2197</v>
      </c>
      <c r="I749" s="15" t="s">
        <v>126</v>
      </c>
      <c r="J749" s="3" t="s">
        <v>4700</v>
      </c>
      <c r="K749" s="15" t="n">
        <f aca="false">LEN(J749)</f>
        <v>60</v>
      </c>
      <c r="L749" s="3" t="s">
        <v>4701</v>
      </c>
      <c r="M749" s="15" t="n">
        <f aca="false">LEN(L749)</f>
        <v>150</v>
      </c>
      <c r="N749" s="3" t="s">
        <v>4702</v>
      </c>
      <c r="O749" s="15"/>
      <c r="P749" s="16"/>
      <c r="Q749" s="15"/>
      <c r="R749" s="15" t="s">
        <v>4703</v>
      </c>
      <c r="S749" s="15" t="n">
        <f aca="false">COUNTIF('Page-Keyword Map'!$A$2:$A$668,B749)</f>
        <v>0</v>
      </c>
      <c r="T749" s="16" t="n">
        <f aca="false">SUMIF('Page-Keyword Map'!$A$2:$A$668,B749,'Page-Keyword Map'!$H$2:$H$668)</f>
        <v>0</v>
      </c>
      <c r="U749" s="15" t="n">
        <f aca="false">COUNTIFS('Page-Keyword Map'!$A$2:$A$668,B749,'Page-Keyword Map'!$E$2:$E$668,"Nationwide")</f>
        <v>0</v>
      </c>
      <c r="V749" s="15" t="n">
        <f aca="false">COUNTIFS('Page-Keyword Map'!$A$2:$A$668,B749,'Page-Keyword Map'!$E$2:$E$668,"Provincial")</f>
        <v>0</v>
      </c>
      <c r="W749" s="15" t="n">
        <f aca="false">COUNTIFS('Page-Keyword Map'!$A$2:$A$668,B749,'Page-Keyword Map'!$E$2:$E$668,"City")</f>
        <v>0</v>
      </c>
      <c r="X749" s="15" t="str">
        <f aca="false">IF(O749="","",IF(ISNUMBER(SEARCH(O749,J749)),"Yes","No"))</f>
        <v/>
      </c>
      <c r="Y749" s="15" t="n">
        <v>0.5</v>
      </c>
      <c r="Z749" s="15" t="s">
        <v>4577</v>
      </c>
      <c r="AA749" s="15" t="s">
        <v>131</v>
      </c>
      <c r="AB749" s="17"/>
      <c r="AC749" s="17"/>
    </row>
    <row r="750" customFormat="false" ht="23.85" hidden="false" customHeight="false" outlineLevel="0" collapsed="false">
      <c r="A750" s="15" t="s">
        <v>4704</v>
      </c>
      <c r="B750" s="15" t="s">
        <v>4705</v>
      </c>
      <c r="C750" s="15" t="s">
        <v>4572</v>
      </c>
      <c r="D750" s="15" t="s">
        <v>94</v>
      </c>
      <c r="E750" s="15"/>
      <c r="F750" s="15"/>
      <c r="G750" s="15" t="s">
        <v>680</v>
      </c>
      <c r="H750" s="15" t="s">
        <v>2204</v>
      </c>
      <c r="I750" s="15" t="s">
        <v>126</v>
      </c>
      <c r="J750" s="3" t="s">
        <v>4706</v>
      </c>
      <c r="K750" s="15" t="n">
        <f aca="false">LEN(J750)</f>
        <v>63</v>
      </c>
      <c r="L750" s="3" t="s">
        <v>4707</v>
      </c>
      <c r="M750" s="15" t="n">
        <f aca="false">LEN(L750)</f>
        <v>153</v>
      </c>
      <c r="N750" s="3" t="s">
        <v>4708</v>
      </c>
      <c r="O750" s="15"/>
      <c r="P750" s="16"/>
      <c r="Q750" s="15"/>
      <c r="R750" s="15" t="s">
        <v>4709</v>
      </c>
      <c r="S750" s="15" t="n">
        <f aca="false">COUNTIF('Page-Keyword Map'!$A$2:$A$668,B750)</f>
        <v>0</v>
      </c>
      <c r="T750" s="16" t="n">
        <f aca="false">SUMIF('Page-Keyword Map'!$A$2:$A$668,B750,'Page-Keyword Map'!$H$2:$H$668)</f>
        <v>0</v>
      </c>
      <c r="U750" s="15" t="n">
        <f aca="false">COUNTIFS('Page-Keyword Map'!$A$2:$A$668,B750,'Page-Keyword Map'!$E$2:$E$668,"Nationwide")</f>
        <v>0</v>
      </c>
      <c r="V750" s="15" t="n">
        <f aca="false">COUNTIFS('Page-Keyword Map'!$A$2:$A$668,B750,'Page-Keyword Map'!$E$2:$E$668,"Provincial")</f>
        <v>0</v>
      </c>
      <c r="W750" s="15" t="n">
        <f aca="false">COUNTIFS('Page-Keyword Map'!$A$2:$A$668,B750,'Page-Keyword Map'!$E$2:$E$668,"City")</f>
        <v>0</v>
      </c>
      <c r="X750" s="15" t="str">
        <f aca="false">IF(O750="","",IF(ISNUMBER(SEARCH(O750,J750)),"Yes","No"))</f>
        <v/>
      </c>
      <c r="Y750" s="15" t="n">
        <v>0.5</v>
      </c>
      <c r="Z750" s="15" t="s">
        <v>4577</v>
      </c>
      <c r="AA750" s="15" t="s">
        <v>131</v>
      </c>
      <c r="AB750" s="17"/>
      <c r="AC750" s="17"/>
    </row>
    <row r="751" customFormat="false" ht="23.85" hidden="false" customHeight="false" outlineLevel="0" collapsed="false">
      <c r="A751" s="15" t="s">
        <v>4710</v>
      </c>
      <c r="B751" s="15" t="s">
        <v>4711</v>
      </c>
      <c r="C751" s="15" t="s">
        <v>4572</v>
      </c>
      <c r="D751" s="15" t="s">
        <v>94</v>
      </c>
      <c r="E751" s="15"/>
      <c r="F751" s="15"/>
      <c r="G751" s="15" t="s">
        <v>687</v>
      </c>
      <c r="H751" s="15"/>
      <c r="I751" s="15" t="s">
        <v>126</v>
      </c>
      <c r="J751" s="3" t="s">
        <v>4712</v>
      </c>
      <c r="K751" s="15" t="n">
        <f aca="false">LEN(J751)</f>
        <v>75</v>
      </c>
      <c r="L751" s="3" t="s">
        <v>4713</v>
      </c>
      <c r="M751" s="15" t="n">
        <f aca="false">LEN(L751)</f>
        <v>164</v>
      </c>
      <c r="N751" s="3" t="s">
        <v>4714</v>
      </c>
      <c r="O751" s="15"/>
      <c r="P751" s="16"/>
      <c r="Q751" s="15"/>
      <c r="R751" s="15" t="s">
        <v>4715</v>
      </c>
      <c r="S751" s="15" t="n">
        <f aca="false">COUNTIF('Page-Keyword Map'!$A$2:$A$668,B751)</f>
        <v>0</v>
      </c>
      <c r="T751" s="16" t="n">
        <f aca="false">SUMIF('Page-Keyword Map'!$A$2:$A$668,B751,'Page-Keyword Map'!$H$2:$H$668)</f>
        <v>0</v>
      </c>
      <c r="U751" s="15" t="n">
        <f aca="false">COUNTIFS('Page-Keyword Map'!$A$2:$A$668,B751,'Page-Keyword Map'!$E$2:$E$668,"Nationwide")</f>
        <v>0</v>
      </c>
      <c r="V751" s="15" t="n">
        <f aca="false">COUNTIFS('Page-Keyword Map'!$A$2:$A$668,B751,'Page-Keyword Map'!$E$2:$E$668,"Provincial")</f>
        <v>0</v>
      </c>
      <c r="W751" s="15" t="n">
        <f aca="false">COUNTIFS('Page-Keyword Map'!$A$2:$A$668,B751,'Page-Keyword Map'!$E$2:$E$668,"City")</f>
        <v>0</v>
      </c>
      <c r="X751" s="15" t="str">
        <f aca="false">IF(O751="","",IF(ISNUMBER(SEARCH(O751,J751)),"Yes","No"))</f>
        <v/>
      </c>
      <c r="Y751" s="15" t="n">
        <v>0.6</v>
      </c>
      <c r="Z751" s="15" t="s">
        <v>4577</v>
      </c>
      <c r="AA751" s="15" t="s">
        <v>131</v>
      </c>
      <c r="AB751" s="17"/>
      <c r="AC751" s="17"/>
    </row>
    <row r="752" customFormat="false" ht="23.85" hidden="false" customHeight="false" outlineLevel="0" collapsed="false">
      <c r="A752" s="15" t="s">
        <v>4716</v>
      </c>
      <c r="B752" s="15" t="s">
        <v>4717</v>
      </c>
      <c r="C752" s="15" t="s">
        <v>4572</v>
      </c>
      <c r="D752" s="15" t="s">
        <v>94</v>
      </c>
      <c r="E752" s="15"/>
      <c r="F752" s="15"/>
      <c r="G752" s="15" t="s">
        <v>687</v>
      </c>
      <c r="H752" s="15" t="s">
        <v>2211</v>
      </c>
      <c r="I752" s="15" t="s">
        <v>126</v>
      </c>
      <c r="J752" s="3" t="s">
        <v>4718</v>
      </c>
      <c r="K752" s="15" t="n">
        <f aca="false">LEN(J752)</f>
        <v>63</v>
      </c>
      <c r="L752" s="3" t="s">
        <v>4719</v>
      </c>
      <c r="M752" s="15" t="n">
        <f aca="false">LEN(L752)</f>
        <v>165</v>
      </c>
      <c r="N752" s="3" t="s">
        <v>4720</v>
      </c>
      <c r="O752" s="15" t="s">
        <v>4721</v>
      </c>
      <c r="P752" s="16" t="n">
        <v>52</v>
      </c>
      <c r="Q752" s="15" t="s">
        <v>104</v>
      </c>
      <c r="R752" s="15"/>
      <c r="S752" s="15" t="n">
        <f aca="false">COUNTIF('Page-Keyword Map'!$A$2:$A$668,B752)</f>
        <v>1</v>
      </c>
      <c r="T752" s="16" t="n">
        <f aca="false">SUMIF('Page-Keyword Map'!$A$2:$A$668,B752,'Page-Keyword Map'!$H$2:$H$668)</f>
        <v>52</v>
      </c>
      <c r="U752" s="15" t="n">
        <f aca="false">COUNTIFS('Page-Keyword Map'!$A$2:$A$668,B752,'Page-Keyword Map'!$E$2:$E$668,"Nationwide")</f>
        <v>0</v>
      </c>
      <c r="V752" s="15" t="n">
        <f aca="false">COUNTIFS('Page-Keyword Map'!$A$2:$A$668,B752,'Page-Keyword Map'!$E$2:$E$668,"Provincial")</f>
        <v>0</v>
      </c>
      <c r="W752" s="15" t="n">
        <f aca="false">COUNTIFS('Page-Keyword Map'!$A$2:$A$668,B752,'Page-Keyword Map'!$E$2:$E$668,"City")</f>
        <v>1</v>
      </c>
      <c r="X752" s="15" t="str">
        <f aca="false">IF(O752="","",IF(ISNUMBER(SEARCH(O752,J752)),"Yes","No"))</f>
        <v>No</v>
      </c>
      <c r="Y752" s="15" t="n">
        <v>0.5</v>
      </c>
      <c r="Z752" s="15" t="s">
        <v>4577</v>
      </c>
      <c r="AA752" s="15" t="s">
        <v>131</v>
      </c>
      <c r="AB752" s="17"/>
      <c r="AC752" s="17"/>
    </row>
    <row r="753" customFormat="false" ht="23.85" hidden="false" customHeight="false" outlineLevel="0" collapsed="false">
      <c r="A753" s="15" t="s">
        <v>4722</v>
      </c>
      <c r="B753" s="15" t="s">
        <v>4723</v>
      </c>
      <c r="C753" s="15" t="s">
        <v>4572</v>
      </c>
      <c r="D753" s="15" t="s">
        <v>94</v>
      </c>
      <c r="E753" s="15"/>
      <c r="F753" s="15"/>
      <c r="G753" s="15" t="s">
        <v>694</v>
      </c>
      <c r="H753" s="15"/>
      <c r="I753" s="15" t="s">
        <v>126</v>
      </c>
      <c r="J753" s="3" t="s">
        <v>4724</v>
      </c>
      <c r="K753" s="15" t="n">
        <f aca="false">LEN(J753)</f>
        <v>71</v>
      </c>
      <c r="L753" s="3" t="s">
        <v>4725</v>
      </c>
      <c r="M753" s="15" t="n">
        <f aca="false">LEN(L753)</f>
        <v>163</v>
      </c>
      <c r="N753" s="3" t="s">
        <v>4726</v>
      </c>
      <c r="O753" s="15"/>
      <c r="P753" s="16"/>
      <c r="Q753" s="15"/>
      <c r="R753" s="15" t="s">
        <v>4727</v>
      </c>
      <c r="S753" s="15" t="n">
        <f aca="false">COUNTIF('Page-Keyword Map'!$A$2:$A$668,B753)</f>
        <v>0</v>
      </c>
      <c r="T753" s="16" t="n">
        <f aca="false">SUMIF('Page-Keyword Map'!$A$2:$A$668,B753,'Page-Keyword Map'!$H$2:$H$668)</f>
        <v>0</v>
      </c>
      <c r="U753" s="15" t="n">
        <f aca="false">COUNTIFS('Page-Keyword Map'!$A$2:$A$668,B753,'Page-Keyword Map'!$E$2:$E$668,"Nationwide")</f>
        <v>0</v>
      </c>
      <c r="V753" s="15" t="n">
        <f aca="false">COUNTIFS('Page-Keyword Map'!$A$2:$A$668,B753,'Page-Keyword Map'!$E$2:$E$668,"Provincial")</f>
        <v>0</v>
      </c>
      <c r="W753" s="15" t="n">
        <f aca="false">COUNTIFS('Page-Keyword Map'!$A$2:$A$668,B753,'Page-Keyword Map'!$E$2:$E$668,"City")</f>
        <v>0</v>
      </c>
      <c r="X753" s="15" t="str">
        <f aca="false">IF(O753="","",IF(ISNUMBER(SEARCH(O753,J753)),"Yes","No"))</f>
        <v/>
      </c>
      <c r="Y753" s="15" t="n">
        <v>0.6</v>
      </c>
      <c r="Z753" s="15" t="s">
        <v>4577</v>
      </c>
      <c r="AA753" s="15" t="s">
        <v>131</v>
      </c>
      <c r="AB753" s="17"/>
      <c r="AC753" s="17"/>
    </row>
    <row r="754" customFormat="false" ht="23.85" hidden="false" customHeight="false" outlineLevel="0" collapsed="false">
      <c r="A754" s="15" t="s">
        <v>4728</v>
      </c>
      <c r="B754" s="15" t="s">
        <v>4729</v>
      </c>
      <c r="C754" s="15" t="s">
        <v>4572</v>
      </c>
      <c r="D754" s="15" t="s">
        <v>94</v>
      </c>
      <c r="E754" s="15"/>
      <c r="F754" s="15"/>
      <c r="G754" s="15" t="s">
        <v>694</v>
      </c>
      <c r="H754" s="15" t="s">
        <v>2218</v>
      </c>
      <c r="I754" s="15" t="s">
        <v>211</v>
      </c>
      <c r="J754" s="3" t="s">
        <v>4730</v>
      </c>
      <c r="K754" s="15" t="n">
        <f aca="false">LEN(J754)</f>
        <v>64</v>
      </c>
      <c r="L754" s="3" t="s">
        <v>4731</v>
      </c>
      <c r="M754" s="15" t="n">
        <f aca="false">LEN(L754)</f>
        <v>162</v>
      </c>
      <c r="N754" s="3" t="s">
        <v>4732</v>
      </c>
      <c r="O754" s="15"/>
      <c r="P754" s="16"/>
      <c r="Q754" s="15"/>
      <c r="R754" s="15" t="s">
        <v>4733</v>
      </c>
      <c r="S754" s="15" t="n">
        <f aca="false">COUNTIF('Page-Keyword Map'!$A$2:$A$668,B754)</f>
        <v>0</v>
      </c>
      <c r="T754" s="16" t="n">
        <f aca="false">SUMIF('Page-Keyword Map'!$A$2:$A$668,B754,'Page-Keyword Map'!$H$2:$H$668)</f>
        <v>0</v>
      </c>
      <c r="U754" s="15" t="n">
        <f aca="false">COUNTIFS('Page-Keyword Map'!$A$2:$A$668,B754,'Page-Keyword Map'!$E$2:$E$668,"Nationwide")</f>
        <v>0</v>
      </c>
      <c r="V754" s="15" t="n">
        <f aca="false">COUNTIFS('Page-Keyword Map'!$A$2:$A$668,B754,'Page-Keyword Map'!$E$2:$E$668,"Provincial")</f>
        <v>0</v>
      </c>
      <c r="W754" s="15" t="n">
        <f aca="false">COUNTIFS('Page-Keyword Map'!$A$2:$A$668,B754,'Page-Keyword Map'!$E$2:$E$668,"City")</f>
        <v>0</v>
      </c>
      <c r="X754" s="15" t="str">
        <f aca="false">IF(O754="","",IF(ISNUMBER(SEARCH(O754,J754)),"Yes","No"))</f>
        <v/>
      </c>
      <c r="Y754" s="15" t="n">
        <v>0.5</v>
      </c>
      <c r="Z754" s="15" t="s">
        <v>216</v>
      </c>
      <c r="AA754" s="15" t="s">
        <v>217</v>
      </c>
      <c r="AB754" s="17"/>
      <c r="AC754" s="17"/>
    </row>
    <row r="755" customFormat="false" ht="23.85" hidden="false" customHeight="false" outlineLevel="0" collapsed="false">
      <c r="A755" s="15" t="s">
        <v>4734</v>
      </c>
      <c r="B755" s="15" t="s">
        <v>4735</v>
      </c>
      <c r="C755" s="15" t="s">
        <v>4572</v>
      </c>
      <c r="D755" s="15" t="s">
        <v>94</v>
      </c>
      <c r="E755" s="15"/>
      <c r="F755" s="15"/>
      <c r="G755" s="15" t="s">
        <v>701</v>
      </c>
      <c r="H755" s="15"/>
      <c r="I755" s="15" t="s">
        <v>126</v>
      </c>
      <c r="J755" s="3" t="s">
        <v>4736</v>
      </c>
      <c r="K755" s="15" t="n">
        <f aca="false">LEN(J755)</f>
        <v>61</v>
      </c>
      <c r="L755" s="3" t="s">
        <v>4737</v>
      </c>
      <c r="M755" s="15" t="n">
        <f aca="false">LEN(L755)</f>
        <v>159</v>
      </c>
      <c r="N755" s="3" t="s">
        <v>4738</v>
      </c>
      <c r="O755" s="15"/>
      <c r="P755" s="16"/>
      <c r="Q755" s="15"/>
      <c r="R755" s="15" t="s">
        <v>4739</v>
      </c>
      <c r="S755" s="15" t="n">
        <f aca="false">COUNTIF('Page-Keyword Map'!$A$2:$A$668,B755)</f>
        <v>0</v>
      </c>
      <c r="T755" s="16" t="n">
        <f aca="false">SUMIF('Page-Keyword Map'!$A$2:$A$668,B755,'Page-Keyword Map'!$H$2:$H$668)</f>
        <v>0</v>
      </c>
      <c r="U755" s="15" t="n">
        <f aca="false">COUNTIFS('Page-Keyword Map'!$A$2:$A$668,B755,'Page-Keyword Map'!$E$2:$E$668,"Nationwide")</f>
        <v>0</v>
      </c>
      <c r="V755" s="15" t="n">
        <f aca="false">COUNTIFS('Page-Keyword Map'!$A$2:$A$668,B755,'Page-Keyword Map'!$E$2:$E$668,"Provincial")</f>
        <v>0</v>
      </c>
      <c r="W755" s="15" t="n">
        <f aca="false">COUNTIFS('Page-Keyword Map'!$A$2:$A$668,B755,'Page-Keyword Map'!$E$2:$E$668,"City")</f>
        <v>0</v>
      </c>
      <c r="X755" s="15" t="str">
        <f aca="false">IF(O755="","",IF(ISNUMBER(SEARCH(O755,J755)),"Yes","No"))</f>
        <v/>
      </c>
      <c r="Y755" s="15" t="n">
        <v>0.6</v>
      </c>
      <c r="Z755" s="15" t="s">
        <v>4577</v>
      </c>
      <c r="AA755" s="15" t="s">
        <v>131</v>
      </c>
      <c r="AB755" s="17"/>
      <c r="AC755" s="17"/>
    </row>
    <row r="756" customFormat="false" ht="23.85" hidden="false" customHeight="false" outlineLevel="0" collapsed="false">
      <c r="A756" s="15" t="s">
        <v>4740</v>
      </c>
      <c r="B756" s="15" t="s">
        <v>4741</v>
      </c>
      <c r="C756" s="15" t="s">
        <v>4572</v>
      </c>
      <c r="D756" s="15" t="s">
        <v>94</v>
      </c>
      <c r="E756" s="15"/>
      <c r="F756" s="15"/>
      <c r="G756" s="15" t="s">
        <v>701</v>
      </c>
      <c r="H756" s="15" t="s">
        <v>2225</v>
      </c>
      <c r="I756" s="15" t="s">
        <v>126</v>
      </c>
      <c r="J756" s="3" t="s">
        <v>4742</v>
      </c>
      <c r="K756" s="15" t="n">
        <f aca="false">LEN(J756)</f>
        <v>60</v>
      </c>
      <c r="L756" s="3" t="s">
        <v>4743</v>
      </c>
      <c r="M756" s="15" t="n">
        <f aca="false">LEN(L756)</f>
        <v>148</v>
      </c>
      <c r="N756" s="3" t="s">
        <v>4744</v>
      </c>
      <c r="O756" s="15" t="s">
        <v>4745</v>
      </c>
      <c r="P756" s="16" t="n">
        <v>160</v>
      </c>
      <c r="Q756" s="15" t="s">
        <v>104</v>
      </c>
      <c r="R756" s="15"/>
      <c r="S756" s="15" t="n">
        <f aca="false">COUNTIF('Page-Keyword Map'!$A$2:$A$668,B756)</f>
        <v>1</v>
      </c>
      <c r="T756" s="16" t="n">
        <f aca="false">SUMIF('Page-Keyword Map'!$A$2:$A$668,B756,'Page-Keyword Map'!$H$2:$H$668)</f>
        <v>160</v>
      </c>
      <c r="U756" s="15" t="n">
        <f aca="false">COUNTIFS('Page-Keyword Map'!$A$2:$A$668,B756,'Page-Keyword Map'!$E$2:$E$668,"Nationwide")</f>
        <v>0</v>
      </c>
      <c r="V756" s="15" t="n">
        <f aca="false">COUNTIFS('Page-Keyword Map'!$A$2:$A$668,B756,'Page-Keyword Map'!$E$2:$E$668,"Provincial")</f>
        <v>0</v>
      </c>
      <c r="W756" s="15" t="n">
        <f aca="false">COUNTIFS('Page-Keyword Map'!$A$2:$A$668,B756,'Page-Keyword Map'!$E$2:$E$668,"City")</f>
        <v>1</v>
      </c>
      <c r="X756" s="15" t="str">
        <f aca="false">IF(O756="","",IF(ISNUMBER(SEARCH(O756,J756)),"Yes","No"))</f>
        <v>No</v>
      </c>
      <c r="Y756" s="15" t="n">
        <v>0.5</v>
      </c>
      <c r="Z756" s="15" t="s">
        <v>4577</v>
      </c>
      <c r="AA756" s="15" t="s">
        <v>131</v>
      </c>
      <c r="AB756" s="17"/>
      <c r="AC756" s="17"/>
    </row>
    <row r="757" customFormat="false" ht="23.85" hidden="false" customHeight="false" outlineLevel="0" collapsed="false">
      <c r="A757" s="15" t="s">
        <v>4746</v>
      </c>
      <c r="B757" s="15" t="s">
        <v>4747</v>
      </c>
      <c r="C757" s="15" t="s">
        <v>4572</v>
      </c>
      <c r="D757" s="15" t="s">
        <v>94</v>
      </c>
      <c r="E757" s="15"/>
      <c r="F757" s="15"/>
      <c r="G757" s="15" t="s">
        <v>708</v>
      </c>
      <c r="H757" s="15"/>
      <c r="I757" s="15" t="s">
        <v>126</v>
      </c>
      <c r="J757" s="3" t="s">
        <v>4748</v>
      </c>
      <c r="K757" s="15" t="n">
        <f aca="false">LEN(J757)</f>
        <v>57</v>
      </c>
      <c r="L757" s="3" t="s">
        <v>4749</v>
      </c>
      <c r="M757" s="15" t="n">
        <f aca="false">LEN(L757)</f>
        <v>161</v>
      </c>
      <c r="N757" s="3" t="s">
        <v>4750</v>
      </c>
      <c r="O757" s="15"/>
      <c r="P757" s="16"/>
      <c r="Q757" s="15"/>
      <c r="R757" s="15" t="s">
        <v>4751</v>
      </c>
      <c r="S757" s="15" t="n">
        <f aca="false">COUNTIF('Page-Keyword Map'!$A$2:$A$668,B757)</f>
        <v>0</v>
      </c>
      <c r="T757" s="16" t="n">
        <f aca="false">SUMIF('Page-Keyword Map'!$A$2:$A$668,B757,'Page-Keyword Map'!$H$2:$H$668)</f>
        <v>0</v>
      </c>
      <c r="U757" s="15" t="n">
        <f aca="false">COUNTIFS('Page-Keyword Map'!$A$2:$A$668,B757,'Page-Keyword Map'!$E$2:$E$668,"Nationwide")</f>
        <v>0</v>
      </c>
      <c r="V757" s="15" t="n">
        <f aca="false">COUNTIFS('Page-Keyword Map'!$A$2:$A$668,B757,'Page-Keyword Map'!$E$2:$E$668,"Provincial")</f>
        <v>0</v>
      </c>
      <c r="W757" s="15" t="n">
        <f aca="false">COUNTIFS('Page-Keyword Map'!$A$2:$A$668,B757,'Page-Keyword Map'!$E$2:$E$668,"City")</f>
        <v>0</v>
      </c>
      <c r="X757" s="15" t="str">
        <f aca="false">IF(O757="","",IF(ISNUMBER(SEARCH(O757,J757)),"Yes","No"))</f>
        <v/>
      </c>
      <c r="Y757" s="15" t="n">
        <v>0.6</v>
      </c>
      <c r="Z757" s="15" t="s">
        <v>4577</v>
      </c>
      <c r="AA757" s="15" t="s">
        <v>131</v>
      </c>
      <c r="AB757" s="17"/>
      <c r="AC757" s="17"/>
    </row>
    <row r="758" customFormat="false" ht="23.85" hidden="false" customHeight="false" outlineLevel="0" collapsed="false">
      <c r="A758" s="15" t="s">
        <v>4752</v>
      </c>
      <c r="B758" s="15" t="s">
        <v>4753</v>
      </c>
      <c r="C758" s="15" t="s">
        <v>4572</v>
      </c>
      <c r="D758" s="15" t="s">
        <v>94</v>
      </c>
      <c r="E758" s="15"/>
      <c r="F758" s="15"/>
      <c r="G758" s="15" t="s">
        <v>715</v>
      </c>
      <c r="H758" s="15"/>
      <c r="I758" s="15" t="s">
        <v>126</v>
      </c>
      <c r="J758" s="3" t="s">
        <v>4754</v>
      </c>
      <c r="K758" s="15" t="n">
        <f aca="false">LEN(J758)</f>
        <v>57</v>
      </c>
      <c r="L758" s="3" t="s">
        <v>4755</v>
      </c>
      <c r="M758" s="15" t="n">
        <f aca="false">LEN(L758)</f>
        <v>160</v>
      </c>
      <c r="N758" s="3" t="s">
        <v>4756</v>
      </c>
      <c r="O758" s="15"/>
      <c r="P758" s="16"/>
      <c r="Q758" s="15"/>
      <c r="R758" s="15" t="s">
        <v>4757</v>
      </c>
      <c r="S758" s="15" t="n">
        <f aca="false">COUNTIF('Page-Keyword Map'!$A$2:$A$668,B758)</f>
        <v>0</v>
      </c>
      <c r="T758" s="16" t="n">
        <f aca="false">SUMIF('Page-Keyword Map'!$A$2:$A$668,B758,'Page-Keyword Map'!$H$2:$H$668)</f>
        <v>0</v>
      </c>
      <c r="U758" s="15" t="n">
        <f aca="false">COUNTIFS('Page-Keyword Map'!$A$2:$A$668,B758,'Page-Keyword Map'!$E$2:$E$668,"Nationwide")</f>
        <v>0</v>
      </c>
      <c r="V758" s="15" t="n">
        <f aca="false">COUNTIFS('Page-Keyword Map'!$A$2:$A$668,B758,'Page-Keyword Map'!$E$2:$E$668,"Provincial")</f>
        <v>0</v>
      </c>
      <c r="W758" s="15" t="n">
        <f aca="false">COUNTIFS('Page-Keyword Map'!$A$2:$A$668,B758,'Page-Keyword Map'!$E$2:$E$668,"City")</f>
        <v>0</v>
      </c>
      <c r="X758" s="15" t="str">
        <f aca="false">IF(O758="","",IF(ISNUMBER(SEARCH(O758,J758)),"Yes","No"))</f>
        <v/>
      </c>
      <c r="Y758" s="15" t="n">
        <v>0.6</v>
      </c>
      <c r="Z758" s="15" t="s">
        <v>4577</v>
      </c>
      <c r="AA758" s="15" t="s">
        <v>131</v>
      </c>
      <c r="AB758" s="17"/>
      <c r="AC758" s="17"/>
    </row>
    <row r="759" customFormat="false" ht="23.85" hidden="false" customHeight="false" outlineLevel="0" collapsed="false">
      <c r="A759" s="15" t="s">
        <v>4758</v>
      </c>
      <c r="B759" s="15" t="s">
        <v>4759</v>
      </c>
      <c r="C759" s="15" t="s">
        <v>4572</v>
      </c>
      <c r="D759" s="15" t="s">
        <v>94</v>
      </c>
      <c r="E759" s="15"/>
      <c r="F759" s="15"/>
      <c r="G759" s="15" t="s">
        <v>715</v>
      </c>
      <c r="H759" s="15" t="s">
        <v>2232</v>
      </c>
      <c r="I759" s="15" t="s">
        <v>211</v>
      </c>
      <c r="J759" s="3" t="s">
        <v>4760</v>
      </c>
      <c r="K759" s="15" t="n">
        <f aca="false">LEN(J759)</f>
        <v>57</v>
      </c>
      <c r="L759" s="3" t="s">
        <v>4761</v>
      </c>
      <c r="M759" s="15" t="n">
        <f aca="false">LEN(L759)</f>
        <v>141</v>
      </c>
      <c r="N759" s="3" t="s">
        <v>4762</v>
      </c>
      <c r="O759" s="15"/>
      <c r="P759" s="16"/>
      <c r="Q759" s="15"/>
      <c r="R759" s="15" t="s">
        <v>4763</v>
      </c>
      <c r="S759" s="15" t="n">
        <f aca="false">COUNTIF('Page-Keyword Map'!$A$2:$A$668,B759)</f>
        <v>0</v>
      </c>
      <c r="T759" s="16" t="n">
        <f aca="false">SUMIF('Page-Keyword Map'!$A$2:$A$668,B759,'Page-Keyword Map'!$H$2:$H$668)</f>
        <v>0</v>
      </c>
      <c r="U759" s="15" t="n">
        <f aca="false">COUNTIFS('Page-Keyword Map'!$A$2:$A$668,B759,'Page-Keyword Map'!$E$2:$E$668,"Nationwide")</f>
        <v>0</v>
      </c>
      <c r="V759" s="15" t="n">
        <f aca="false">COUNTIFS('Page-Keyword Map'!$A$2:$A$668,B759,'Page-Keyword Map'!$E$2:$E$668,"Provincial")</f>
        <v>0</v>
      </c>
      <c r="W759" s="15" t="n">
        <f aca="false">COUNTIFS('Page-Keyword Map'!$A$2:$A$668,B759,'Page-Keyword Map'!$E$2:$E$668,"City")</f>
        <v>0</v>
      </c>
      <c r="X759" s="15" t="str">
        <f aca="false">IF(O759="","",IF(ISNUMBER(SEARCH(O759,J759)),"Yes","No"))</f>
        <v/>
      </c>
      <c r="Y759" s="15" t="n">
        <v>0.5</v>
      </c>
      <c r="Z759" s="15" t="s">
        <v>216</v>
      </c>
      <c r="AA759" s="15" t="s">
        <v>217</v>
      </c>
      <c r="AB759" s="17"/>
      <c r="AC759" s="17"/>
    </row>
    <row r="760" customFormat="false" ht="23.85" hidden="false" customHeight="false" outlineLevel="0" collapsed="false">
      <c r="A760" s="15" t="s">
        <v>4764</v>
      </c>
      <c r="B760" s="15" t="s">
        <v>4765</v>
      </c>
      <c r="C760" s="15" t="s">
        <v>4572</v>
      </c>
      <c r="D760" s="15" t="s">
        <v>94</v>
      </c>
      <c r="E760" s="15"/>
      <c r="F760" s="15"/>
      <c r="G760" s="15" t="s">
        <v>715</v>
      </c>
      <c r="H760" s="15" t="s">
        <v>2239</v>
      </c>
      <c r="I760" s="15" t="s">
        <v>126</v>
      </c>
      <c r="J760" s="3" t="s">
        <v>4766</v>
      </c>
      <c r="K760" s="15" t="n">
        <f aca="false">LEN(J760)</f>
        <v>59</v>
      </c>
      <c r="L760" s="3" t="s">
        <v>4767</v>
      </c>
      <c r="M760" s="15" t="n">
        <f aca="false">LEN(L760)</f>
        <v>143</v>
      </c>
      <c r="N760" s="3" t="s">
        <v>4768</v>
      </c>
      <c r="O760" s="15"/>
      <c r="P760" s="16"/>
      <c r="Q760" s="15"/>
      <c r="R760" s="15" t="s">
        <v>4769</v>
      </c>
      <c r="S760" s="15" t="n">
        <f aca="false">COUNTIF('Page-Keyword Map'!$A$2:$A$668,B760)</f>
        <v>0</v>
      </c>
      <c r="T760" s="16" t="n">
        <f aca="false">SUMIF('Page-Keyword Map'!$A$2:$A$668,B760,'Page-Keyword Map'!$H$2:$H$668)</f>
        <v>0</v>
      </c>
      <c r="U760" s="15" t="n">
        <f aca="false">COUNTIFS('Page-Keyword Map'!$A$2:$A$668,B760,'Page-Keyword Map'!$E$2:$E$668,"Nationwide")</f>
        <v>0</v>
      </c>
      <c r="V760" s="15" t="n">
        <f aca="false">COUNTIFS('Page-Keyword Map'!$A$2:$A$668,B760,'Page-Keyword Map'!$E$2:$E$668,"Provincial")</f>
        <v>0</v>
      </c>
      <c r="W760" s="15" t="n">
        <f aca="false">COUNTIFS('Page-Keyword Map'!$A$2:$A$668,B760,'Page-Keyword Map'!$E$2:$E$668,"City")</f>
        <v>0</v>
      </c>
      <c r="X760" s="15" t="str">
        <f aca="false">IF(O760="","",IF(ISNUMBER(SEARCH(O760,J760)),"Yes","No"))</f>
        <v/>
      </c>
      <c r="Y760" s="15" t="n">
        <v>0.5</v>
      </c>
      <c r="Z760" s="15" t="s">
        <v>4577</v>
      </c>
      <c r="AA760" s="15" t="s">
        <v>131</v>
      </c>
      <c r="AB760" s="17"/>
      <c r="AC760" s="17"/>
    </row>
    <row r="761" customFormat="false" ht="23.85" hidden="false" customHeight="false" outlineLevel="0" collapsed="false">
      <c r="A761" s="15" t="s">
        <v>4770</v>
      </c>
      <c r="B761" s="15" t="s">
        <v>4771</v>
      </c>
      <c r="C761" s="15" t="s">
        <v>4572</v>
      </c>
      <c r="D761" s="15" t="s">
        <v>94</v>
      </c>
      <c r="E761" s="15"/>
      <c r="F761" s="15"/>
      <c r="G761" s="15" t="s">
        <v>715</v>
      </c>
      <c r="H761" s="15" t="s">
        <v>2246</v>
      </c>
      <c r="I761" s="15" t="s">
        <v>126</v>
      </c>
      <c r="J761" s="3" t="s">
        <v>4772</v>
      </c>
      <c r="K761" s="15" t="n">
        <f aca="false">LEN(J761)</f>
        <v>61</v>
      </c>
      <c r="L761" s="3" t="s">
        <v>4773</v>
      </c>
      <c r="M761" s="15" t="n">
        <f aca="false">LEN(L761)</f>
        <v>145</v>
      </c>
      <c r="N761" s="3" t="s">
        <v>4774</v>
      </c>
      <c r="O761" s="15" t="s">
        <v>4775</v>
      </c>
      <c r="P761" s="16" t="n">
        <v>210</v>
      </c>
      <c r="Q761" s="15" t="s">
        <v>104</v>
      </c>
      <c r="R761" s="15"/>
      <c r="S761" s="15" t="n">
        <f aca="false">COUNTIF('Page-Keyword Map'!$A$2:$A$668,B761)</f>
        <v>1</v>
      </c>
      <c r="T761" s="16" t="n">
        <f aca="false">SUMIF('Page-Keyword Map'!$A$2:$A$668,B761,'Page-Keyword Map'!$H$2:$H$668)</f>
        <v>210</v>
      </c>
      <c r="U761" s="15" t="n">
        <f aca="false">COUNTIFS('Page-Keyword Map'!$A$2:$A$668,B761,'Page-Keyword Map'!$E$2:$E$668,"Nationwide")</f>
        <v>0</v>
      </c>
      <c r="V761" s="15" t="n">
        <f aca="false">COUNTIFS('Page-Keyword Map'!$A$2:$A$668,B761,'Page-Keyword Map'!$E$2:$E$668,"Provincial")</f>
        <v>0</v>
      </c>
      <c r="W761" s="15" t="n">
        <f aca="false">COUNTIFS('Page-Keyword Map'!$A$2:$A$668,B761,'Page-Keyword Map'!$E$2:$E$668,"City")</f>
        <v>1</v>
      </c>
      <c r="X761" s="15" t="str">
        <f aca="false">IF(O761="","",IF(ISNUMBER(SEARCH(O761,J761)),"Yes","No"))</f>
        <v>No</v>
      </c>
      <c r="Y761" s="15" t="n">
        <v>0.5</v>
      </c>
      <c r="Z761" s="15" t="s">
        <v>4577</v>
      </c>
      <c r="AA761" s="15" t="s">
        <v>131</v>
      </c>
      <c r="AB761" s="17"/>
      <c r="AC761" s="17"/>
    </row>
    <row r="762" customFormat="false" ht="23.85" hidden="false" customHeight="false" outlineLevel="0" collapsed="false">
      <c r="A762" s="15" t="s">
        <v>4776</v>
      </c>
      <c r="B762" s="15" t="s">
        <v>4777</v>
      </c>
      <c r="C762" s="15" t="s">
        <v>4572</v>
      </c>
      <c r="D762" s="15" t="s">
        <v>94</v>
      </c>
      <c r="E762" s="15"/>
      <c r="F762" s="15"/>
      <c r="G762" s="15" t="s">
        <v>715</v>
      </c>
      <c r="H762" s="15" t="s">
        <v>2253</v>
      </c>
      <c r="I762" s="15" t="s">
        <v>126</v>
      </c>
      <c r="J762" s="3" t="s">
        <v>4778</v>
      </c>
      <c r="K762" s="15" t="n">
        <f aca="false">LEN(J762)</f>
        <v>63</v>
      </c>
      <c r="L762" s="3" t="s">
        <v>4779</v>
      </c>
      <c r="M762" s="15" t="n">
        <f aca="false">LEN(L762)</f>
        <v>147</v>
      </c>
      <c r="N762" s="3" t="s">
        <v>4780</v>
      </c>
      <c r="O762" s="15"/>
      <c r="P762" s="16"/>
      <c r="Q762" s="15"/>
      <c r="R762" s="15" t="s">
        <v>4781</v>
      </c>
      <c r="S762" s="15" t="n">
        <f aca="false">COUNTIF('Page-Keyword Map'!$A$2:$A$668,B762)</f>
        <v>0</v>
      </c>
      <c r="T762" s="16" t="n">
        <f aca="false">SUMIF('Page-Keyword Map'!$A$2:$A$668,B762,'Page-Keyword Map'!$H$2:$H$668)</f>
        <v>0</v>
      </c>
      <c r="U762" s="15" t="n">
        <f aca="false">COUNTIFS('Page-Keyword Map'!$A$2:$A$668,B762,'Page-Keyword Map'!$E$2:$E$668,"Nationwide")</f>
        <v>0</v>
      </c>
      <c r="V762" s="15" t="n">
        <f aca="false">COUNTIFS('Page-Keyword Map'!$A$2:$A$668,B762,'Page-Keyword Map'!$E$2:$E$668,"Provincial")</f>
        <v>0</v>
      </c>
      <c r="W762" s="15" t="n">
        <f aca="false">COUNTIFS('Page-Keyword Map'!$A$2:$A$668,B762,'Page-Keyword Map'!$E$2:$E$668,"City")</f>
        <v>0</v>
      </c>
      <c r="X762" s="15" t="str">
        <f aca="false">IF(O762="","",IF(ISNUMBER(SEARCH(O762,J762)),"Yes","No"))</f>
        <v/>
      </c>
      <c r="Y762" s="15" t="n">
        <v>0.5</v>
      </c>
      <c r="Z762" s="15" t="s">
        <v>4577</v>
      </c>
      <c r="AA762" s="15" t="s">
        <v>131</v>
      </c>
      <c r="AB762" s="17"/>
      <c r="AC762" s="17"/>
    </row>
    <row r="763" customFormat="false" ht="23.85" hidden="false" customHeight="false" outlineLevel="0" collapsed="false">
      <c r="A763" s="15" t="s">
        <v>4782</v>
      </c>
      <c r="B763" s="15" t="s">
        <v>4783</v>
      </c>
      <c r="C763" s="15" t="s">
        <v>4572</v>
      </c>
      <c r="D763" s="15" t="s">
        <v>94</v>
      </c>
      <c r="E763" s="15"/>
      <c r="F763" s="15"/>
      <c r="G763" s="15" t="s">
        <v>715</v>
      </c>
      <c r="H763" s="15" t="s">
        <v>2260</v>
      </c>
      <c r="I763" s="15" t="s">
        <v>211</v>
      </c>
      <c r="J763" s="3" t="s">
        <v>4784</v>
      </c>
      <c r="K763" s="15" t="n">
        <f aca="false">LEN(J763)</f>
        <v>62</v>
      </c>
      <c r="L763" s="3" t="s">
        <v>4785</v>
      </c>
      <c r="M763" s="15" t="n">
        <f aca="false">LEN(L763)</f>
        <v>146</v>
      </c>
      <c r="N763" s="3" t="s">
        <v>4786</v>
      </c>
      <c r="O763" s="15"/>
      <c r="P763" s="16"/>
      <c r="Q763" s="15"/>
      <c r="R763" s="15" t="s">
        <v>4787</v>
      </c>
      <c r="S763" s="15" t="n">
        <f aca="false">COUNTIF('Page-Keyword Map'!$A$2:$A$668,B763)</f>
        <v>0</v>
      </c>
      <c r="T763" s="16" t="n">
        <f aca="false">SUMIF('Page-Keyword Map'!$A$2:$A$668,B763,'Page-Keyword Map'!$H$2:$H$668)</f>
        <v>0</v>
      </c>
      <c r="U763" s="15" t="n">
        <f aca="false">COUNTIFS('Page-Keyword Map'!$A$2:$A$668,B763,'Page-Keyword Map'!$E$2:$E$668,"Nationwide")</f>
        <v>0</v>
      </c>
      <c r="V763" s="15" t="n">
        <f aca="false">COUNTIFS('Page-Keyword Map'!$A$2:$A$668,B763,'Page-Keyword Map'!$E$2:$E$668,"Provincial")</f>
        <v>0</v>
      </c>
      <c r="W763" s="15" t="n">
        <f aca="false">COUNTIFS('Page-Keyword Map'!$A$2:$A$668,B763,'Page-Keyword Map'!$E$2:$E$668,"City")</f>
        <v>0</v>
      </c>
      <c r="X763" s="15" t="str">
        <f aca="false">IF(O763="","",IF(ISNUMBER(SEARCH(O763,J763)),"Yes","No"))</f>
        <v/>
      </c>
      <c r="Y763" s="15" t="n">
        <v>0.5</v>
      </c>
      <c r="Z763" s="15" t="s">
        <v>216</v>
      </c>
      <c r="AA763" s="15" t="s">
        <v>217</v>
      </c>
      <c r="AB763" s="17"/>
      <c r="AC763" s="17"/>
    </row>
    <row r="764" customFormat="false" ht="23.85" hidden="false" customHeight="false" outlineLevel="0" collapsed="false">
      <c r="A764" s="15" t="s">
        <v>4788</v>
      </c>
      <c r="B764" s="15" t="s">
        <v>4789</v>
      </c>
      <c r="C764" s="15" t="s">
        <v>4572</v>
      </c>
      <c r="D764" s="15" t="s">
        <v>94</v>
      </c>
      <c r="E764" s="15"/>
      <c r="F764" s="15"/>
      <c r="G764" s="15" t="s">
        <v>715</v>
      </c>
      <c r="H764" s="15" t="s">
        <v>2267</v>
      </c>
      <c r="I764" s="15" t="s">
        <v>126</v>
      </c>
      <c r="J764" s="3" t="s">
        <v>4790</v>
      </c>
      <c r="K764" s="15" t="n">
        <f aca="false">LEN(J764)</f>
        <v>59</v>
      </c>
      <c r="L764" s="3" t="s">
        <v>4791</v>
      </c>
      <c r="M764" s="15" t="n">
        <f aca="false">LEN(L764)</f>
        <v>143</v>
      </c>
      <c r="N764" s="3" t="s">
        <v>4792</v>
      </c>
      <c r="O764" s="15"/>
      <c r="P764" s="16"/>
      <c r="Q764" s="15"/>
      <c r="R764" s="15" t="s">
        <v>4793</v>
      </c>
      <c r="S764" s="15" t="n">
        <f aca="false">COUNTIF('Page-Keyword Map'!$A$2:$A$668,B764)</f>
        <v>0</v>
      </c>
      <c r="T764" s="16" t="n">
        <f aca="false">SUMIF('Page-Keyword Map'!$A$2:$A$668,B764,'Page-Keyword Map'!$H$2:$H$668)</f>
        <v>0</v>
      </c>
      <c r="U764" s="15" t="n">
        <f aca="false">COUNTIFS('Page-Keyword Map'!$A$2:$A$668,B764,'Page-Keyword Map'!$E$2:$E$668,"Nationwide")</f>
        <v>0</v>
      </c>
      <c r="V764" s="15" t="n">
        <f aca="false">COUNTIFS('Page-Keyword Map'!$A$2:$A$668,B764,'Page-Keyword Map'!$E$2:$E$668,"Provincial")</f>
        <v>0</v>
      </c>
      <c r="W764" s="15" t="n">
        <f aca="false">COUNTIFS('Page-Keyword Map'!$A$2:$A$668,B764,'Page-Keyword Map'!$E$2:$E$668,"City")</f>
        <v>0</v>
      </c>
      <c r="X764" s="15" t="str">
        <f aca="false">IF(O764="","",IF(ISNUMBER(SEARCH(O764,J764)),"Yes","No"))</f>
        <v/>
      </c>
      <c r="Y764" s="15" t="n">
        <v>0.5</v>
      </c>
      <c r="Z764" s="15" t="s">
        <v>4577</v>
      </c>
      <c r="AA764" s="15" t="s">
        <v>131</v>
      </c>
      <c r="AB764" s="17"/>
      <c r="AC764" s="17"/>
    </row>
    <row r="765" customFormat="false" ht="23.85" hidden="false" customHeight="false" outlineLevel="0" collapsed="false">
      <c r="A765" s="15" t="s">
        <v>4794</v>
      </c>
      <c r="B765" s="15" t="s">
        <v>4795</v>
      </c>
      <c r="C765" s="15" t="s">
        <v>4572</v>
      </c>
      <c r="D765" s="15" t="s">
        <v>94</v>
      </c>
      <c r="E765" s="15"/>
      <c r="F765" s="15"/>
      <c r="G765" s="15" t="s">
        <v>715</v>
      </c>
      <c r="H765" s="15" t="s">
        <v>2274</v>
      </c>
      <c r="I765" s="15" t="s">
        <v>126</v>
      </c>
      <c r="J765" s="3" t="s">
        <v>4796</v>
      </c>
      <c r="K765" s="15" t="n">
        <f aca="false">LEN(J765)</f>
        <v>61</v>
      </c>
      <c r="L765" s="3" t="s">
        <v>4797</v>
      </c>
      <c r="M765" s="15" t="n">
        <f aca="false">LEN(L765)</f>
        <v>145</v>
      </c>
      <c r="N765" s="3" t="s">
        <v>4798</v>
      </c>
      <c r="O765" s="15" t="s">
        <v>4799</v>
      </c>
      <c r="P765" s="16" t="n">
        <v>190</v>
      </c>
      <c r="Q765" s="15" t="s">
        <v>104</v>
      </c>
      <c r="R765" s="15"/>
      <c r="S765" s="15" t="n">
        <f aca="false">COUNTIF('Page-Keyword Map'!$A$2:$A$668,B765)</f>
        <v>1</v>
      </c>
      <c r="T765" s="16" t="n">
        <f aca="false">SUMIF('Page-Keyword Map'!$A$2:$A$668,B765,'Page-Keyword Map'!$H$2:$H$668)</f>
        <v>190</v>
      </c>
      <c r="U765" s="15" t="n">
        <f aca="false">COUNTIFS('Page-Keyword Map'!$A$2:$A$668,B765,'Page-Keyword Map'!$E$2:$E$668,"Nationwide")</f>
        <v>0</v>
      </c>
      <c r="V765" s="15" t="n">
        <f aca="false">COUNTIFS('Page-Keyword Map'!$A$2:$A$668,B765,'Page-Keyword Map'!$E$2:$E$668,"Provincial")</f>
        <v>0</v>
      </c>
      <c r="W765" s="15" t="n">
        <f aca="false">COUNTIFS('Page-Keyword Map'!$A$2:$A$668,B765,'Page-Keyword Map'!$E$2:$E$668,"City")</f>
        <v>1</v>
      </c>
      <c r="X765" s="15" t="str">
        <f aca="false">IF(O765="","",IF(ISNUMBER(SEARCH(O765,J765)),"Yes","No"))</f>
        <v>No</v>
      </c>
      <c r="Y765" s="15" t="n">
        <v>0.5</v>
      </c>
      <c r="Z765" s="15" t="s">
        <v>4577</v>
      </c>
      <c r="AA765" s="15" t="s">
        <v>131</v>
      </c>
      <c r="AB765" s="17"/>
      <c r="AC765" s="17"/>
    </row>
    <row r="766" customFormat="false" ht="23.85" hidden="false" customHeight="false" outlineLevel="0" collapsed="false">
      <c r="A766" s="15" t="s">
        <v>4800</v>
      </c>
      <c r="B766" s="15" t="s">
        <v>4801</v>
      </c>
      <c r="C766" s="15" t="s">
        <v>4572</v>
      </c>
      <c r="D766" s="15" t="s">
        <v>94</v>
      </c>
      <c r="E766" s="15"/>
      <c r="F766" s="15"/>
      <c r="G766" s="15" t="s">
        <v>715</v>
      </c>
      <c r="H766" s="15" t="s">
        <v>2281</v>
      </c>
      <c r="I766" s="15" t="s">
        <v>126</v>
      </c>
      <c r="J766" s="3" t="s">
        <v>4802</v>
      </c>
      <c r="K766" s="15" t="n">
        <f aca="false">LEN(J766)</f>
        <v>61</v>
      </c>
      <c r="L766" s="3" t="s">
        <v>4803</v>
      </c>
      <c r="M766" s="15" t="n">
        <f aca="false">LEN(L766)</f>
        <v>145</v>
      </c>
      <c r="N766" s="3" t="s">
        <v>4804</v>
      </c>
      <c r="O766" s="15"/>
      <c r="P766" s="16"/>
      <c r="Q766" s="15"/>
      <c r="R766" s="15" t="s">
        <v>4805</v>
      </c>
      <c r="S766" s="15" t="n">
        <f aca="false">COUNTIF('Page-Keyword Map'!$A$2:$A$668,B766)</f>
        <v>0</v>
      </c>
      <c r="T766" s="16" t="n">
        <f aca="false">SUMIF('Page-Keyword Map'!$A$2:$A$668,B766,'Page-Keyword Map'!$H$2:$H$668)</f>
        <v>0</v>
      </c>
      <c r="U766" s="15" t="n">
        <f aca="false">COUNTIFS('Page-Keyword Map'!$A$2:$A$668,B766,'Page-Keyword Map'!$E$2:$E$668,"Nationwide")</f>
        <v>0</v>
      </c>
      <c r="V766" s="15" t="n">
        <f aca="false">COUNTIFS('Page-Keyword Map'!$A$2:$A$668,B766,'Page-Keyword Map'!$E$2:$E$668,"Provincial")</f>
        <v>0</v>
      </c>
      <c r="W766" s="15" t="n">
        <f aca="false">COUNTIFS('Page-Keyword Map'!$A$2:$A$668,B766,'Page-Keyword Map'!$E$2:$E$668,"City")</f>
        <v>0</v>
      </c>
      <c r="X766" s="15" t="str">
        <f aca="false">IF(O766="","",IF(ISNUMBER(SEARCH(O766,J766)),"Yes","No"))</f>
        <v/>
      </c>
      <c r="Y766" s="15" t="n">
        <v>0.5</v>
      </c>
      <c r="Z766" s="15" t="s">
        <v>4577</v>
      </c>
      <c r="AA766" s="15" t="s">
        <v>131</v>
      </c>
      <c r="AB766" s="17"/>
      <c r="AC766" s="17"/>
    </row>
    <row r="767" customFormat="false" ht="23.85" hidden="false" customHeight="false" outlineLevel="0" collapsed="false">
      <c r="A767" s="15" t="s">
        <v>4806</v>
      </c>
      <c r="B767" s="15" t="s">
        <v>4807</v>
      </c>
      <c r="C767" s="15" t="s">
        <v>4572</v>
      </c>
      <c r="D767" s="15" t="s">
        <v>94</v>
      </c>
      <c r="E767" s="15"/>
      <c r="F767" s="15"/>
      <c r="G767" s="15" t="s">
        <v>715</v>
      </c>
      <c r="H767" s="15" t="s">
        <v>2288</v>
      </c>
      <c r="I767" s="15" t="s">
        <v>126</v>
      </c>
      <c r="J767" s="3" t="s">
        <v>4808</v>
      </c>
      <c r="K767" s="15" t="n">
        <f aca="false">LEN(J767)</f>
        <v>62</v>
      </c>
      <c r="L767" s="3" t="s">
        <v>4809</v>
      </c>
      <c r="M767" s="15" t="n">
        <f aca="false">LEN(L767)</f>
        <v>146</v>
      </c>
      <c r="N767" s="3" t="s">
        <v>4810</v>
      </c>
      <c r="O767" s="15" t="s">
        <v>4811</v>
      </c>
      <c r="P767" s="16" t="n">
        <v>100</v>
      </c>
      <c r="Q767" s="15" t="s">
        <v>104</v>
      </c>
      <c r="R767" s="15"/>
      <c r="S767" s="15" t="n">
        <f aca="false">COUNTIF('Page-Keyword Map'!$A$2:$A$668,B767)</f>
        <v>1</v>
      </c>
      <c r="T767" s="16" t="n">
        <f aca="false">SUMIF('Page-Keyword Map'!$A$2:$A$668,B767,'Page-Keyword Map'!$H$2:$H$668)</f>
        <v>100</v>
      </c>
      <c r="U767" s="15" t="n">
        <f aca="false">COUNTIFS('Page-Keyword Map'!$A$2:$A$668,B767,'Page-Keyword Map'!$E$2:$E$668,"Nationwide")</f>
        <v>0</v>
      </c>
      <c r="V767" s="15" t="n">
        <f aca="false">COUNTIFS('Page-Keyword Map'!$A$2:$A$668,B767,'Page-Keyword Map'!$E$2:$E$668,"Provincial")</f>
        <v>0</v>
      </c>
      <c r="W767" s="15" t="n">
        <f aca="false">COUNTIFS('Page-Keyword Map'!$A$2:$A$668,B767,'Page-Keyword Map'!$E$2:$E$668,"City")</f>
        <v>1</v>
      </c>
      <c r="X767" s="15" t="str">
        <f aca="false">IF(O767="","",IF(ISNUMBER(SEARCH(O767,J767)),"Yes","No"))</f>
        <v>No</v>
      </c>
      <c r="Y767" s="15" t="n">
        <v>0.5</v>
      </c>
      <c r="Z767" s="15" t="s">
        <v>4577</v>
      </c>
      <c r="AA767" s="15" t="s">
        <v>131</v>
      </c>
      <c r="AB767" s="17"/>
      <c r="AC767" s="17"/>
    </row>
    <row r="768" customFormat="false" ht="23.85" hidden="false" customHeight="false" outlineLevel="0" collapsed="false">
      <c r="A768" s="15" t="s">
        <v>4812</v>
      </c>
      <c r="B768" s="15" t="s">
        <v>4813</v>
      </c>
      <c r="C768" s="15" t="s">
        <v>4572</v>
      </c>
      <c r="D768" s="15" t="s">
        <v>94</v>
      </c>
      <c r="E768" s="15"/>
      <c r="F768" s="15"/>
      <c r="G768" s="15" t="s">
        <v>715</v>
      </c>
      <c r="H768" s="15" t="s">
        <v>2295</v>
      </c>
      <c r="I768" s="15" t="s">
        <v>126</v>
      </c>
      <c r="J768" s="3" t="s">
        <v>4814</v>
      </c>
      <c r="K768" s="15" t="n">
        <f aca="false">LEN(J768)</f>
        <v>59</v>
      </c>
      <c r="L768" s="3" t="s">
        <v>4815</v>
      </c>
      <c r="M768" s="15" t="n">
        <f aca="false">LEN(L768)</f>
        <v>143</v>
      </c>
      <c r="N768" s="3" t="s">
        <v>4816</v>
      </c>
      <c r="O768" s="15" t="s">
        <v>4817</v>
      </c>
      <c r="P768" s="16" t="n">
        <v>150</v>
      </c>
      <c r="Q768" s="15" t="s">
        <v>104</v>
      </c>
      <c r="R768" s="15"/>
      <c r="S768" s="15" t="n">
        <f aca="false">COUNTIF('Page-Keyword Map'!$A$2:$A$668,B768)</f>
        <v>1</v>
      </c>
      <c r="T768" s="16" t="n">
        <f aca="false">SUMIF('Page-Keyword Map'!$A$2:$A$668,B768,'Page-Keyword Map'!$H$2:$H$668)</f>
        <v>150</v>
      </c>
      <c r="U768" s="15" t="n">
        <f aca="false">COUNTIFS('Page-Keyword Map'!$A$2:$A$668,B768,'Page-Keyword Map'!$E$2:$E$668,"Nationwide")</f>
        <v>0</v>
      </c>
      <c r="V768" s="15" t="n">
        <f aca="false">COUNTIFS('Page-Keyword Map'!$A$2:$A$668,B768,'Page-Keyword Map'!$E$2:$E$668,"Provincial")</f>
        <v>0</v>
      </c>
      <c r="W768" s="15" t="n">
        <f aca="false">COUNTIFS('Page-Keyword Map'!$A$2:$A$668,B768,'Page-Keyword Map'!$E$2:$E$668,"City")</f>
        <v>1</v>
      </c>
      <c r="X768" s="15" t="str">
        <f aca="false">IF(O768="","",IF(ISNUMBER(SEARCH(O768,J768)),"Yes","No"))</f>
        <v>No</v>
      </c>
      <c r="Y768" s="15" t="n">
        <v>0.5</v>
      </c>
      <c r="Z768" s="15" t="s">
        <v>4577</v>
      </c>
      <c r="AA768" s="15" t="s">
        <v>131</v>
      </c>
      <c r="AB768" s="17"/>
      <c r="AC768" s="17"/>
    </row>
    <row r="769" customFormat="false" ht="23.85" hidden="false" customHeight="false" outlineLevel="0" collapsed="false">
      <c r="A769" s="15" t="s">
        <v>4818</v>
      </c>
      <c r="B769" s="15" t="s">
        <v>4819</v>
      </c>
      <c r="C769" s="15" t="s">
        <v>4572</v>
      </c>
      <c r="D769" s="15" t="s">
        <v>94</v>
      </c>
      <c r="E769" s="15"/>
      <c r="F769" s="15"/>
      <c r="G769" s="15" t="s">
        <v>715</v>
      </c>
      <c r="H769" s="15" t="s">
        <v>2302</v>
      </c>
      <c r="I769" s="15" t="s">
        <v>126</v>
      </c>
      <c r="J769" s="3" t="s">
        <v>4820</v>
      </c>
      <c r="K769" s="15" t="n">
        <f aca="false">LEN(J769)</f>
        <v>60</v>
      </c>
      <c r="L769" s="3" t="s">
        <v>4821</v>
      </c>
      <c r="M769" s="15" t="n">
        <f aca="false">LEN(L769)</f>
        <v>144</v>
      </c>
      <c r="N769" s="3" t="s">
        <v>4822</v>
      </c>
      <c r="O769" s="15" t="s">
        <v>4823</v>
      </c>
      <c r="P769" s="16" t="n">
        <v>130</v>
      </c>
      <c r="Q769" s="15" t="s">
        <v>104</v>
      </c>
      <c r="R769" s="15"/>
      <c r="S769" s="15" t="n">
        <f aca="false">COUNTIF('Page-Keyword Map'!$A$2:$A$668,B769)</f>
        <v>1</v>
      </c>
      <c r="T769" s="16" t="n">
        <f aca="false">SUMIF('Page-Keyword Map'!$A$2:$A$668,B769,'Page-Keyword Map'!$H$2:$H$668)</f>
        <v>130</v>
      </c>
      <c r="U769" s="15" t="n">
        <f aca="false">COUNTIFS('Page-Keyword Map'!$A$2:$A$668,B769,'Page-Keyword Map'!$E$2:$E$668,"Nationwide")</f>
        <v>0</v>
      </c>
      <c r="V769" s="15" t="n">
        <f aca="false">COUNTIFS('Page-Keyword Map'!$A$2:$A$668,B769,'Page-Keyword Map'!$E$2:$E$668,"Provincial")</f>
        <v>0</v>
      </c>
      <c r="W769" s="15" t="n">
        <f aca="false">COUNTIFS('Page-Keyword Map'!$A$2:$A$668,B769,'Page-Keyword Map'!$E$2:$E$668,"City")</f>
        <v>1</v>
      </c>
      <c r="X769" s="15" t="str">
        <f aca="false">IF(O769="","",IF(ISNUMBER(SEARCH(O769,J769)),"Yes","No"))</f>
        <v>No</v>
      </c>
      <c r="Y769" s="15" t="n">
        <v>0.5</v>
      </c>
      <c r="Z769" s="15" t="s">
        <v>4577</v>
      </c>
      <c r="AA769" s="15" t="s">
        <v>131</v>
      </c>
      <c r="AB769" s="17"/>
      <c r="AC769" s="17"/>
    </row>
    <row r="770" customFormat="false" ht="23.85" hidden="false" customHeight="false" outlineLevel="0" collapsed="false">
      <c r="A770" s="15" t="s">
        <v>4824</v>
      </c>
      <c r="B770" s="15" t="s">
        <v>4825</v>
      </c>
      <c r="C770" s="15" t="s">
        <v>4572</v>
      </c>
      <c r="D770" s="15" t="s">
        <v>94</v>
      </c>
      <c r="E770" s="15"/>
      <c r="F770" s="15"/>
      <c r="G770" s="15" t="s">
        <v>715</v>
      </c>
      <c r="H770" s="15" t="s">
        <v>2309</v>
      </c>
      <c r="I770" s="15" t="s">
        <v>211</v>
      </c>
      <c r="J770" s="3" t="s">
        <v>4826</v>
      </c>
      <c r="K770" s="15" t="n">
        <f aca="false">LEN(J770)</f>
        <v>59</v>
      </c>
      <c r="L770" s="3" t="s">
        <v>4827</v>
      </c>
      <c r="M770" s="15" t="n">
        <f aca="false">LEN(L770)</f>
        <v>143</v>
      </c>
      <c r="N770" s="3" t="s">
        <v>4828</v>
      </c>
      <c r="O770" s="15"/>
      <c r="P770" s="16"/>
      <c r="Q770" s="15"/>
      <c r="R770" s="15" t="s">
        <v>4829</v>
      </c>
      <c r="S770" s="15" t="n">
        <f aca="false">COUNTIF('Page-Keyword Map'!$A$2:$A$668,B770)</f>
        <v>0</v>
      </c>
      <c r="T770" s="16" t="n">
        <f aca="false">SUMIF('Page-Keyword Map'!$A$2:$A$668,B770,'Page-Keyword Map'!$H$2:$H$668)</f>
        <v>0</v>
      </c>
      <c r="U770" s="15" t="n">
        <f aca="false">COUNTIFS('Page-Keyword Map'!$A$2:$A$668,B770,'Page-Keyword Map'!$E$2:$E$668,"Nationwide")</f>
        <v>0</v>
      </c>
      <c r="V770" s="15" t="n">
        <f aca="false">COUNTIFS('Page-Keyword Map'!$A$2:$A$668,B770,'Page-Keyword Map'!$E$2:$E$668,"Provincial")</f>
        <v>0</v>
      </c>
      <c r="W770" s="15" t="n">
        <f aca="false">COUNTIFS('Page-Keyword Map'!$A$2:$A$668,B770,'Page-Keyword Map'!$E$2:$E$668,"City")</f>
        <v>0</v>
      </c>
      <c r="X770" s="15" t="str">
        <f aca="false">IF(O770="","",IF(ISNUMBER(SEARCH(O770,J770)),"Yes","No"))</f>
        <v/>
      </c>
      <c r="Y770" s="15" t="n">
        <v>0.5</v>
      </c>
      <c r="Z770" s="15" t="s">
        <v>216</v>
      </c>
      <c r="AA770" s="15" t="s">
        <v>217</v>
      </c>
      <c r="AB770" s="17"/>
      <c r="AC770" s="17"/>
    </row>
    <row r="771" customFormat="false" ht="23.85" hidden="false" customHeight="false" outlineLevel="0" collapsed="false">
      <c r="A771" s="15" t="s">
        <v>4830</v>
      </c>
      <c r="B771" s="15" t="s">
        <v>4831</v>
      </c>
      <c r="C771" s="15" t="s">
        <v>4572</v>
      </c>
      <c r="D771" s="15" t="s">
        <v>94</v>
      </c>
      <c r="E771" s="15"/>
      <c r="F771" s="15"/>
      <c r="G771" s="15" t="s">
        <v>715</v>
      </c>
      <c r="H771" s="15" t="s">
        <v>2316</v>
      </c>
      <c r="I771" s="15" t="s">
        <v>126</v>
      </c>
      <c r="J771" s="3" t="s">
        <v>4832</v>
      </c>
      <c r="K771" s="15" t="n">
        <f aca="false">LEN(J771)</f>
        <v>64</v>
      </c>
      <c r="L771" s="3" t="s">
        <v>4833</v>
      </c>
      <c r="M771" s="15" t="n">
        <f aca="false">LEN(L771)</f>
        <v>148</v>
      </c>
      <c r="N771" s="3" t="s">
        <v>4834</v>
      </c>
      <c r="O771" s="15" t="s">
        <v>4835</v>
      </c>
      <c r="P771" s="16" t="n">
        <v>230</v>
      </c>
      <c r="Q771" s="15" t="s">
        <v>104</v>
      </c>
      <c r="R771" s="15"/>
      <c r="S771" s="15" t="n">
        <f aca="false">COUNTIF('Page-Keyword Map'!$A$2:$A$668,B771)</f>
        <v>1</v>
      </c>
      <c r="T771" s="16" t="n">
        <f aca="false">SUMIF('Page-Keyword Map'!$A$2:$A$668,B771,'Page-Keyword Map'!$H$2:$H$668)</f>
        <v>230</v>
      </c>
      <c r="U771" s="15" t="n">
        <f aca="false">COUNTIFS('Page-Keyword Map'!$A$2:$A$668,B771,'Page-Keyword Map'!$E$2:$E$668,"Nationwide")</f>
        <v>0</v>
      </c>
      <c r="V771" s="15" t="n">
        <f aca="false">COUNTIFS('Page-Keyword Map'!$A$2:$A$668,B771,'Page-Keyword Map'!$E$2:$E$668,"Provincial")</f>
        <v>0</v>
      </c>
      <c r="W771" s="15" t="n">
        <f aca="false">COUNTIFS('Page-Keyword Map'!$A$2:$A$668,B771,'Page-Keyword Map'!$E$2:$E$668,"City")</f>
        <v>1</v>
      </c>
      <c r="X771" s="15" t="str">
        <f aca="false">IF(O771="","",IF(ISNUMBER(SEARCH(O771,J771)),"Yes","No"))</f>
        <v>No</v>
      </c>
      <c r="Y771" s="15" t="n">
        <v>0.5</v>
      </c>
      <c r="Z771" s="15" t="s">
        <v>4577</v>
      </c>
      <c r="AA771" s="15" t="s">
        <v>131</v>
      </c>
      <c r="AB771" s="17"/>
      <c r="AC771" s="17"/>
    </row>
    <row r="772" customFormat="false" ht="23.85" hidden="false" customHeight="false" outlineLevel="0" collapsed="false">
      <c r="A772" s="15" t="s">
        <v>4836</v>
      </c>
      <c r="B772" s="15" t="s">
        <v>4837</v>
      </c>
      <c r="C772" s="15" t="s">
        <v>4572</v>
      </c>
      <c r="D772" s="15" t="s">
        <v>94</v>
      </c>
      <c r="E772" s="15"/>
      <c r="F772" s="15"/>
      <c r="G772" s="15" t="s">
        <v>715</v>
      </c>
      <c r="H772" s="15" t="s">
        <v>2323</v>
      </c>
      <c r="I772" s="15" t="s">
        <v>126</v>
      </c>
      <c r="J772" s="3" t="s">
        <v>4838</v>
      </c>
      <c r="K772" s="15" t="n">
        <f aca="false">LEN(J772)</f>
        <v>61</v>
      </c>
      <c r="L772" s="3" t="s">
        <v>4839</v>
      </c>
      <c r="M772" s="15" t="n">
        <f aca="false">LEN(L772)</f>
        <v>145</v>
      </c>
      <c r="N772" s="3" t="s">
        <v>4840</v>
      </c>
      <c r="O772" s="15"/>
      <c r="P772" s="16"/>
      <c r="Q772" s="15"/>
      <c r="R772" s="15" t="s">
        <v>4841</v>
      </c>
      <c r="S772" s="15" t="n">
        <f aca="false">COUNTIF('Page-Keyword Map'!$A$2:$A$668,B772)</f>
        <v>0</v>
      </c>
      <c r="T772" s="16" t="n">
        <f aca="false">SUMIF('Page-Keyword Map'!$A$2:$A$668,B772,'Page-Keyword Map'!$H$2:$H$668)</f>
        <v>0</v>
      </c>
      <c r="U772" s="15" t="n">
        <f aca="false">COUNTIFS('Page-Keyword Map'!$A$2:$A$668,B772,'Page-Keyword Map'!$E$2:$E$668,"Nationwide")</f>
        <v>0</v>
      </c>
      <c r="V772" s="15" t="n">
        <f aca="false">COUNTIFS('Page-Keyword Map'!$A$2:$A$668,B772,'Page-Keyword Map'!$E$2:$E$668,"Provincial")</f>
        <v>0</v>
      </c>
      <c r="W772" s="15" t="n">
        <f aca="false">COUNTIFS('Page-Keyword Map'!$A$2:$A$668,B772,'Page-Keyword Map'!$E$2:$E$668,"City")</f>
        <v>0</v>
      </c>
      <c r="X772" s="15" t="str">
        <f aca="false">IF(O772="","",IF(ISNUMBER(SEARCH(O772,J772)),"Yes","No"))</f>
        <v/>
      </c>
      <c r="Y772" s="15" t="n">
        <v>0.5</v>
      </c>
      <c r="Z772" s="15" t="s">
        <v>4577</v>
      </c>
      <c r="AA772" s="15" t="s">
        <v>131</v>
      </c>
      <c r="AB772" s="17"/>
      <c r="AC772" s="17"/>
    </row>
    <row r="773" customFormat="false" ht="23.85" hidden="false" customHeight="false" outlineLevel="0" collapsed="false">
      <c r="A773" s="15" t="s">
        <v>4842</v>
      </c>
      <c r="B773" s="15" t="s">
        <v>4843</v>
      </c>
      <c r="C773" s="15" t="s">
        <v>4572</v>
      </c>
      <c r="D773" s="15" t="s">
        <v>94</v>
      </c>
      <c r="E773" s="15"/>
      <c r="F773" s="15"/>
      <c r="G773" s="15" t="s">
        <v>715</v>
      </c>
      <c r="H773" s="15" t="s">
        <v>2330</v>
      </c>
      <c r="I773" s="15" t="s">
        <v>126</v>
      </c>
      <c r="J773" s="3" t="s">
        <v>4844</v>
      </c>
      <c r="K773" s="15" t="n">
        <f aca="false">LEN(J773)</f>
        <v>59</v>
      </c>
      <c r="L773" s="3" t="s">
        <v>4845</v>
      </c>
      <c r="M773" s="15" t="n">
        <f aca="false">LEN(L773)</f>
        <v>143</v>
      </c>
      <c r="N773" s="3" t="s">
        <v>4846</v>
      </c>
      <c r="O773" s="15"/>
      <c r="P773" s="16"/>
      <c r="Q773" s="15"/>
      <c r="R773" s="15" t="s">
        <v>4847</v>
      </c>
      <c r="S773" s="15" t="n">
        <f aca="false">COUNTIF('Page-Keyword Map'!$A$2:$A$668,B773)</f>
        <v>0</v>
      </c>
      <c r="T773" s="16" t="n">
        <f aca="false">SUMIF('Page-Keyword Map'!$A$2:$A$668,B773,'Page-Keyword Map'!$H$2:$H$668)</f>
        <v>0</v>
      </c>
      <c r="U773" s="15" t="n">
        <f aca="false">COUNTIFS('Page-Keyword Map'!$A$2:$A$668,B773,'Page-Keyword Map'!$E$2:$E$668,"Nationwide")</f>
        <v>0</v>
      </c>
      <c r="V773" s="15" t="n">
        <f aca="false">COUNTIFS('Page-Keyword Map'!$A$2:$A$668,B773,'Page-Keyword Map'!$E$2:$E$668,"Provincial")</f>
        <v>0</v>
      </c>
      <c r="W773" s="15" t="n">
        <f aca="false">COUNTIFS('Page-Keyword Map'!$A$2:$A$668,B773,'Page-Keyword Map'!$E$2:$E$668,"City")</f>
        <v>0</v>
      </c>
      <c r="X773" s="15" t="str">
        <f aca="false">IF(O773="","",IF(ISNUMBER(SEARCH(O773,J773)),"Yes","No"))</f>
        <v/>
      </c>
      <c r="Y773" s="15" t="n">
        <v>0.5</v>
      </c>
      <c r="Z773" s="15" t="s">
        <v>4577</v>
      </c>
      <c r="AA773" s="15" t="s">
        <v>131</v>
      </c>
      <c r="AB773" s="17"/>
      <c r="AC773" s="17"/>
    </row>
    <row r="774" customFormat="false" ht="23.85" hidden="false" customHeight="false" outlineLevel="0" collapsed="false">
      <c r="A774" s="15" t="s">
        <v>4848</v>
      </c>
      <c r="B774" s="15" t="s">
        <v>4849</v>
      </c>
      <c r="C774" s="15" t="s">
        <v>4572</v>
      </c>
      <c r="D774" s="15" t="s">
        <v>94</v>
      </c>
      <c r="E774" s="15"/>
      <c r="F774" s="15"/>
      <c r="G774" s="15" t="s">
        <v>715</v>
      </c>
      <c r="H774" s="15" t="s">
        <v>2337</v>
      </c>
      <c r="I774" s="15" t="s">
        <v>126</v>
      </c>
      <c r="J774" s="3" t="s">
        <v>4850</v>
      </c>
      <c r="K774" s="15" t="n">
        <f aca="false">LEN(J774)</f>
        <v>59</v>
      </c>
      <c r="L774" s="3" t="s">
        <v>4851</v>
      </c>
      <c r="M774" s="15" t="n">
        <f aca="false">LEN(L774)</f>
        <v>143</v>
      </c>
      <c r="N774" s="3" t="s">
        <v>4852</v>
      </c>
      <c r="O774" s="15" t="s">
        <v>4853</v>
      </c>
      <c r="P774" s="16" t="n">
        <v>300</v>
      </c>
      <c r="Q774" s="15" t="s">
        <v>104</v>
      </c>
      <c r="R774" s="15"/>
      <c r="S774" s="15" t="n">
        <f aca="false">COUNTIF('Page-Keyword Map'!$A$2:$A$668,B774)</f>
        <v>1</v>
      </c>
      <c r="T774" s="16" t="n">
        <f aca="false">SUMIF('Page-Keyword Map'!$A$2:$A$668,B774,'Page-Keyword Map'!$H$2:$H$668)</f>
        <v>300</v>
      </c>
      <c r="U774" s="15" t="n">
        <f aca="false">COUNTIFS('Page-Keyword Map'!$A$2:$A$668,B774,'Page-Keyword Map'!$E$2:$E$668,"Nationwide")</f>
        <v>0</v>
      </c>
      <c r="V774" s="15" t="n">
        <f aca="false">COUNTIFS('Page-Keyword Map'!$A$2:$A$668,B774,'Page-Keyword Map'!$E$2:$E$668,"Provincial")</f>
        <v>0</v>
      </c>
      <c r="W774" s="15" t="n">
        <f aca="false">COUNTIFS('Page-Keyword Map'!$A$2:$A$668,B774,'Page-Keyword Map'!$E$2:$E$668,"City")</f>
        <v>1</v>
      </c>
      <c r="X774" s="15" t="str">
        <f aca="false">IF(O774="","",IF(ISNUMBER(SEARCH(O774,J774)),"Yes","No"))</f>
        <v>No</v>
      </c>
      <c r="Y774" s="15" t="n">
        <v>0.5</v>
      </c>
      <c r="Z774" s="15" t="s">
        <v>4577</v>
      </c>
      <c r="AA774" s="15" t="s">
        <v>131</v>
      </c>
      <c r="AB774" s="17"/>
      <c r="AC774" s="17"/>
    </row>
    <row r="775" customFormat="false" ht="23.85" hidden="false" customHeight="false" outlineLevel="0" collapsed="false">
      <c r="A775" s="15" t="s">
        <v>4854</v>
      </c>
      <c r="B775" s="15" t="s">
        <v>4855</v>
      </c>
      <c r="C775" s="15" t="s">
        <v>4572</v>
      </c>
      <c r="D775" s="15" t="s">
        <v>94</v>
      </c>
      <c r="E775" s="15"/>
      <c r="F775" s="15"/>
      <c r="G775" s="15" t="s">
        <v>715</v>
      </c>
      <c r="H775" s="15" t="s">
        <v>2344</v>
      </c>
      <c r="I775" s="15" t="s">
        <v>211</v>
      </c>
      <c r="J775" s="3" t="s">
        <v>4856</v>
      </c>
      <c r="K775" s="15" t="n">
        <f aca="false">LEN(J775)</f>
        <v>62</v>
      </c>
      <c r="L775" s="3" t="s">
        <v>4857</v>
      </c>
      <c r="M775" s="15" t="n">
        <f aca="false">LEN(L775)</f>
        <v>146</v>
      </c>
      <c r="N775" s="3" t="s">
        <v>4858</v>
      </c>
      <c r="O775" s="15"/>
      <c r="P775" s="16"/>
      <c r="Q775" s="15"/>
      <c r="R775" s="15" t="s">
        <v>4859</v>
      </c>
      <c r="S775" s="15" t="n">
        <f aca="false">COUNTIF('Page-Keyword Map'!$A$2:$A$668,B775)</f>
        <v>0</v>
      </c>
      <c r="T775" s="16" t="n">
        <f aca="false">SUMIF('Page-Keyword Map'!$A$2:$A$668,B775,'Page-Keyword Map'!$H$2:$H$668)</f>
        <v>0</v>
      </c>
      <c r="U775" s="15" t="n">
        <f aca="false">COUNTIFS('Page-Keyword Map'!$A$2:$A$668,B775,'Page-Keyword Map'!$E$2:$E$668,"Nationwide")</f>
        <v>0</v>
      </c>
      <c r="V775" s="15" t="n">
        <f aca="false">COUNTIFS('Page-Keyword Map'!$A$2:$A$668,B775,'Page-Keyword Map'!$E$2:$E$668,"Provincial")</f>
        <v>0</v>
      </c>
      <c r="W775" s="15" t="n">
        <f aca="false">COUNTIFS('Page-Keyword Map'!$A$2:$A$668,B775,'Page-Keyword Map'!$E$2:$E$668,"City")</f>
        <v>0</v>
      </c>
      <c r="X775" s="15" t="str">
        <f aca="false">IF(O775="","",IF(ISNUMBER(SEARCH(O775,J775)),"Yes","No"))</f>
        <v/>
      </c>
      <c r="Y775" s="15" t="n">
        <v>0.5</v>
      </c>
      <c r="Z775" s="15" t="s">
        <v>216</v>
      </c>
      <c r="AA775" s="15" t="s">
        <v>217</v>
      </c>
      <c r="AB775" s="17"/>
      <c r="AC775" s="17"/>
    </row>
    <row r="776" customFormat="false" ht="23.85" hidden="false" customHeight="false" outlineLevel="0" collapsed="false">
      <c r="A776" s="15" t="s">
        <v>4860</v>
      </c>
      <c r="B776" s="15" t="s">
        <v>4861</v>
      </c>
      <c r="C776" s="15" t="s">
        <v>4572</v>
      </c>
      <c r="D776" s="15" t="s">
        <v>94</v>
      </c>
      <c r="E776" s="15"/>
      <c r="F776" s="15"/>
      <c r="G776" s="15" t="s">
        <v>715</v>
      </c>
      <c r="H776" s="15" t="s">
        <v>2351</v>
      </c>
      <c r="I776" s="15" t="s">
        <v>126</v>
      </c>
      <c r="J776" s="3" t="s">
        <v>4862</v>
      </c>
      <c r="K776" s="15" t="n">
        <f aca="false">LEN(J776)</f>
        <v>66</v>
      </c>
      <c r="L776" s="3" t="s">
        <v>4863</v>
      </c>
      <c r="M776" s="15" t="n">
        <f aca="false">LEN(L776)</f>
        <v>150</v>
      </c>
      <c r="N776" s="3" t="s">
        <v>4864</v>
      </c>
      <c r="O776" s="15"/>
      <c r="P776" s="16"/>
      <c r="Q776" s="15"/>
      <c r="R776" s="15" t="s">
        <v>4865</v>
      </c>
      <c r="S776" s="15" t="n">
        <f aca="false">COUNTIF('Page-Keyword Map'!$A$2:$A$668,B776)</f>
        <v>0</v>
      </c>
      <c r="T776" s="16" t="n">
        <f aca="false">SUMIF('Page-Keyword Map'!$A$2:$A$668,B776,'Page-Keyword Map'!$H$2:$H$668)</f>
        <v>0</v>
      </c>
      <c r="U776" s="15" t="n">
        <f aca="false">COUNTIFS('Page-Keyword Map'!$A$2:$A$668,B776,'Page-Keyword Map'!$E$2:$E$668,"Nationwide")</f>
        <v>0</v>
      </c>
      <c r="V776" s="15" t="n">
        <f aca="false">COUNTIFS('Page-Keyword Map'!$A$2:$A$668,B776,'Page-Keyword Map'!$E$2:$E$668,"Provincial")</f>
        <v>0</v>
      </c>
      <c r="W776" s="15" t="n">
        <f aca="false">COUNTIFS('Page-Keyword Map'!$A$2:$A$668,B776,'Page-Keyword Map'!$E$2:$E$668,"City")</f>
        <v>0</v>
      </c>
      <c r="X776" s="15" t="str">
        <f aca="false">IF(O776="","",IF(ISNUMBER(SEARCH(O776,J776)),"Yes","No"))</f>
        <v/>
      </c>
      <c r="Y776" s="15" t="n">
        <v>0.5</v>
      </c>
      <c r="Z776" s="15" t="s">
        <v>4577</v>
      </c>
      <c r="AA776" s="15" t="s">
        <v>131</v>
      </c>
      <c r="AB776" s="17"/>
      <c r="AC776" s="17"/>
    </row>
    <row r="777" customFormat="false" ht="23.85" hidden="false" customHeight="false" outlineLevel="0" collapsed="false">
      <c r="A777" s="15" t="s">
        <v>4866</v>
      </c>
      <c r="B777" s="15" t="s">
        <v>4867</v>
      </c>
      <c r="C777" s="15" t="s">
        <v>4572</v>
      </c>
      <c r="D777" s="15" t="s">
        <v>94</v>
      </c>
      <c r="E777" s="15"/>
      <c r="F777" s="15"/>
      <c r="G777" s="15" t="s">
        <v>715</v>
      </c>
      <c r="H777" s="15" t="s">
        <v>2358</v>
      </c>
      <c r="I777" s="15" t="s">
        <v>126</v>
      </c>
      <c r="J777" s="3" t="s">
        <v>4868</v>
      </c>
      <c r="K777" s="15" t="n">
        <f aca="false">LEN(J777)</f>
        <v>67</v>
      </c>
      <c r="L777" s="3" t="s">
        <v>4869</v>
      </c>
      <c r="M777" s="15" t="n">
        <f aca="false">LEN(L777)</f>
        <v>151</v>
      </c>
      <c r="N777" s="3" t="s">
        <v>4870</v>
      </c>
      <c r="O777" s="15"/>
      <c r="P777" s="16"/>
      <c r="Q777" s="15"/>
      <c r="R777" s="15" t="s">
        <v>4871</v>
      </c>
      <c r="S777" s="15" t="n">
        <f aca="false">COUNTIF('Page-Keyword Map'!$A$2:$A$668,B777)</f>
        <v>0</v>
      </c>
      <c r="T777" s="16" t="n">
        <f aca="false">SUMIF('Page-Keyword Map'!$A$2:$A$668,B777,'Page-Keyword Map'!$H$2:$H$668)</f>
        <v>0</v>
      </c>
      <c r="U777" s="15" t="n">
        <f aca="false">COUNTIFS('Page-Keyword Map'!$A$2:$A$668,B777,'Page-Keyword Map'!$E$2:$E$668,"Nationwide")</f>
        <v>0</v>
      </c>
      <c r="V777" s="15" t="n">
        <f aca="false">COUNTIFS('Page-Keyword Map'!$A$2:$A$668,B777,'Page-Keyword Map'!$E$2:$E$668,"Provincial")</f>
        <v>0</v>
      </c>
      <c r="W777" s="15" t="n">
        <f aca="false">COUNTIFS('Page-Keyword Map'!$A$2:$A$668,B777,'Page-Keyword Map'!$E$2:$E$668,"City")</f>
        <v>0</v>
      </c>
      <c r="X777" s="15" t="str">
        <f aca="false">IF(O777="","",IF(ISNUMBER(SEARCH(O777,J777)),"Yes","No"))</f>
        <v/>
      </c>
      <c r="Y777" s="15" t="n">
        <v>0.5</v>
      </c>
      <c r="Z777" s="15" t="s">
        <v>4577</v>
      </c>
      <c r="AA777" s="15" t="s">
        <v>131</v>
      </c>
      <c r="AB777" s="17"/>
      <c r="AC777" s="17"/>
    </row>
    <row r="778" customFormat="false" ht="23.85" hidden="false" customHeight="false" outlineLevel="0" collapsed="false">
      <c r="A778" s="15" t="s">
        <v>4872</v>
      </c>
      <c r="B778" s="15" t="s">
        <v>4873</v>
      </c>
      <c r="C778" s="15" t="s">
        <v>4572</v>
      </c>
      <c r="D778" s="15" t="s">
        <v>94</v>
      </c>
      <c r="E778" s="15"/>
      <c r="F778" s="15"/>
      <c r="G778" s="15" t="s">
        <v>715</v>
      </c>
      <c r="H778" s="15" t="s">
        <v>2365</v>
      </c>
      <c r="I778" s="15" t="s">
        <v>211</v>
      </c>
      <c r="J778" s="3" t="s">
        <v>4874</v>
      </c>
      <c r="K778" s="15" t="n">
        <f aca="false">LEN(J778)</f>
        <v>60</v>
      </c>
      <c r="L778" s="3" t="s">
        <v>4875</v>
      </c>
      <c r="M778" s="15" t="n">
        <f aca="false">LEN(L778)</f>
        <v>144</v>
      </c>
      <c r="N778" s="3" t="s">
        <v>4876</v>
      </c>
      <c r="O778" s="15"/>
      <c r="P778" s="16"/>
      <c r="Q778" s="15"/>
      <c r="R778" s="15" t="s">
        <v>4877</v>
      </c>
      <c r="S778" s="15" t="n">
        <f aca="false">COUNTIF('Page-Keyword Map'!$A$2:$A$668,B778)</f>
        <v>0</v>
      </c>
      <c r="T778" s="16" t="n">
        <f aca="false">SUMIF('Page-Keyword Map'!$A$2:$A$668,B778,'Page-Keyword Map'!$H$2:$H$668)</f>
        <v>0</v>
      </c>
      <c r="U778" s="15" t="n">
        <f aca="false">COUNTIFS('Page-Keyword Map'!$A$2:$A$668,B778,'Page-Keyword Map'!$E$2:$E$668,"Nationwide")</f>
        <v>0</v>
      </c>
      <c r="V778" s="15" t="n">
        <f aca="false">COUNTIFS('Page-Keyword Map'!$A$2:$A$668,B778,'Page-Keyword Map'!$E$2:$E$668,"Provincial")</f>
        <v>0</v>
      </c>
      <c r="W778" s="15" t="n">
        <f aca="false">COUNTIFS('Page-Keyword Map'!$A$2:$A$668,B778,'Page-Keyword Map'!$E$2:$E$668,"City")</f>
        <v>0</v>
      </c>
      <c r="X778" s="15" t="str">
        <f aca="false">IF(O778="","",IF(ISNUMBER(SEARCH(O778,J778)),"Yes","No"))</f>
        <v/>
      </c>
      <c r="Y778" s="15" t="n">
        <v>0.5</v>
      </c>
      <c r="Z778" s="15" t="s">
        <v>216</v>
      </c>
      <c r="AA778" s="15" t="s">
        <v>217</v>
      </c>
      <c r="AB778" s="17"/>
      <c r="AC778" s="17"/>
    </row>
    <row r="779" customFormat="false" ht="23.85" hidden="false" customHeight="false" outlineLevel="0" collapsed="false">
      <c r="A779" s="15" t="s">
        <v>4878</v>
      </c>
      <c r="B779" s="15" t="s">
        <v>4879</v>
      </c>
      <c r="C779" s="15" t="s">
        <v>4572</v>
      </c>
      <c r="D779" s="15" t="s">
        <v>94</v>
      </c>
      <c r="E779" s="15"/>
      <c r="F779" s="15"/>
      <c r="G779" s="15" t="s">
        <v>715</v>
      </c>
      <c r="H779" s="15" t="s">
        <v>2372</v>
      </c>
      <c r="I779" s="15" t="s">
        <v>211</v>
      </c>
      <c r="J779" s="3" t="s">
        <v>4880</v>
      </c>
      <c r="K779" s="15" t="n">
        <f aca="false">LEN(J779)</f>
        <v>64</v>
      </c>
      <c r="L779" s="3" t="s">
        <v>4881</v>
      </c>
      <c r="M779" s="15" t="n">
        <f aca="false">LEN(L779)</f>
        <v>148</v>
      </c>
      <c r="N779" s="3" t="s">
        <v>4882</v>
      </c>
      <c r="O779" s="15"/>
      <c r="P779" s="16"/>
      <c r="Q779" s="15"/>
      <c r="R779" s="15" t="s">
        <v>4883</v>
      </c>
      <c r="S779" s="15" t="n">
        <f aca="false">COUNTIF('Page-Keyword Map'!$A$2:$A$668,B779)</f>
        <v>0</v>
      </c>
      <c r="T779" s="16" t="n">
        <f aca="false">SUMIF('Page-Keyword Map'!$A$2:$A$668,B779,'Page-Keyword Map'!$H$2:$H$668)</f>
        <v>0</v>
      </c>
      <c r="U779" s="15" t="n">
        <f aca="false">COUNTIFS('Page-Keyword Map'!$A$2:$A$668,B779,'Page-Keyword Map'!$E$2:$E$668,"Nationwide")</f>
        <v>0</v>
      </c>
      <c r="V779" s="15" t="n">
        <f aca="false">COUNTIFS('Page-Keyword Map'!$A$2:$A$668,B779,'Page-Keyword Map'!$E$2:$E$668,"Provincial")</f>
        <v>0</v>
      </c>
      <c r="W779" s="15" t="n">
        <f aca="false">COUNTIFS('Page-Keyword Map'!$A$2:$A$668,B779,'Page-Keyword Map'!$E$2:$E$668,"City")</f>
        <v>0</v>
      </c>
      <c r="X779" s="15" t="str">
        <f aca="false">IF(O779="","",IF(ISNUMBER(SEARCH(O779,J779)),"Yes","No"))</f>
        <v/>
      </c>
      <c r="Y779" s="15" t="n">
        <v>0.5</v>
      </c>
      <c r="Z779" s="15" t="s">
        <v>216</v>
      </c>
      <c r="AA779" s="15" t="s">
        <v>217</v>
      </c>
      <c r="AB779" s="17"/>
      <c r="AC779" s="17"/>
    </row>
    <row r="780" customFormat="false" ht="23.85" hidden="false" customHeight="false" outlineLevel="0" collapsed="false">
      <c r="A780" s="15" t="s">
        <v>4884</v>
      </c>
      <c r="B780" s="15" t="s">
        <v>4885</v>
      </c>
      <c r="C780" s="15" t="s">
        <v>4572</v>
      </c>
      <c r="D780" s="15" t="s">
        <v>94</v>
      </c>
      <c r="E780" s="15"/>
      <c r="F780" s="15"/>
      <c r="G780" s="15" t="s">
        <v>715</v>
      </c>
      <c r="H780" s="15" t="s">
        <v>2379</v>
      </c>
      <c r="I780" s="15" t="s">
        <v>126</v>
      </c>
      <c r="J780" s="3" t="s">
        <v>4886</v>
      </c>
      <c r="K780" s="15" t="n">
        <f aca="false">LEN(J780)</f>
        <v>60</v>
      </c>
      <c r="L780" s="3" t="s">
        <v>4887</v>
      </c>
      <c r="M780" s="15" t="n">
        <f aca="false">LEN(L780)</f>
        <v>144</v>
      </c>
      <c r="N780" s="3" t="s">
        <v>4888</v>
      </c>
      <c r="O780" s="15" t="s">
        <v>4889</v>
      </c>
      <c r="P780" s="16" t="n">
        <v>680</v>
      </c>
      <c r="Q780" s="15" t="s">
        <v>104</v>
      </c>
      <c r="R780" s="15"/>
      <c r="S780" s="15" t="n">
        <f aca="false">COUNTIF('Page-Keyword Map'!$A$2:$A$668,B780)</f>
        <v>1</v>
      </c>
      <c r="T780" s="16" t="n">
        <f aca="false">SUMIF('Page-Keyword Map'!$A$2:$A$668,B780,'Page-Keyword Map'!$H$2:$H$668)</f>
        <v>680</v>
      </c>
      <c r="U780" s="15" t="n">
        <f aca="false">COUNTIFS('Page-Keyword Map'!$A$2:$A$668,B780,'Page-Keyword Map'!$E$2:$E$668,"Nationwide")</f>
        <v>0</v>
      </c>
      <c r="V780" s="15" t="n">
        <f aca="false">COUNTIFS('Page-Keyword Map'!$A$2:$A$668,B780,'Page-Keyword Map'!$E$2:$E$668,"Provincial")</f>
        <v>0</v>
      </c>
      <c r="W780" s="15" t="n">
        <f aca="false">COUNTIFS('Page-Keyword Map'!$A$2:$A$668,B780,'Page-Keyword Map'!$E$2:$E$668,"City")</f>
        <v>1</v>
      </c>
      <c r="X780" s="15" t="str">
        <f aca="false">IF(O780="","",IF(ISNUMBER(SEARCH(O780,J780)),"Yes","No"))</f>
        <v>No</v>
      </c>
      <c r="Y780" s="15" t="n">
        <v>0.5</v>
      </c>
      <c r="Z780" s="15" t="s">
        <v>4577</v>
      </c>
      <c r="AA780" s="15" t="s">
        <v>131</v>
      </c>
      <c r="AB780" s="17"/>
      <c r="AC780" s="17"/>
    </row>
    <row r="781" customFormat="false" ht="23.85" hidden="false" customHeight="false" outlineLevel="0" collapsed="false">
      <c r="A781" s="15" t="s">
        <v>4890</v>
      </c>
      <c r="B781" s="15" t="s">
        <v>4891</v>
      </c>
      <c r="C781" s="15" t="s">
        <v>4572</v>
      </c>
      <c r="D781" s="15" t="s">
        <v>94</v>
      </c>
      <c r="E781" s="15"/>
      <c r="F781" s="15"/>
      <c r="G781" s="15" t="s">
        <v>715</v>
      </c>
      <c r="H781" s="15" t="s">
        <v>2386</v>
      </c>
      <c r="I781" s="15" t="s">
        <v>126</v>
      </c>
      <c r="J781" s="3" t="s">
        <v>4892</v>
      </c>
      <c r="K781" s="15" t="n">
        <f aca="false">LEN(J781)</f>
        <v>60</v>
      </c>
      <c r="L781" s="3" t="s">
        <v>4893</v>
      </c>
      <c r="M781" s="15" t="n">
        <f aca="false">LEN(L781)</f>
        <v>144</v>
      </c>
      <c r="N781" s="3" t="s">
        <v>4894</v>
      </c>
      <c r="O781" s="15" t="s">
        <v>4895</v>
      </c>
      <c r="P781" s="16" t="n">
        <v>120</v>
      </c>
      <c r="Q781" s="15" t="s">
        <v>104</v>
      </c>
      <c r="R781" s="15"/>
      <c r="S781" s="15" t="n">
        <f aca="false">COUNTIF('Page-Keyword Map'!$A$2:$A$668,B781)</f>
        <v>1</v>
      </c>
      <c r="T781" s="16" t="n">
        <f aca="false">SUMIF('Page-Keyword Map'!$A$2:$A$668,B781,'Page-Keyword Map'!$H$2:$H$668)</f>
        <v>120</v>
      </c>
      <c r="U781" s="15" t="n">
        <f aca="false">COUNTIFS('Page-Keyword Map'!$A$2:$A$668,B781,'Page-Keyword Map'!$E$2:$E$668,"Nationwide")</f>
        <v>0</v>
      </c>
      <c r="V781" s="15" t="n">
        <f aca="false">COUNTIFS('Page-Keyword Map'!$A$2:$A$668,B781,'Page-Keyword Map'!$E$2:$E$668,"Provincial")</f>
        <v>0</v>
      </c>
      <c r="W781" s="15" t="n">
        <f aca="false">COUNTIFS('Page-Keyword Map'!$A$2:$A$668,B781,'Page-Keyword Map'!$E$2:$E$668,"City")</f>
        <v>1</v>
      </c>
      <c r="X781" s="15" t="str">
        <f aca="false">IF(O781="","",IF(ISNUMBER(SEARCH(O781,J781)),"Yes","No"))</f>
        <v>No</v>
      </c>
      <c r="Y781" s="15" t="n">
        <v>0.5</v>
      </c>
      <c r="Z781" s="15" t="s">
        <v>4577</v>
      </c>
      <c r="AA781" s="15" t="s">
        <v>131</v>
      </c>
      <c r="AB781" s="17"/>
      <c r="AC781" s="17"/>
    </row>
    <row r="782" customFormat="false" ht="23.85" hidden="false" customHeight="false" outlineLevel="0" collapsed="false">
      <c r="A782" s="15" t="s">
        <v>4896</v>
      </c>
      <c r="B782" s="15" t="s">
        <v>4897</v>
      </c>
      <c r="C782" s="15" t="s">
        <v>4572</v>
      </c>
      <c r="D782" s="15" t="s">
        <v>94</v>
      </c>
      <c r="E782" s="15"/>
      <c r="F782" s="15"/>
      <c r="G782" s="15" t="s">
        <v>715</v>
      </c>
      <c r="H782" s="15" t="s">
        <v>2393</v>
      </c>
      <c r="I782" s="15" t="s">
        <v>126</v>
      </c>
      <c r="J782" s="3" t="s">
        <v>4898</v>
      </c>
      <c r="K782" s="15" t="n">
        <f aca="false">LEN(J782)</f>
        <v>61</v>
      </c>
      <c r="L782" s="3" t="s">
        <v>4899</v>
      </c>
      <c r="M782" s="15" t="n">
        <f aca="false">LEN(L782)</f>
        <v>145</v>
      </c>
      <c r="N782" s="3" t="s">
        <v>4900</v>
      </c>
      <c r="O782" s="15"/>
      <c r="P782" s="16"/>
      <c r="Q782" s="15"/>
      <c r="R782" s="15" t="s">
        <v>4901</v>
      </c>
      <c r="S782" s="15" t="n">
        <f aca="false">COUNTIF('Page-Keyword Map'!$A$2:$A$668,B782)</f>
        <v>0</v>
      </c>
      <c r="T782" s="16" t="n">
        <f aca="false">SUMIF('Page-Keyword Map'!$A$2:$A$668,B782,'Page-Keyword Map'!$H$2:$H$668)</f>
        <v>0</v>
      </c>
      <c r="U782" s="15" t="n">
        <f aca="false">COUNTIFS('Page-Keyword Map'!$A$2:$A$668,B782,'Page-Keyword Map'!$E$2:$E$668,"Nationwide")</f>
        <v>0</v>
      </c>
      <c r="V782" s="15" t="n">
        <f aca="false">COUNTIFS('Page-Keyword Map'!$A$2:$A$668,B782,'Page-Keyword Map'!$E$2:$E$668,"Provincial")</f>
        <v>0</v>
      </c>
      <c r="W782" s="15" t="n">
        <f aca="false">COUNTIFS('Page-Keyword Map'!$A$2:$A$668,B782,'Page-Keyword Map'!$E$2:$E$668,"City")</f>
        <v>0</v>
      </c>
      <c r="X782" s="15" t="str">
        <f aca="false">IF(O782="","",IF(ISNUMBER(SEARCH(O782,J782)),"Yes","No"))</f>
        <v/>
      </c>
      <c r="Y782" s="15" t="n">
        <v>0.5</v>
      </c>
      <c r="Z782" s="15" t="s">
        <v>4577</v>
      </c>
      <c r="AA782" s="15" t="s">
        <v>131</v>
      </c>
      <c r="AB782" s="17"/>
      <c r="AC782" s="17"/>
    </row>
    <row r="783" customFormat="false" ht="23.85" hidden="false" customHeight="false" outlineLevel="0" collapsed="false">
      <c r="A783" s="15" t="s">
        <v>4902</v>
      </c>
      <c r="B783" s="15" t="s">
        <v>4903</v>
      </c>
      <c r="C783" s="15" t="s">
        <v>4572</v>
      </c>
      <c r="D783" s="15" t="s">
        <v>94</v>
      </c>
      <c r="E783" s="15"/>
      <c r="F783" s="15"/>
      <c r="G783" s="15" t="s">
        <v>715</v>
      </c>
      <c r="H783" s="15" t="s">
        <v>2400</v>
      </c>
      <c r="I783" s="15" t="s">
        <v>211</v>
      </c>
      <c r="J783" s="3" t="s">
        <v>4904</v>
      </c>
      <c r="K783" s="15" t="n">
        <f aca="false">LEN(J783)</f>
        <v>59</v>
      </c>
      <c r="L783" s="3" t="s">
        <v>4905</v>
      </c>
      <c r="M783" s="15" t="n">
        <f aca="false">LEN(L783)</f>
        <v>143</v>
      </c>
      <c r="N783" s="3" t="s">
        <v>4906</v>
      </c>
      <c r="O783" s="15"/>
      <c r="P783" s="16"/>
      <c r="Q783" s="15"/>
      <c r="R783" s="15" t="s">
        <v>4907</v>
      </c>
      <c r="S783" s="15" t="n">
        <f aca="false">COUNTIF('Page-Keyword Map'!$A$2:$A$668,B783)</f>
        <v>0</v>
      </c>
      <c r="T783" s="16" t="n">
        <f aca="false">SUMIF('Page-Keyword Map'!$A$2:$A$668,B783,'Page-Keyword Map'!$H$2:$H$668)</f>
        <v>0</v>
      </c>
      <c r="U783" s="15" t="n">
        <f aca="false">COUNTIFS('Page-Keyword Map'!$A$2:$A$668,B783,'Page-Keyword Map'!$E$2:$E$668,"Nationwide")</f>
        <v>0</v>
      </c>
      <c r="V783" s="15" t="n">
        <f aca="false">COUNTIFS('Page-Keyword Map'!$A$2:$A$668,B783,'Page-Keyword Map'!$E$2:$E$668,"Provincial")</f>
        <v>0</v>
      </c>
      <c r="W783" s="15" t="n">
        <f aca="false">COUNTIFS('Page-Keyword Map'!$A$2:$A$668,B783,'Page-Keyword Map'!$E$2:$E$668,"City")</f>
        <v>0</v>
      </c>
      <c r="X783" s="15" t="str">
        <f aca="false">IF(O783="","",IF(ISNUMBER(SEARCH(O783,J783)),"Yes","No"))</f>
        <v/>
      </c>
      <c r="Y783" s="15" t="n">
        <v>0.5</v>
      </c>
      <c r="Z783" s="15" t="s">
        <v>216</v>
      </c>
      <c r="AA783" s="15" t="s">
        <v>217</v>
      </c>
      <c r="AB783" s="17"/>
      <c r="AC783" s="17"/>
    </row>
    <row r="784" customFormat="false" ht="23.85" hidden="false" customHeight="false" outlineLevel="0" collapsed="false">
      <c r="A784" s="15" t="s">
        <v>4908</v>
      </c>
      <c r="B784" s="15" t="s">
        <v>4909</v>
      </c>
      <c r="C784" s="15" t="s">
        <v>4572</v>
      </c>
      <c r="D784" s="15" t="s">
        <v>94</v>
      </c>
      <c r="E784" s="15"/>
      <c r="F784" s="15"/>
      <c r="G784" s="15" t="s">
        <v>715</v>
      </c>
      <c r="H784" s="15" t="s">
        <v>2407</v>
      </c>
      <c r="I784" s="15" t="s">
        <v>126</v>
      </c>
      <c r="J784" s="3" t="s">
        <v>4910</v>
      </c>
      <c r="K784" s="15" t="n">
        <f aca="false">LEN(J784)</f>
        <v>60</v>
      </c>
      <c r="L784" s="3" t="s">
        <v>4911</v>
      </c>
      <c r="M784" s="15" t="n">
        <f aca="false">LEN(L784)</f>
        <v>144</v>
      </c>
      <c r="N784" s="3" t="s">
        <v>4912</v>
      </c>
      <c r="O784" s="15" t="s">
        <v>4913</v>
      </c>
      <c r="P784" s="16" t="n">
        <v>92</v>
      </c>
      <c r="Q784" s="15" t="s">
        <v>104</v>
      </c>
      <c r="R784" s="15"/>
      <c r="S784" s="15" t="n">
        <f aca="false">COUNTIF('Page-Keyword Map'!$A$2:$A$668,B784)</f>
        <v>1</v>
      </c>
      <c r="T784" s="16" t="n">
        <f aca="false">SUMIF('Page-Keyword Map'!$A$2:$A$668,B784,'Page-Keyword Map'!$H$2:$H$668)</f>
        <v>92</v>
      </c>
      <c r="U784" s="15" t="n">
        <f aca="false">COUNTIFS('Page-Keyword Map'!$A$2:$A$668,B784,'Page-Keyword Map'!$E$2:$E$668,"Nationwide")</f>
        <v>0</v>
      </c>
      <c r="V784" s="15" t="n">
        <f aca="false">COUNTIFS('Page-Keyword Map'!$A$2:$A$668,B784,'Page-Keyword Map'!$E$2:$E$668,"Provincial")</f>
        <v>0</v>
      </c>
      <c r="W784" s="15" t="n">
        <f aca="false">COUNTIFS('Page-Keyword Map'!$A$2:$A$668,B784,'Page-Keyword Map'!$E$2:$E$668,"City")</f>
        <v>1</v>
      </c>
      <c r="X784" s="15" t="str">
        <f aca="false">IF(O784="","",IF(ISNUMBER(SEARCH(O784,J784)),"Yes","No"))</f>
        <v>No</v>
      </c>
      <c r="Y784" s="15" t="n">
        <v>0.5</v>
      </c>
      <c r="Z784" s="15" t="s">
        <v>4577</v>
      </c>
      <c r="AA784" s="15" t="s">
        <v>131</v>
      </c>
      <c r="AB784" s="17"/>
      <c r="AC784" s="17"/>
    </row>
    <row r="785" customFormat="false" ht="23.85" hidden="false" customHeight="false" outlineLevel="0" collapsed="false">
      <c r="A785" s="15" t="s">
        <v>4914</v>
      </c>
      <c r="B785" s="15" t="s">
        <v>4915</v>
      </c>
      <c r="C785" s="15" t="s">
        <v>4572</v>
      </c>
      <c r="D785" s="15" t="s">
        <v>94</v>
      </c>
      <c r="E785" s="15"/>
      <c r="F785" s="15"/>
      <c r="G785" s="15" t="s">
        <v>722</v>
      </c>
      <c r="H785" s="15"/>
      <c r="I785" s="15" t="s">
        <v>126</v>
      </c>
      <c r="J785" s="3" t="s">
        <v>4916</v>
      </c>
      <c r="K785" s="15" t="n">
        <f aca="false">LEN(J785)</f>
        <v>70</v>
      </c>
      <c r="L785" s="3" t="s">
        <v>4917</v>
      </c>
      <c r="M785" s="15" t="n">
        <f aca="false">LEN(L785)</f>
        <v>162</v>
      </c>
      <c r="N785" s="3" t="s">
        <v>4918</v>
      </c>
      <c r="O785" s="15"/>
      <c r="P785" s="16"/>
      <c r="Q785" s="15"/>
      <c r="R785" s="15" t="s">
        <v>4919</v>
      </c>
      <c r="S785" s="15" t="n">
        <f aca="false">COUNTIF('Page-Keyword Map'!$A$2:$A$668,B785)</f>
        <v>0</v>
      </c>
      <c r="T785" s="16" t="n">
        <f aca="false">SUMIF('Page-Keyword Map'!$A$2:$A$668,B785,'Page-Keyword Map'!$H$2:$H$668)</f>
        <v>0</v>
      </c>
      <c r="U785" s="15" t="n">
        <f aca="false">COUNTIFS('Page-Keyword Map'!$A$2:$A$668,B785,'Page-Keyword Map'!$E$2:$E$668,"Nationwide")</f>
        <v>0</v>
      </c>
      <c r="V785" s="15" t="n">
        <f aca="false">COUNTIFS('Page-Keyword Map'!$A$2:$A$668,B785,'Page-Keyword Map'!$E$2:$E$668,"Provincial")</f>
        <v>0</v>
      </c>
      <c r="W785" s="15" t="n">
        <f aca="false">COUNTIFS('Page-Keyword Map'!$A$2:$A$668,B785,'Page-Keyword Map'!$E$2:$E$668,"City")</f>
        <v>0</v>
      </c>
      <c r="X785" s="15" t="str">
        <f aca="false">IF(O785="","",IF(ISNUMBER(SEARCH(O785,J785)),"Yes","No"))</f>
        <v/>
      </c>
      <c r="Y785" s="15" t="n">
        <v>0.6</v>
      </c>
      <c r="Z785" s="15" t="s">
        <v>4577</v>
      </c>
      <c r="AA785" s="15" t="s">
        <v>131</v>
      </c>
      <c r="AB785" s="17"/>
      <c r="AC785" s="17"/>
    </row>
    <row r="786" customFormat="false" ht="23.85" hidden="false" customHeight="false" outlineLevel="0" collapsed="false">
      <c r="A786" s="15" t="s">
        <v>4920</v>
      </c>
      <c r="B786" s="15" t="s">
        <v>4921</v>
      </c>
      <c r="C786" s="15" t="s">
        <v>4572</v>
      </c>
      <c r="D786" s="15" t="s">
        <v>94</v>
      </c>
      <c r="E786" s="15"/>
      <c r="F786" s="15"/>
      <c r="G786" s="15" t="s">
        <v>722</v>
      </c>
      <c r="H786" s="15" t="s">
        <v>2414</v>
      </c>
      <c r="I786" s="15" t="s">
        <v>126</v>
      </c>
      <c r="J786" s="3" t="s">
        <v>4922</v>
      </c>
      <c r="K786" s="15" t="n">
        <f aca="false">LEN(J786)</f>
        <v>66</v>
      </c>
      <c r="L786" s="3" t="s">
        <v>4923</v>
      </c>
      <c r="M786" s="15" t="n">
        <f aca="false">LEN(L786)</f>
        <v>163</v>
      </c>
      <c r="N786" s="3" t="s">
        <v>4924</v>
      </c>
      <c r="O786" s="15"/>
      <c r="P786" s="16"/>
      <c r="Q786" s="15"/>
      <c r="R786" s="15" t="s">
        <v>4925</v>
      </c>
      <c r="S786" s="15" t="n">
        <f aca="false">COUNTIF('Page-Keyword Map'!$A$2:$A$668,B786)</f>
        <v>0</v>
      </c>
      <c r="T786" s="16" t="n">
        <f aca="false">SUMIF('Page-Keyword Map'!$A$2:$A$668,B786,'Page-Keyword Map'!$H$2:$H$668)</f>
        <v>0</v>
      </c>
      <c r="U786" s="15" t="n">
        <f aca="false">COUNTIFS('Page-Keyword Map'!$A$2:$A$668,B786,'Page-Keyword Map'!$E$2:$E$668,"Nationwide")</f>
        <v>0</v>
      </c>
      <c r="V786" s="15" t="n">
        <f aca="false">COUNTIFS('Page-Keyword Map'!$A$2:$A$668,B786,'Page-Keyword Map'!$E$2:$E$668,"Provincial")</f>
        <v>0</v>
      </c>
      <c r="W786" s="15" t="n">
        <f aca="false">COUNTIFS('Page-Keyword Map'!$A$2:$A$668,B786,'Page-Keyword Map'!$E$2:$E$668,"City")</f>
        <v>0</v>
      </c>
      <c r="X786" s="15" t="str">
        <f aca="false">IF(O786="","",IF(ISNUMBER(SEARCH(O786,J786)),"Yes","No"))</f>
        <v/>
      </c>
      <c r="Y786" s="15" t="n">
        <v>0.5</v>
      </c>
      <c r="Z786" s="15" t="s">
        <v>4577</v>
      </c>
      <c r="AA786" s="15" t="s">
        <v>131</v>
      </c>
      <c r="AB786" s="17"/>
      <c r="AC786" s="17"/>
    </row>
    <row r="787" customFormat="false" ht="23.85" hidden="false" customHeight="false" outlineLevel="0" collapsed="false">
      <c r="A787" s="15" t="s">
        <v>4926</v>
      </c>
      <c r="B787" s="15" t="s">
        <v>4927</v>
      </c>
      <c r="C787" s="15" t="s">
        <v>4572</v>
      </c>
      <c r="D787" s="15" t="s">
        <v>94</v>
      </c>
      <c r="E787" s="15"/>
      <c r="F787" s="15"/>
      <c r="G787" s="15" t="s">
        <v>729</v>
      </c>
      <c r="H787" s="15"/>
      <c r="I787" s="15" t="s">
        <v>126</v>
      </c>
      <c r="J787" s="3" t="s">
        <v>4928</v>
      </c>
      <c r="K787" s="15" t="n">
        <f aca="false">LEN(J787)</f>
        <v>56</v>
      </c>
      <c r="L787" s="3" t="s">
        <v>4929</v>
      </c>
      <c r="M787" s="15" t="n">
        <f aca="false">LEN(L787)</f>
        <v>162</v>
      </c>
      <c r="N787" s="3" t="s">
        <v>4930</v>
      </c>
      <c r="O787" s="15"/>
      <c r="P787" s="16"/>
      <c r="Q787" s="15"/>
      <c r="R787" s="15" t="s">
        <v>4931</v>
      </c>
      <c r="S787" s="15" t="n">
        <f aca="false">COUNTIF('Page-Keyword Map'!$A$2:$A$668,B787)</f>
        <v>0</v>
      </c>
      <c r="T787" s="16" t="n">
        <f aca="false">SUMIF('Page-Keyword Map'!$A$2:$A$668,B787,'Page-Keyword Map'!$H$2:$H$668)</f>
        <v>0</v>
      </c>
      <c r="U787" s="15" t="n">
        <f aca="false">COUNTIFS('Page-Keyword Map'!$A$2:$A$668,B787,'Page-Keyword Map'!$E$2:$E$668,"Nationwide")</f>
        <v>0</v>
      </c>
      <c r="V787" s="15" t="n">
        <f aca="false">COUNTIFS('Page-Keyword Map'!$A$2:$A$668,B787,'Page-Keyword Map'!$E$2:$E$668,"Provincial")</f>
        <v>0</v>
      </c>
      <c r="W787" s="15" t="n">
        <f aca="false">COUNTIFS('Page-Keyword Map'!$A$2:$A$668,B787,'Page-Keyword Map'!$E$2:$E$668,"City")</f>
        <v>0</v>
      </c>
      <c r="X787" s="15" t="str">
        <f aca="false">IF(O787="","",IF(ISNUMBER(SEARCH(O787,J787)),"Yes","No"))</f>
        <v/>
      </c>
      <c r="Y787" s="15" t="n">
        <v>0.6</v>
      </c>
      <c r="Z787" s="15" t="s">
        <v>4577</v>
      </c>
      <c r="AA787" s="15" t="s">
        <v>131</v>
      </c>
      <c r="AB787" s="17"/>
      <c r="AC787" s="17"/>
    </row>
    <row r="788" customFormat="false" ht="23.85" hidden="false" customHeight="false" outlineLevel="0" collapsed="false">
      <c r="A788" s="15" t="s">
        <v>4932</v>
      </c>
      <c r="B788" s="15" t="s">
        <v>4933</v>
      </c>
      <c r="C788" s="15" t="s">
        <v>4572</v>
      </c>
      <c r="D788" s="15" t="s">
        <v>94</v>
      </c>
      <c r="E788" s="15"/>
      <c r="F788" s="15"/>
      <c r="G788" s="15" t="s">
        <v>729</v>
      </c>
      <c r="H788" s="15" t="s">
        <v>2421</v>
      </c>
      <c r="I788" s="15" t="s">
        <v>126</v>
      </c>
      <c r="J788" s="3" t="s">
        <v>4934</v>
      </c>
      <c r="K788" s="15" t="n">
        <f aca="false">LEN(J788)</f>
        <v>61</v>
      </c>
      <c r="L788" s="3" t="s">
        <v>4935</v>
      </c>
      <c r="M788" s="15" t="n">
        <f aca="false">LEN(L788)</f>
        <v>144</v>
      </c>
      <c r="N788" s="3" t="s">
        <v>4936</v>
      </c>
      <c r="O788" s="15"/>
      <c r="P788" s="16"/>
      <c r="Q788" s="15"/>
      <c r="R788" s="15" t="s">
        <v>4937</v>
      </c>
      <c r="S788" s="15" t="n">
        <f aca="false">COUNTIF('Page-Keyword Map'!$A$2:$A$668,B788)</f>
        <v>0</v>
      </c>
      <c r="T788" s="16" t="n">
        <f aca="false">SUMIF('Page-Keyword Map'!$A$2:$A$668,B788,'Page-Keyword Map'!$H$2:$H$668)</f>
        <v>0</v>
      </c>
      <c r="U788" s="15" t="n">
        <f aca="false">COUNTIFS('Page-Keyword Map'!$A$2:$A$668,B788,'Page-Keyword Map'!$E$2:$E$668,"Nationwide")</f>
        <v>0</v>
      </c>
      <c r="V788" s="15" t="n">
        <f aca="false">COUNTIFS('Page-Keyword Map'!$A$2:$A$668,B788,'Page-Keyword Map'!$E$2:$E$668,"Provincial")</f>
        <v>0</v>
      </c>
      <c r="W788" s="15" t="n">
        <f aca="false">COUNTIFS('Page-Keyword Map'!$A$2:$A$668,B788,'Page-Keyword Map'!$E$2:$E$668,"City")</f>
        <v>0</v>
      </c>
      <c r="X788" s="15" t="str">
        <f aca="false">IF(O788="","",IF(ISNUMBER(SEARCH(O788,J788)),"Yes","No"))</f>
        <v/>
      </c>
      <c r="Y788" s="15" t="n">
        <v>0.5</v>
      </c>
      <c r="Z788" s="15" t="s">
        <v>4577</v>
      </c>
      <c r="AA788" s="15" t="s">
        <v>131</v>
      </c>
      <c r="AB788" s="17"/>
      <c r="AC788" s="17"/>
    </row>
    <row r="789" customFormat="false" ht="23.85" hidden="false" customHeight="false" outlineLevel="0" collapsed="false">
      <c r="A789" s="15" t="s">
        <v>4938</v>
      </c>
      <c r="B789" s="15" t="s">
        <v>4939</v>
      </c>
      <c r="C789" s="15" t="s">
        <v>4572</v>
      </c>
      <c r="D789" s="15" t="s">
        <v>94</v>
      </c>
      <c r="E789" s="15"/>
      <c r="F789" s="15"/>
      <c r="G789" s="15" t="s">
        <v>729</v>
      </c>
      <c r="H789" s="15" t="s">
        <v>2428</v>
      </c>
      <c r="I789" s="15" t="s">
        <v>126</v>
      </c>
      <c r="J789" s="3" t="s">
        <v>4940</v>
      </c>
      <c r="K789" s="15" t="n">
        <f aca="false">LEN(J789)</f>
        <v>58</v>
      </c>
      <c r="L789" s="3" t="s">
        <v>4941</v>
      </c>
      <c r="M789" s="15" t="n">
        <f aca="false">LEN(L789)</f>
        <v>141</v>
      </c>
      <c r="N789" s="3" t="s">
        <v>4942</v>
      </c>
      <c r="O789" s="15"/>
      <c r="P789" s="16"/>
      <c r="Q789" s="15"/>
      <c r="R789" s="15" t="s">
        <v>4943</v>
      </c>
      <c r="S789" s="15" t="n">
        <f aca="false">COUNTIF('Page-Keyword Map'!$A$2:$A$668,B789)</f>
        <v>0</v>
      </c>
      <c r="T789" s="16" t="n">
        <f aca="false">SUMIF('Page-Keyword Map'!$A$2:$A$668,B789,'Page-Keyword Map'!$H$2:$H$668)</f>
        <v>0</v>
      </c>
      <c r="U789" s="15" t="n">
        <f aca="false">COUNTIFS('Page-Keyword Map'!$A$2:$A$668,B789,'Page-Keyword Map'!$E$2:$E$668,"Nationwide")</f>
        <v>0</v>
      </c>
      <c r="V789" s="15" t="n">
        <f aca="false">COUNTIFS('Page-Keyword Map'!$A$2:$A$668,B789,'Page-Keyword Map'!$E$2:$E$668,"Provincial")</f>
        <v>0</v>
      </c>
      <c r="W789" s="15" t="n">
        <f aca="false">COUNTIFS('Page-Keyword Map'!$A$2:$A$668,B789,'Page-Keyword Map'!$E$2:$E$668,"City")</f>
        <v>0</v>
      </c>
      <c r="X789" s="15" t="str">
        <f aca="false">IF(O789="","",IF(ISNUMBER(SEARCH(O789,J789)),"Yes","No"))</f>
        <v/>
      </c>
      <c r="Y789" s="15" t="n">
        <v>0.5</v>
      </c>
      <c r="Z789" s="15" t="s">
        <v>4577</v>
      </c>
      <c r="AA789" s="15" t="s">
        <v>131</v>
      </c>
      <c r="AB789" s="17"/>
      <c r="AC789" s="17"/>
    </row>
    <row r="790" customFormat="false" ht="23.85" hidden="false" customHeight="false" outlineLevel="0" collapsed="false">
      <c r="A790" s="15" t="s">
        <v>4944</v>
      </c>
      <c r="B790" s="15" t="s">
        <v>4945</v>
      </c>
      <c r="C790" s="15" t="s">
        <v>4572</v>
      </c>
      <c r="D790" s="15" t="s">
        <v>94</v>
      </c>
      <c r="E790" s="15"/>
      <c r="F790" s="15"/>
      <c r="G790" s="15" t="s">
        <v>729</v>
      </c>
      <c r="H790" s="15" t="s">
        <v>2435</v>
      </c>
      <c r="I790" s="15" t="s">
        <v>126</v>
      </c>
      <c r="J790" s="3" t="s">
        <v>4946</v>
      </c>
      <c r="K790" s="15" t="n">
        <f aca="false">LEN(J790)</f>
        <v>62</v>
      </c>
      <c r="L790" s="3" t="s">
        <v>4947</v>
      </c>
      <c r="M790" s="15" t="n">
        <f aca="false">LEN(L790)</f>
        <v>145</v>
      </c>
      <c r="N790" s="3" t="s">
        <v>4948</v>
      </c>
      <c r="O790" s="15"/>
      <c r="P790" s="16"/>
      <c r="Q790" s="15"/>
      <c r="R790" s="15" t="s">
        <v>4949</v>
      </c>
      <c r="S790" s="15" t="n">
        <f aca="false">COUNTIF('Page-Keyword Map'!$A$2:$A$668,B790)</f>
        <v>0</v>
      </c>
      <c r="T790" s="16" t="n">
        <f aca="false">SUMIF('Page-Keyword Map'!$A$2:$A$668,B790,'Page-Keyword Map'!$H$2:$H$668)</f>
        <v>0</v>
      </c>
      <c r="U790" s="15" t="n">
        <f aca="false">COUNTIFS('Page-Keyword Map'!$A$2:$A$668,B790,'Page-Keyword Map'!$E$2:$E$668,"Nationwide")</f>
        <v>0</v>
      </c>
      <c r="V790" s="15" t="n">
        <f aca="false">COUNTIFS('Page-Keyword Map'!$A$2:$A$668,B790,'Page-Keyword Map'!$E$2:$E$668,"Provincial")</f>
        <v>0</v>
      </c>
      <c r="W790" s="15" t="n">
        <f aca="false">COUNTIFS('Page-Keyword Map'!$A$2:$A$668,B790,'Page-Keyword Map'!$E$2:$E$668,"City")</f>
        <v>0</v>
      </c>
      <c r="X790" s="15" t="str">
        <f aca="false">IF(O790="","",IF(ISNUMBER(SEARCH(O790,J790)),"Yes","No"))</f>
        <v/>
      </c>
      <c r="Y790" s="15" t="n">
        <v>0.5</v>
      </c>
      <c r="Z790" s="15" t="s">
        <v>4577</v>
      </c>
      <c r="AA790" s="15" t="s">
        <v>131</v>
      </c>
      <c r="AB790" s="17"/>
      <c r="AC790" s="17"/>
    </row>
    <row r="791" customFormat="false" ht="23.85" hidden="false" customHeight="false" outlineLevel="0" collapsed="false">
      <c r="A791" s="15" t="s">
        <v>4950</v>
      </c>
      <c r="B791" s="15" t="s">
        <v>4951</v>
      </c>
      <c r="C791" s="15" t="s">
        <v>4572</v>
      </c>
      <c r="D791" s="15" t="s">
        <v>94</v>
      </c>
      <c r="E791" s="15"/>
      <c r="F791" s="15"/>
      <c r="G791" s="15" t="s">
        <v>729</v>
      </c>
      <c r="H791" s="15" t="s">
        <v>2442</v>
      </c>
      <c r="I791" s="15" t="s">
        <v>126</v>
      </c>
      <c r="J791" s="3" t="s">
        <v>4952</v>
      </c>
      <c r="K791" s="15" t="n">
        <f aca="false">LEN(J791)</f>
        <v>61</v>
      </c>
      <c r="L791" s="3" t="s">
        <v>4953</v>
      </c>
      <c r="M791" s="15" t="n">
        <f aca="false">LEN(L791)</f>
        <v>144</v>
      </c>
      <c r="N791" s="3" t="s">
        <v>4954</v>
      </c>
      <c r="O791" s="15"/>
      <c r="P791" s="16"/>
      <c r="Q791" s="15"/>
      <c r="R791" s="15" t="s">
        <v>4955</v>
      </c>
      <c r="S791" s="15" t="n">
        <f aca="false">COUNTIF('Page-Keyword Map'!$A$2:$A$668,B791)</f>
        <v>0</v>
      </c>
      <c r="T791" s="16" t="n">
        <f aca="false">SUMIF('Page-Keyword Map'!$A$2:$A$668,B791,'Page-Keyword Map'!$H$2:$H$668)</f>
        <v>0</v>
      </c>
      <c r="U791" s="15" t="n">
        <f aca="false">COUNTIFS('Page-Keyword Map'!$A$2:$A$668,B791,'Page-Keyword Map'!$E$2:$E$668,"Nationwide")</f>
        <v>0</v>
      </c>
      <c r="V791" s="15" t="n">
        <f aca="false">COUNTIFS('Page-Keyword Map'!$A$2:$A$668,B791,'Page-Keyword Map'!$E$2:$E$668,"Provincial")</f>
        <v>0</v>
      </c>
      <c r="W791" s="15" t="n">
        <f aca="false">COUNTIFS('Page-Keyword Map'!$A$2:$A$668,B791,'Page-Keyword Map'!$E$2:$E$668,"City")</f>
        <v>0</v>
      </c>
      <c r="X791" s="15" t="str">
        <f aca="false">IF(O791="","",IF(ISNUMBER(SEARCH(O791,J791)),"Yes","No"))</f>
        <v/>
      </c>
      <c r="Y791" s="15" t="n">
        <v>0.5</v>
      </c>
      <c r="Z791" s="15" t="s">
        <v>4577</v>
      </c>
      <c r="AA791" s="15" t="s">
        <v>131</v>
      </c>
      <c r="AB791" s="17"/>
      <c r="AC791" s="17"/>
    </row>
    <row r="792" customFormat="false" ht="23.85" hidden="false" customHeight="false" outlineLevel="0" collapsed="false">
      <c r="A792" s="15" t="s">
        <v>4956</v>
      </c>
      <c r="B792" s="15" t="s">
        <v>4957</v>
      </c>
      <c r="C792" s="15" t="s">
        <v>4572</v>
      </c>
      <c r="D792" s="15" t="s">
        <v>94</v>
      </c>
      <c r="E792" s="15"/>
      <c r="F792" s="15"/>
      <c r="G792" s="15" t="s">
        <v>729</v>
      </c>
      <c r="H792" s="15" t="s">
        <v>2449</v>
      </c>
      <c r="I792" s="15" t="s">
        <v>126</v>
      </c>
      <c r="J792" s="3" t="s">
        <v>4958</v>
      </c>
      <c r="K792" s="15" t="n">
        <f aca="false">LEN(J792)</f>
        <v>64</v>
      </c>
      <c r="L792" s="3" t="s">
        <v>4959</v>
      </c>
      <c r="M792" s="15" t="n">
        <f aca="false">LEN(L792)</f>
        <v>147</v>
      </c>
      <c r="N792" s="3" t="s">
        <v>4960</v>
      </c>
      <c r="O792" s="15"/>
      <c r="P792" s="16"/>
      <c r="Q792" s="15"/>
      <c r="R792" s="15" t="s">
        <v>4961</v>
      </c>
      <c r="S792" s="15" t="n">
        <f aca="false">COUNTIF('Page-Keyword Map'!$A$2:$A$668,B792)</f>
        <v>0</v>
      </c>
      <c r="T792" s="16" t="n">
        <f aca="false">SUMIF('Page-Keyword Map'!$A$2:$A$668,B792,'Page-Keyword Map'!$H$2:$H$668)</f>
        <v>0</v>
      </c>
      <c r="U792" s="15" t="n">
        <f aca="false">COUNTIFS('Page-Keyword Map'!$A$2:$A$668,B792,'Page-Keyword Map'!$E$2:$E$668,"Nationwide")</f>
        <v>0</v>
      </c>
      <c r="V792" s="15" t="n">
        <f aca="false">COUNTIFS('Page-Keyword Map'!$A$2:$A$668,B792,'Page-Keyword Map'!$E$2:$E$668,"Provincial")</f>
        <v>0</v>
      </c>
      <c r="W792" s="15" t="n">
        <f aca="false">COUNTIFS('Page-Keyword Map'!$A$2:$A$668,B792,'Page-Keyword Map'!$E$2:$E$668,"City")</f>
        <v>0</v>
      </c>
      <c r="X792" s="15" t="str">
        <f aca="false">IF(O792="","",IF(ISNUMBER(SEARCH(O792,J792)),"Yes","No"))</f>
        <v/>
      </c>
      <c r="Y792" s="15" t="n">
        <v>0.5</v>
      </c>
      <c r="Z792" s="15" t="s">
        <v>4577</v>
      </c>
      <c r="AA792" s="15" t="s">
        <v>131</v>
      </c>
      <c r="AB792" s="17"/>
      <c r="AC792" s="17"/>
    </row>
    <row r="793" customFormat="false" ht="23.85" hidden="false" customHeight="false" outlineLevel="0" collapsed="false">
      <c r="A793" s="15" t="s">
        <v>4962</v>
      </c>
      <c r="B793" s="15" t="s">
        <v>4963</v>
      </c>
      <c r="C793" s="15" t="s">
        <v>4572</v>
      </c>
      <c r="D793" s="15" t="s">
        <v>94</v>
      </c>
      <c r="E793" s="15"/>
      <c r="F793" s="15"/>
      <c r="G793" s="15" t="s">
        <v>729</v>
      </c>
      <c r="H793" s="15" t="s">
        <v>2456</v>
      </c>
      <c r="I793" s="15" t="s">
        <v>211</v>
      </c>
      <c r="J793" s="3" t="s">
        <v>4964</v>
      </c>
      <c r="K793" s="15" t="n">
        <f aca="false">LEN(J793)</f>
        <v>63</v>
      </c>
      <c r="L793" s="3" t="s">
        <v>4965</v>
      </c>
      <c r="M793" s="15" t="n">
        <f aca="false">LEN(L793)</f>
        <v>146</v>
      </c>
      <c r="N793" s="3" t="s">
        <v>4966</v>
      </c>
      <c r="O793" s="15"/>
      <c r="P793" s="16"/>
      <c r="Q793" s="15"/>
      <c r="R793" s="15" t="s">
        <v>4967</v>
      </c>
      <c r="S793" s="15" t="n">
        <f aca="false">COUNTIF('Page-Keyword Map'!$A$2:$A$668,B793)</f>
        <v>0</v>
      </c>
      <c r="T793" s="16" t="n">
        <f aca="false">SUMIF('Page-Keyword Map'!$A$2:$A$668,B793,'Page-Keyword Map'!$H$2:$H$668)</f>
        <v>0</v>
      </c>
      <c r="U793" s="15" t="n">
        <f aca="false">COUNTIFS('Page-Keyword Map'!$A$2:$A$668,B793,'Page-Keyword Map'!$E$2:$E$668,"Nationwide")</f>
        <v>0</v>
      </c>
      <c r="V793" s="15" t="n">
        <f aca="false">COUNTIFS('Page-Keyword Map'!$A$2:$A$668,B793,'Page-Keyword Map'!$E$2:$E$668,"Provincial")</f>
        <v>0</v>
      </c>
      <c r="W793" s="15" t="n">
        <f aca="false">COUNTIFS('Page-Keyword Map'!$A$2:$A$668,B793,'Page-Keyword Map'!$E$2:$E$668,"City")</f>
        <v>0</v>
      </c>
      <c r="X793" s="15" t="str">
        <f aca="false">IF(O793="","",IF(ISNUMBER(SEARCH(O793,J793)),"Yes","No"))</f>
        <v/>
      </c>
      <c r="Y793" s="15" t="n">
        <v>0.5</v>
      </c>
      <c r="Z793" s="15" t="s">
        <v>216</v>
      </c>
      <c r="AA793" s="15" t="s">
        <v>217</v>
      </c>
      <c r="AB793" s="17"/>
      <c r="AC793" s="17"/>
    </row>
    <row r="794" customFormat="false" ht="23.85" hidden="false" customHeight="false" outlineLevel="0" collapsed="false">
      <c r="A794" s="15" t="s">
        <v>4968</v>
      </c>
      <c r="B794" s="15" t="s">
        <v>4969</v>
      </c>
      <c r="C794" s="15" t="s">
        <v>4572</v>
      </c>
      <c r="D794" s="15" t="s">
        <v>94</v>
      </c>
      <c r="E794" s="15"/>
      <c r="F794" s="15"/>
      <c r="G794" s="15" t="s">
        <v>736</v>
      </c>
      <c r="H794" s="15"/>
      <c r="I794" s="15" t="s">
        <v>126</v>
      </c>
      <c r="J794" s="3" t="s">
        <v>4970</v>
      </c>
      <c r="K794" s="15" t="n">
        <f aca="false">LEN(J794)</f>
        <v>62</v>
      </c>
      <c r="L794" s="3" t="s">
        <v>4971</v>
      </c>
      <c r="M794" s="15" t="n">
        <f aca="false">LEN(L794)</f>
        <v>158</v>
      </c>
      <c r="N794" s="3" t="s">
        <v>4972</v>
      </c>
      <c r="O794" s="15"/>
      <c r="P794" s="16"/>
      <c r="Q794" s="15"/>
      <c r="R794" s="15" t="s">
        <v>4973</v>
      </c>
      <c r="S794" s="15" t="n">
        <f aca="false">COUNTIF('Page-Keyword Map'!$A$2:$A$668,B794)</f>
        <v>0</v>
      </c>
      <c r="T794" s="16" t="n">
        <f aca="false">SUMIF('Page-Keyword Map'!$A$2:$A$668,B794,'Page-Keyword Map'!$H$2:$H$668)</f>
        <v>0</v>
      </c>
      <c r="U794" s="15" t="n">
        <f aca="false">COUNTIFS('Page-Keyword Map'!$A$2:$A$668,B794,'Page-Keyword Map'!$E$2:$E$668,"Nationwide")</f>
        <v>0</v>
      </c>
      <c r="V794" s="15" t="n">
        <f aca="false">COUNTIFS('Page-Keyword Map'!$A$2:$A$668,B794,'Page-Keyword Map'!$E$2:$E$668,"Provincial")</f>
        <v>0</v>
      </c>
      <c r="W794" s="15" t="n">
        <f aca="false">COUNTIFS('Page-Keyword Map'!$A$2:$A$668,B794,'Page-Keyword Map'!$E$2:$E$668,"City")</f>
        <v>0</v>
      </c>
      <c r="X794" s="15" t="str">
        <f aca="false">IF(O794="","",IF(ISNUMBER(SEARCH(O794,J794)),"Yes","No"))</f>
        <v/>
      </c>
      <c r="Y794" s="15" t="n">
        <v>0.6</v>
      </c>
      <c r="Z794" s="15" t="s">
        <v>4577</v>
      </c>
      <c r="AA794" s="15" t="s">
        <v>131</v>
      </c>
      <c r="AB794" s="17"/>
      <c r="AC794" s="17"/>
    </row>
    <row r="795" customFormat="false" ht="23.85" hidden="false" customHeight="false" outlineLevel="0" collapsed="false">
      <c r="A795" s="15" t="s">
        <v>4974</v>
      </c>
      <c r="B795" s="15" t="s">
        <v>4975</v>
      </c>
      <c r="C795" s="15" t="s">
        <v>4572</v>
      </c>
      <c r="D795" s="15" t="s">
        <v>94</v>
      </c>
      <c r="E795" s="15"/>
      <c r="F795" s="15"/>
      <c r="G795" s="15" t="s">
        <v>736</v>
      </c>
      <c r="H795" s="15" t="s">
        <v>2463</v>
      </c>
      <c r="I795" s="15" t="s">
        <v>126</v>
      </c>
      <c r="J795" s="3" t="s">
        <v>4976</v>
      </c>
      <c r="K795" s="15" t="n">
        <f aca="false">LEN(J795)</f>
        <v>59</v>
      </c>
      <c r="L795" s="3" t="s">
        <v>4977</v>
      </c>
      <c r="M795" s="15" t="n">
        <f aca="false">LEN(L795)</f>
        <v>148</v>
      </c>
      <c r="N795" s="3" t="s">
        <v>4978</v>
      </c>
      <c r="O795" s="15" t="s">
        <v>4979</v>
      </c>
      <c r="P795" s="16" t="n">
        <v>91</v>
      </c>
      <c r="Q795" s="15" t="s">
        <v>104</v>
      </c>
      <c r="R795" s="15"/>
      <c r="S795" s="15" t="n">
        <f aca="false">COUNTIF('Page-Keyword Map'!$A$2:$A$668,B795)</f>
        <v>1</v>
      </c>
      <c r="T795" s="16" t="n">
        <f aca="false">SUMIF('Page-Keyword Map'!$A$2:$A$668,B795,'Page-Keyword Map'!$H$2:$H$668)</f>
        <v>91</v>
      </c>
      <c r="U795" s="15" t="n">
        <f aca="false">COUNTIFS('Page-Keyword Map'!$A$2:$A$668,B795,'Page-Keyword Map'!$E$2:$E$668,"Nationwide")</f>
        <v>0</v>
      </c>
      <c r="V795" s="15" t="n">
        <f aca="false">COUNTIFS('Page-Keyword Map'!$A$2:$A$668,B795,'Page-Keyword Map'!$E$2:$E$668,"Provincial")</f>
        <v>0</v>
      </c>
      <c r="W795" s="15" t="n">
        <f aca="false">COUNTIFS('Page-Keyword Map'!$A$2:$A$668,B795,'Page-Keyword Map'!$E$2:$E$668,"City")</f>
        <v>1</v>
      </c>
      <c r="X795" s="15" t="str">
        <f aca="false">IF(O795="","",IF(ISNUMBER(SEARCH(O795,J795)),"Yes","No"))</f>
        <v>No</v>
      </c>
      <c r="Y795" s="15" t="n">
        <v>0.5</v>
      </c>
      <c r="Z795" s="15" t="s">
        <v>4577</v>
      </c>
      <c r="AA795" s="15" t="s">
        <v>131</v>
      </c>
      <c r="AB795" s="17"/>
      <c r="AC795" s="17"/>
    </row>
    <row r="796" customFormat="false" ht="23.85" hidden="false" customHeight="false" outlineLevel="0" collapsed="false">
      <c r="A796" s="15" t="s">
        <v>4980</v>
      </c>
      <c r="B796" s="15" t="s">
        <v>4981</v>
      </c>
      <c r="C796" s="15" t="s">
        <v>4572</v>
      </c>
      <c r="D796" s="15" t="s">
        <v>94</v>
      </c>
      <c r="E796" s="15"/>
      <c r="F796" s="15"/>
      <c r="G796" s="15" t="s">
        <v>736</v>
      </c>
      <c r="H796" s="15" t="s">
        <v>2470</v>
      </c>
      <c r="I796" s="15" t="s">
        <v>126</v>
      </c>
      <c r="J796" s="3" t="s">
        <v>4982</v>
      </c>
      <c r="K796" s="15" t="n">
        <f aca="false">LEN(J796)</f>
        <v>62</v>
      </c>
      <c r="L796" s="3" t="s">
        <v>4983</v>
      </c>
      <c r="M796" s="15" t="n">
        <f aca="false">LEN(L796)</f>
        <v>151</v>
      </c>
      <c r="N796" s="3" t="s">
        <v>4984</v>
      </c>
      <c r="O796" s="15" t="s">
        <v>4985</v>
      </c>
      <c r="P796" s="16" t="n">
        <v>100</v>
      </c>
      <c r="Q796" s="15" t="s">
        <v>104</v>
      </c>
      <c r="R796" s="15"/>
      <c r="S796" s="15" t="n">
        <f aca="false">COUNTIF('Page-Keyword Map'!$A$2:$A$668,B796)</f>
        <v>1</v>
      </c>
      <c r="T796" s="16" t="n">
        <f aca="false">SUMIF('Page-Keyword Map'!$A$2:$A$668,B796,'Page-Keyword Map'!$H$2:$H$668)</f>
        <v>100</v>
      </c>
      <c r="U796" s="15" t="n">
        <f aca="false">COUNTIFS('Page-Keyword Map'!$A$2:$A$668,B796,'Page-Keyword Map'!$E$2:$E$668,"Nationwide")</f>
        <v>0</v>
      </c>
      <c r="V796" s="15" t="n">
        <f aca="false">COUNTIFS('Page-Keyword Map'!$A$2:$A$668,B796,'Page-Keyword Map'!$E$2:$E$668,"Provincial")</f>
        <v>0</v>
      </c>
      <c r="W796" s="15" t="n">
        <f aca="false">COUNTIFS('Page-Keyword Map'!$A$2:$A$668,B796,'Page-Keyword Map'!$E$2:$E$668,"City")</f>
        <v>1</v>
      </c>
      <c r="X796" s="15" t="str">
        <f aca="false">IF(O796="","",IF(ISNUMBER(SEARCH(O796,J796)),"Yes","No"))</f>
        <v>No</v>
      </c>
      <c r="Y796" s="15" t="n">
        <v>0.5</v>
      </c>
      <c r="Z796" s="15" t="s">
        <v>4577</v>
      </c>
      <c r="AA796" s="15" t="s">
        <v>131</v>
      </c>
      <c r="AB796" s="17"/>
      <c r="AC796" s="17"/>
    </row>
    <row r="797" customFormat="false" ht="23.85" hidden="false" customHeight="false" outlineLevel="0" collapsed="false">
      <c r="A797" s="15" t="s">
        <v>4986</v>
      </c>
      <c r="B797" s="15" t="s">
        <v>4987</v>
      </c>
      <c r="C797" s="15" t="s">
        <v>4572</v>
      </c>
      <c r="D797" s="15" t="s">
        <v>94</v>
      </c>
      <c r="E797" s="15"/>
      <c r="F797" s="15"/>
      <c r="G797" s="15" t="s">
        <v>743</v>
      </c>
      <c r="H797" s="15"/>
      <c r="I797" s="15" t="s">
        <v>126</v>
      </c>
      <c r="J797" s="3" t="s">
        <v>4988</v>
      </c>
      <c r="K797" s="15" t="n">
        <f aca="false">LEN(J797)</f>
        <v>55</v>
      </c>
      <c r="L797" s="3" t="s">
        <v>4989</v>
      </c>
      <c r="M797" s="15" t="n">
        <f aca="false">LEN(L797)</f>
        <v>157</v>
      </c>
      <c r="N797" s="3" t="s">
        <v>4990</v>
      </c>
      <c r="O797" s="15"/>
      <c r="P797" s="16"/>
      <c r="Q797" s="15"/>
      <c r="R797" s="15" t="s">
        <v>4991</v>
      </c>
      <c r="S797" s="15" t="n">
        <f aca="false">COUNTIF('Page-Keyword Map'!$A$2:$A$668,B797)</f>
        <v>0</v>
      </c>
      <c r="T797" s="16" t="n">
        <f aca="false">SUMIF('Page-Keyword Map'!$A$2:$A$668,B797,'Page-Keyword Map'!$H$2:$H$668)</f>
        <v>0</v>
      </c>
      <c r="U797" s="15" t="n">
        <f aca="false">COUNTIFS('Page-Keyword Map'!$A$2:$A$668,B797,'Page-Keyword Map'!$E$2:$E$668,"Nationwide")</f>
        <v>0</v>
      </c>
      <c r="V797" s="15" t="n">
        <f aca="false">COUNTIFS('Page-Keyword Map'!$A$2:$A$668,B797,'Page-Keyword Map'!$E$2:$E$668,"Provincial")</f>
        <v>0</v>
      </c>
      <c r="W797" s="15" t="n">
        <f aca="false">COUNTIFS('Page-Keyword Map'!$A$2:$A$668,B797,'Page-Keyword Map'!$E$2:$E$668,"City")</f>
        <v>0</v>
      </c>
      <c r="X797" s="15" t="str">
        <f aca="false">IF(O797="","",IF(ISNUMBER(SEARCH(O797,J797)),"Yes","No"))</f>
        <v/>
      </c>
      <c r="Y797" s="15" t="n">
        <v>0.6</v>
      </c>
      <c r="Z797" s="15" t="s">
        <v>4577</v>
      </c>
      <c r="AA797" s="15" t="s">
        <v>131</v>
      </c>
      <c r="AB797" s="17"/>
      <c r="AC797" s="17"/>
    </row>
    <row r="798" customFormat="false" ht="23.85" hidden="false" customHeight="false" outlineLevel="0" collapsed="false">
      <c r="A798" s="15" t="s">
        <v>4992</v>
      </c>
      <c r="B798" s="15" t="s">
        <v>4993</v>
      </c>
      <c r="C798" s="15" t="s">
        <v>4572</v>
      </c>
      <c r="D798" s="15" t="s">
        <v>94</v>
      </c>
      <c r="E798" s="15"/>
      <c r="F798" s="15"/>
      <c r="G798" s="15" t="s">
        <v>743</v>
      </c>
      <c r="H798" s="15" t="s">
        <v>2477</v>
      </c>
      <c r="I798" s="15" t="s">
        <v>211</v>
      </c>
      <c r="J798" s="3" t="s">
        <v>4994</v>
      </c>
      <c r="K798" s="15" t="n">
        <f aca="false">LEN(J798)</f>
        <v>63</v>
      </c>
      <c r="L798" s="3" t="s">
        <v>4995</v>
      </c>
      <c r="M798" s="15" t="n">
        <f aca="false">LEN(L798)</f>
        <v>145</v>
      </c>
      <c r="N798" s="3" t="s">
        <v>4996</v>
      </c>
      <c r="O798" s="15"/>
      <c r="P798" s="16"/>
      <c r="Q798" s="15"/>
      <c r="R798" s="15" t="s">
        <v>4997</v>
      </c>
      <c r="S798" s="15" t="n">
        <f aca="false">COUNTIF('Page-Keyword Map'!$A$2:$A$668,B798)</f>
        <v>0</v>
      </c>
      <c r="T798" s="16" t="n">
        <f aca="false">SUMIF('Page-Keyword Map'!$A$2:$A$668,B798,'Page-Keyword Map'!$H$2:$H$668)</f>
        <v>0</v>
      </c>
      <c r="U798" s="15" t="n">
        <f aca="false">COUNTIFS('Page-Keyword Map'!$A$2:$A$668,B798,'Page-Keyword Map'!$E$2:$E$668,"Nationwide")</f>
        <v>0</v>
      </c>
      <c r="V798" s="15" t="n">
        <f aca="false">COUNTIFS('Page-Keyword Map'!$A$2:$A$668,B798,'Page-Keyword Map'!$E$2:$E$668,"Provincial")</f>
        <v>0</v>
      </c>
      <c r="W798" s="15" t="n">
        <f aca="false">COUNTIFS('Page-Keyword Map'!$A$2:$A$668,B798,'Page-Keyword Map'!$E$2:$E$668,"City")</f>
        <v>0</v>
      </c>
      <c r="X798" s="15" t="str">
        <f aca="false">IF(O798="","",IF(ISNUMBER(SEARCH(O798,J798)),"Yes","No"))</f>
        <v/>
      </c>
      <c r="Y798" s="15" t="n">
        <v>0.5</v>
      </c>
      <c r="Z798" s="15" t="s">
        <v>216</v>
      </c>
      <c r="AA798" s="15" t="s">
        <v>217</v>
      </c>
      <c r="AB798" s="17"/>
      <c r="AC798" s="17"/>
    </row>
    <row r="799" customFormat="false" ht="23.85" hidden="false" customHeight="false" outlineLevel="0" collapsed="false">
      <c r="A799" s="15" t="s">
        <v>4998</v>
      </c>
      <c r="B799" s="15" t="s">
        <v>4999</v>
      </c>
      <c r="C799" s="15" t="s">
        <v>5000</v>
      </c>
      <c r="D799" s="15" t="s">
        <v>82</v>
      </c>
      <c r="E799" s="15" t="s">
        <v>265</v>
      </c>
      <c r="F799" s="15"/>
      <c r="G799" s="15"/>
      <c r="H799" s="15"/>
      <c r="I799" s="15" t="s">
        <v>126</v>
      </c>
      <c r="J799" s="3" t="s">
        <v>5001</v>
      </c>
      <c r="K799" s="15" t="n">
        <f aca="false">LEN(J799)</f>
        <v>51</v>
      </c>
      <c r="L799" s="3" t="s">
        <v>5002</v>
      </c>
      <c r="M799" s="15" t="n">
        <f aca="false">LEN(L799)</f>
        <v>151</v>
      </c>
      <c r="N799" s="3" t="s">
        <v>5003</v>
      </c>
      <c r="O799" s="15" t="s">
        <v>5004</v>
      </c>
      <c r="P799" s="16" t="n">
        <v>1900</v>
      </c>
      <c r="Q799" s="15" t="s">
        <v>662</v>
      </c>
      <c r="R799" s="15"/>
      <c r="S799" s="15" t="n">
        <f aca="false">COUNTIF('Page-Keyword Map'!$A$2:$A$668,B799)</f>
        <v>3</v>
      </c>
      <c r="T799" s="16" t="n">
        <f aca="false">SUMIF('Page-Keyword Map'!$A$2:$A$668,B799,'Page-Keyword Map'!$H$2:$H$668)</f>
        <v>4220</v>
      </c>
      <c r="U799" s="15" t="n">
        <f aca="false">COUNTIFS('Page-Keyword Map'!$A$2:$A$668,B799,'Page-Keyword Map'!$E$2:$E$668,"Nationwide")</f>
        <v>0</v>
      </c>
      <c r="V799" s="15" t="n">
        <f aca="false">COUNTIFS('Page-Keyword Map'!$A$2:$A$668,B799,'Page-Keyword Map'!$E$2:$E$668,"Provincial")</f>
        <v>3</v>
      </c>
      <c r="W799" s="15" t="n">
        <f aca="false">COUNTIFS('Page-Keyword Map'!$A$2:$A$668,B799,'Page-Keyword Map'!$E$2:$E$668,"City")</f>
        <v>0</v>
      </c>
      <c r="X799" s="15" t="str">
        <f aca="false">IF(O799="","",IF(ISNUMBER(SEARCH(O799,J799)),"Yes","No"))</f>
        <v>No</v>
      </c>
      <c r="Y799" s="15" t="n">
        <v>0.7</v>
      </c>
      <c r="Z799" s="15" t="s">
        <v>5005</v>
      </c>
      <c r="AA799" s="15" t="s">
        <v>131</v>
      </c>
      <c r="AB799" s="17"/>
      <c r="AC799" s="17"/>
    </row>
    <row r="800" customFormat="false" ht="23.85" hidden="false" customHeight="false" outlineLevel="0" collapsed="false">
      <c r="A800" s="15" t="s">
        <v>5006</v>
      </c>
      <c r="B800" s="15" t="s">
        <v>5007</v>
      </c>
      <c r="C800" s="15" t="s">
        <v>5000</v>
      </c>
      <c r="D800" s="15" t="s">
        <v>84</v>
      </c>
      <c r="E800" s="15" t="s">
        <v>314</v>
      </c>
      <c r="F800" s="15"/>
      <c r="G800" s="15"/>
      <c r="H800" s="15"/>
      <c r="I800" s="15" t="s">
        <v>126</v>
      </c>
      <c r="J800" s="3" t="s">
        <v>5008</v>
      </c>
      <c r="K800" s="15" t="n">
        <f aca="false">LEN(J800)</f>
        <v>51</v>
      </c>
      <c r="L800" s="3" t="s">
        <v>5009</v>
      </c>
      <c r="M800" s="15" t="n">
        <f aca="false">LEN(L800)</f>
        <v>152</v>
      </c>
      <c r="N800" s="3" t="s">
        <v>5010</v>
      </c>
      <c r="O800" s="15" t="s">
        <v>5011</v>
      </c>
      <c r="P800" s="16" t="n">
        <v>590</v>
      </c>
      <c r="Q800" s="15" t="s">
        <v>147</v>
      </c>
      <c r="R800" s="15"/>
      <c r="S800" s="15" t="n">
        <f aca="false">COUNTIF('Page-Keyword Map'!$A$2:$A$668,B800)</f>
        <v>3</v>
      </c>
      <c r="T800" s="16" t="n">
        <f aca="false">SUMIF('Page-Keyword Map'!$A$2:$A$668,B800,'Page-Keyword Map'!$H$2:$H$668)</f>
        <v>1070</v>
      </c>
      <c r="U800" s="15" t="n">
        <f aca="false">COUNTIFS('Page-Keyword Map'!$A$2:$A$668,B800,'Page-Keyword Map'!$E$2:$E$668,"Nationwide")</f>
        <v>1</v>
      </c>
      <c r="V800" s="15" t="n">
        <f aca="false">COUNTIFS('Page-Keyword Map'!$A$2:$A$668,B800,'Page-Keyword Map'!$E$2:$E$668,"Provincial")</f>
        <v>0</v>
      </c>
      <c r="W800" s="15" t="n">
        <f aca="false">COUNTIFS('Page-Keyword Map'!$A$2:$A$668,B800,'Page-Keyword Map'!$E$2:$E$668,"City")</f>
        <v>2</v>
      </c>
      <c r="X800" s="15" t="str">
        <f aca="false">IF(O800="","",IF(ISNUMBER(SEARCH(O800,J800)),"Yes","No"))</f>
        <v>No</v>
      </c>
      <c r="Y800" s="15" t="n">
        <v>0.7</v>
      </c>
      <c r="Z800" s="15" t="s">
        <v>5005</v>
      </c>
      <c r="AA800" s="15" t="s">
        <v>131</v>
      </c>
      <c r="AB800" s="17"/>
      <c r="AC800" s="17"/>
    </row>
    <row r="801" customFormat="false" ht="23.85" hidden="false" customHeight="false" outlineLevel="0" collapsed="false">
      <c r="A801" s="15" t="s">
        <v>5012</v>
      </c>
      <c r="B801" s="15" t="s">
        <v>5013</v>
      </c>
      <c r="C801" s="15" t="s">
        <v>5000</v>
      </c>
      <c r="D801" s="15" t="s">
        <v>85</v>
      </c>
      <c r="E801" s="15" t="s">
        <v>272</v>
      </c>
      <c r="F801" s="15"/>
      <c r="G801" s="15"/>
      <c r="H801" s="15"/>
      <c r="I801" s="15" t="s">
        <v>126</v>
      </c>
      <c r="J801" s="3" t="s">
        <v>5014</v>
      </c>
      <c r="K801" s="15" t="n">
        <f aca="false">LEN(J801)</f>
        <v>63</v>
      </c>
      <c r="L801" s="3" t="s">
        <v>5015</v>
      </c>
      <c r="M801" s="15" t="n">
        <f aca="false">LEN(L801)</f>
        <v>157</v>
      </c>
      <c r="N801" s="3" t="s">
        <v>5016</v>
      </c>
      <c r="O801" s="15" t="s">
        <v>5017</v>
      </c>
      <c r="P801" s="16" t="n">
        <v>480</v>
      </c>
      <c r="Q801" s="15" t="s">
        <v>662</v>
      </c>
      <c r="R801" s="15"/>
      <c r="S801" s="15" t="n">
        <f aca="false">COUNTIF('Page-Keyword Map'!$A$2:$A$668,B801)</f>
        <v>2</v>
      </c>
      <c r="T801" s="16" t="n">
        <f aca="false">SUMIF('Page-Keyword Map'!$A$2:$A$668,B801,'Page-Keyword Map'!$H$2:$H$668)</f>
        <v>870</v>
      </c>
      <c r="U801" s="15" t="n">
        <f aca="false">COUNTIFS('Page-Keyword Map'!$A$2:$A$668,B801,'Page-Keyword Map'!$E$2:$E$668,"Nationwide")</f>
        <v>1</v>
      </c>
      <c r="V801" s="15" t="n">
        <f aca="false">COUNTIFS('Page-Keyword Map'!$A$2:$A$668,B801,'Page-Keyword Map'!$E$2:$E$668,"Provincial")</f>
        <v>1</v>
      </c>
      <c r="W801" s="15" t="n">
        <f aca="false">COUNTIFS('Page-Keyword Map'!$A$2:$A$668,B801,'Page-Keyword Map'!$E$2:$E$668,"City")</f>
        <v>0</v>
      </c>
      <c r="X801" s="15" t="str">
        <f aca="false">IF(O801="","",IF(ISNUMBER(SEARCH(O801,J801)),"Yes","No"))</f>
        <v>No</v>
      </c>
      <c r="Y801" s="15" t="n">
        <v>0.7</v>
      </c>
      <c r="Z801" s="15" t="s">
        <v>5005</v>
      </c>
      <c r="AA801" s="15" t="s">
        <v>131</v>
      </c>
      <c r="AB801" s="17"/>
      <c r="AC801" s="17"/>
    </row>
    <row r="802" customFormat="false" ht="23.85" hidden="false" customHeight="false" outlineLevel="0" collapsed="false">
      <c r="A802" s="15" t="s">
        <v>5018</v>
      </c>
      <c r="B802" s="15" t="s">
        <v>5019</v>
      </c>
      <c r="C802" s="15" t="s">
        <v>5000</v>
      </c>
      <c r="D802" s="15" t="s">
        <v>76</v>
      </c>
      <c r="E802" s="15" t="s">
        <v>286</v>
      </c>
      <c r="F802" s="15"/>
      <c r="G802" s="15"/>
      <c r="H802" s="15"/>
      <c r="I802" s="15" t="s">
        <v>126</v>
      </c>
      <c r="J802" s="3" t="s">
        <v>5020</v>
      </c>
      <c r="K802" s="15" t="n">
        <f aca="false">LEN(J802)</f>
        <v>65</v>
      </c>
      <c r="L802" s="3" t="s">
        <v>5021</v>
      </c>
      <c r="M802" s="15" t="n">
        <f aca="false">LEN(L802)</f>
        <v>147</v>
      </c>
      <c r="N802" s="3" t="s">
        <v>5022</v>
      </c>
      <c r="O802" s="15" t="s">
        <v>5023</v>
      </c>
      <c r="P802" s="16" t="n">
        <v>390</v>
      </c>
      <c r="Q802" s="15" t="s">
        <v>147</v>
      </c>
      <c r="R802" s="15"/>
      <c r="S802" s="15" t="n">
        <f aca="false">COUNTIF('Page-Keyword Map'!$A$2:$A$668,B802)</f>
        <v>1</v>
      </c>
      <c r="T802" s="16" t="n">
        <f aca="false">SUMIF('Page-Keyword Map'!$A$2:$A$668,B802,'Page-Keyword Map'!$H$2:$H$668)</f>
        <v>390</v>
      </c>
      <c r="U802" s="15" t="n">
        <f aca="false">COUNTIFS('Page-Keyword Map'!$A$2:$A$668,B802,'Page-Keyword Map'!$E$2:$E$668,"Nationwide")</f>
        <v>1</v>
      </c>
      <c r="V802" s="15" t="n">
        <f aca="false">COUNTIFS('Page-Keyword Map'!$A$2:$A$668,B802,'Page-Keyword Map'!$E$2:$E$668,"Provincial")</f>
        <v>0</v>
      </c>
      <c r="W802" s="15" t="n">
        <f aca="false">COUNTIFS('Page-Keyword Map'!$A$2:$A$668,B802,'Page-Keyword Map'!$E$2:$E$668,"City")</f>
        <v>0</v>
      </c>
      <c r="X802" s="15" t="str">
        <f aca="false">IF(O802="","",IF(ISNUMBER(SEARCH(O802,J802)),"Yes","No"))</f>
        <v>Yes</v>
      </c>
      <c r="Y802" s="15" t="n">
        <v>0.7</v>
      </c>
      <c r="Z802" s="15" t="s">
        <v>5005</v>
      </c>
      <c r="AA802" s="15" t="s">
        <v>131</v>
      </c>
      <c r="AB802" s="17"/>
      <c r="AC802" s="17"/>
    </row>
    <row r="803" customFormat="false" ht="23.85" hidden="false" customHeight="false" outlineLevel="0" collapsed="false">
      <c r="A803" s="15" t="s">
        <v>5024</v>
      </c>
      <c r="B803" s="15" t="s">
        <v>5025</v>
      </c>
      <c r="C803" s="15" t="s">
        <v>5000</v>
      </c>
      <c r="D803" s="15" t="s">
        <v>84</v>
      </c>
      <c r="E803" s="15" t="s">
        <v>314</v>
      </c>
      <c r="F803" s="15"/>
      <c r="G803" s="15"/>
      <c r="H803" s="15"/>
      <c r="I803" s="15" t="s">
        <v>126</v>
      </c>
      <c r="J803" s="3" t="s">
        <v>5026</v>
      </c>
      <c r="K803" s="15" t="n">
        <f aca="false">LEN(J803)</f>
        <v>64</v>
      </c>
      <c r="L803" s="3" t="s">
        <v>5027</v>
      </c>
      <c r="M803" s="15" t="n">
        <f aca="false">LEN(L803)</f>
        <v>155</v>
      </c>
      <c r="N803" s="3" t="s">
        <v>5028</v>
      </c>
      <c r="O803" s="15" t="s">
        <v>5029</v>
      </c>
      <c r="P803" s="16" t="n">
        <v>1600</v>
      </c>
      <c r="Q803" s="15" t="s">
        <v>147</v>
      </c>
      <c r="R803" s="15"/>
      <c r="S803" s="15" t="n">
        <f aca="false">COUNTIF('Page-Keyword Map'!$A$2:$A$668,B803)</f>
        <v>5</v>
      </c>
      <c r="T803" s="16" t="n">
        <f aca="false">SUMIF('Page-Keyword Map'!$A$2:$A$668,B803,'Page-Keyword Map'!$H$2:$H$668)</f>
        <v>4580</v>
      </c>
      <c r="U803" s="15" t="n">
        <f aca="false">COUNTIFS('Page-Keyword Map'!$A$2:$A$668,B803,'Page-Keyword Map'!$E$2:$E$668,"Nationwide")</f>
        <v>4</v>
      </c>
      <c r="V803" s="15" t="n">
        <f aca="false">COUNTIFS('Page-Keyword Map'!$A$2:$A$668,B803,'Page-Keyword Map'!$E$2:$E$668,"Provincial")</f>
        <v>0</v>
      </c>
      <c r="W803" s="15" t="n">
        <f aca="false">COUNTIFS('Page-Keyword Map'!$A$2:$A$668,B803,'Page-Keyword Map'!$E$2:$E$668,"City")</f>
        <v>1</v>
      </c>
      <c r="X803" s="15" t="str">
        <f aca="false">IF(O803="","",IF(ISNUMBER(SEARCH(O803,J803)),"Yes","No"))</f>
        <v>Yes</v>
      </c>
      <c r="Y803" s="15" t="n">
        <v>0.7</v>
      </c>
      <c r="Z803" s="15" t="s">
        <v>5005</v>
      </c>
      <c r="AA803" s="15" t="s">
        <v>131</v>
      </c>
      <c r="AB803" s="17"/>
      <c r="AC803" s="17"/>
    </row>
    <row r="804" customFormat="false" ht="23.85" hidden="false" customHeight="false" outlineLevel="0" collapsed="false">
      <c r="A804" s="15" t="s">
        <v>5030</v>
      </c>
      <c r="B804" s="15" t="s">
        <v>5031</v>
      </c>
      <c r="C804" s="15" t="s">
        <v>5000</v>
      </c>
      <c r="D804" s="15" t="s">
        <v>82</v>
      </c>
      <c r="E804" s="15" t="s">
        <v>265</v>
      </c>
      <c r="F804" s="15"/>
      <c r="G804" s="15"/>
      <c r="H804" s="15"/>
      <c r="I804" s="15" t="s">
        <v>126</v>
      </c>
      <c r="J804" s="3" t="s">
        <v>5032</v>
      </c>
      <c r="K804" s="15" t="n">
        <f aca="false">LEN(J804)</f>
        <v>65</v>
      </c>
      <c r="L804" s="3" t="s">
        <v>5033</v>
      </c>
      <c r="M804" s="15" t="n">
        <f aca="false">LEN(L804)</f>
        <v>145</v>
      </c>
      <c r="N804" s="3" t="s">
        <v>5034</v>
      </c>
      <c r="O804" s="15"/>
      <c r="P804" s="16"/>
      <c r="Q804" s="15"/>
      <c r="R804" s="15" t="s">
        <v>5035</v>
      </c>
      <c r="S804" s="15" t="n">
        <f aca="false">COUNTIF('Page-Keyword Map'!$A$2:$A$668,B804)</f>
        <v>0</v>
      </c>
      <c r="T804" s="16" t="n">
        <f aca="false">SUMIF('Page-Keyword Map'!$A$2:$A$668,B804,'Page-Keyword Map'!$H$2:$H$668)</f>
        <v>0</v>
      </c>
      <c r="U804" s="15" t="n">
        <f aca="false">COUNTIFS('Page-Keyword Map'!$A$2:$A$668,B804,'Page-Keyword Map'!$E$2:$E$668,"Nationwide")</f>
        <v>0</v>
      </c>
      <c r="V804" s="15" t="n">
        <f aca="false">COUNTIFS('Page-Keyword Map'!$A$2:$A$668,B804,'Page-Keyword Map'!$E$2:$E$668,"Provincial")</f>
        <v>0</v>
      </c>
      <c r="W804" s="15" t="n">
        <f aca="false">COUNTIFS('Page-Keyword Map'!$A$2:$A$668,B804,'Page-Keyword Map'!$E$2:$E$668,"City")</f>
        <v>0</v>
      </c>
      <c r="X804" s="15" t="str">
        <f aca="false">IF(O804="","",IF(ISNUMBER(SEARCH(O804,J804)),"Yes","No"))</f>
        <v/>
      </c>
      <c r="Y804" s="15" t="n">
        <v>0.7</v>
      </c>
      <c r="Z804" s="15" t="s">
        <v>5005</v>
      </c>
      <c r="AA804" s="15" t="s">
        <v>131</v>
      </c>
      <c r="AB804" s="17"/>
      <c r="AC804" s="17"/>
    </row>
    <row r="805" customFormat="false" ht="23.85" hidden="false" customHeight="false" outlineLevel="0" collapsed="false">
      <c r="A805" s="15" t="s">
        <v>5036</v>
      </c>
      <c r="B805" s="15" t="s">
        <v>5037</v>
      </c>
      <c r="C805" s="15" t="s">
        <v>5000</v>
      </c>
      <c r="D805" s="15" t="s">
        <v>74</v>
      </c>
      <c r="E805" s="15" t="s">
        <v>363</v>
      </c>
      <c r="F805" s="15"/>
      <c r="G805" s="15"/>
      <c r="H805" s="15"/>
      <c r="I805" s="15" t="s">
        <v>126</v>
      </c>
      <c r="J805" s="3" t="s">
        <v>5038</v>
      </c>
      <c r="K805" s="15" t="n">
        <f aca="false">LEN(J805)</f>
        <v>51</v>
      </c>
      <c r="L805" s="3" t="s">
        <v>5039</v>
      </c>
      <c r="M805" s="15" t="n">
        <f aca="false">LEN(L805)</f>
        <v>152</v>
      </c>
      <c r="N805" s="3" t="s">
        <v>5040</v>
      </c>
      <c r="O805" s="15" t="s">
        <v>5041</v>
      </c>
      <c r="P805" s="16" t="n">
        <v>1600</v>
      </c>
      <c r="Q805" s="15" t="s">
        <v>147</v>
      </c>
      <c r="R805" s="15"/>
      <c r="S805" s="15" t="n">
        <f aca="false">COUNTIF('Page-Keyword Map'!$A$2:$A$668,B805)</f>
        <v>4</v>
      </c>
      <c r="T805" s="16" t="n">
        <f aca="false">SUMIF('Page-Keyword Map'!$A$2:$A$668,B805,'Page-Keyword Map'!$H$2:$H$668)</f>
        <v>3190</v>
      </c>
      <c r="U805" s="15" t="n">
        <f aca="false">COUNTIFS('Page-Keyword Map'!$A$2:$A$668,B805,'Page-Keyword Map'!$E$2:$E$668,"Nationwide")</f>
        <v>4</v>
      </c>
      <c r="V805" s="15" t="n">
        <f aca="false">COUNTIFS('Page-Keyword Map'!$A$2:$A$668,B805,'Page-Keyword Map'!$E$2:$E$668,"Provincial")</f>
        <v>0</v>
      </c>
      <c r="W805" s="15" t="n">
        <f aca="false">COUNTIFS('Page-Keyword Map'!$A$2:$A$668,B805,'Page-Keyword Map'!$E$2:$E$668,"City")</f>
        <v>0</v>
      </c>
      <c r="X805" s="15" t="str">
        <f aca="false">IF(O805="","",IF(ISNUMBER(SEARCH(O805,J805)),"Yes","No"))</f>
        <v>Yes</v>
      </c>
      <c r="Y805" s="15" t="n">
        <v>0.7</v>
      </c>
      <c r="Z805" s="15" t="s">
        <v>5005</v>
      </c>
      <c r="AA805" s="15" t="s">
        <v>131</v>
      </c>
      <c r="AB805" s="17"/>
      <c r="AC805" s="17"/>
    </row>
    <row r="806" customFormat="false" ht="23.85" hidden="false" customHeight="false" outlineLevel="0" collapsed="false">
      <c r="A806" s="15" t="s">
        <v>5042</v>
      </c>
      <c r="B806" s="15" t="s">
        <v>5043</v>
      </c>
      <c r="C806" s="15" t="s">
        <v>5000</v>
      </c>
      <c r="D806" s="15" t="s">
        <v>74</v>
      </c>
      <c r="E806" s="15" t="s">
        <v>321</v>
      </c>
      <c r="F806" s="15"/>
      <c r="G806" s="15"/>
      <c r="H806" s="15"/>
      <c r="I806" s="15" t="s">
        <v>126</v>
      </c>
      <c r="J806" s="3" t="s">
        <v>5044</v>
      </c>
      <c r="K806" s="15" t="n">
        <f aca="false">LEN(J806)</f>
        <v>54</v>
      </c>
      <c r="L806" s="3" t="s">
        <v>5045</v>
      </c>
      <c r="M806" s="15" t="n">
        <f aca="false">LEN(L806)</f>
        <v>148</v>
      </c>
      <c r="N806" s="3" t="s">
        <v>5046</v>
      </c>
      <c r="O806" s="15"/>
      <c r="P806" s="16"/>
      <c r="Q806" s="15"/>
      <c r="R806" s="15" t="s">
        <v>5047</v>
      </c>
      <c r="S806" s="15" t="n">
        <f aca="false">COUNTIF('Page-Keyword Map'!$A$2:$A$668,B806)</f>
        <v>0</v>
      </c>
      <c r="T806" s="16" t="n">
        <f aca="false">SUMIF('Page-Keyword Map'!$A$2:$A$668,B806,'Page-Keyword Map'!$H$2:$H$668)</f>
        <v>0</v>
      </c>
      <c r="U806" s="15" t="n">
        <f aca="false">COUNTIFS('Page-Keyword Map'!$A$2:$A$668,B806,'Page-Keyword Map'!$E$2:$E$668,"Nationwide")</f>
        <v>0</v>
      </c>
      <c r="V806" s="15" t="n">
        <f aca="false">COUNTIFS('Page-Keyword Map'!$A$2:$A$668,B806,'Page-Keyword Map'!$E$2:$E$668,"Provincial")</f>
        <v>0</v>
      </c>
      <c r="W806" s="15" t="n">
        <f aca="false">COUNTIFS('Page-Keyword Map'!$A$2:$A$668,B806,'Page-Keyword Map'!$E$2:$E$668,"City")</f>
        <v>0</v>
      </c>
      <c r="X806" s="15" t="str">
        <f aca="false">IF(O806="","",IF(ISNUMBER(SEARCH(O806,J806)),"Yes","No"))</f>
        <v/>
      </c>
      <c r="Y806" s="15" t="n">
        <v>0.7</v>
      </c>
      <c r="Z806" s="15" t="s">
        <v>5005</v>
      </c>
      <c r="AA806" s="15" t="s">
        <v>131</v>
      </c>
      <c r="AB806" s="17"/>
      <c r="AC806" s="17"/>
    </row>
    <row r="807" customFormat="false" ht="23.85" hidden="false" customHeight="false" outlineLevel="0" collapsed="false">
      <c r="A807" s="15" t="s">
        <v>5048</v>
      </c>
      <c r="B807" s="15" t="s">
        <v>5049</v>
      </c>
      <c r="C807" s="15" t="s">
        <v>5000</v>
      </c>
      <c r="D807" s="15" t="s">
        <v>82</v>
      </c>
      <c r="E807" s="15" t="s">
        <v>265</v>
      </c>
      <c r="F807" s="15"/>
      <c r="G807" s="15"/>
      <c r="H807" s="15"/>
      <c r="I807" s="15" t="s">
        <v>126</v>
      </c>
      <c r="J807" s="3" t="s">
        <v>5050</v>
      </c>
      <c r="K807" s="15" t="n">
        <f aca="false">LEN(J807)</f>
        <v>52</v>
      </c>
      <c r="L807" s="3" t="s">
        <v>5051</v>
      </c>
      <c r="M807" s="15" t="n">
        <f aca="false">LEN(L807)</f>
        <v>156</v>
      </c>
      <c r="N807" s="3" t="s">
        <v>5052</v>
      </c>
      <c r="O807" s="15" t="s">
        <v>5053</v>
      </c>
      <c r="P807" s="16" t="n">
        <v>1300</v>
      </c>
      <c r="Q807" s="15" t="s">
        <v>662</v>
      </c>
      <c r="R807" s="15"/>
      <c r="S807" s="15" t="n">
        <f aca="false">COUNTIF('Page-Keyword Map'!$A$2:$A$668,B807)</f>
        <v>2</v>
      </c>
      <c r="T807" s="16" t="n">
        <f aca="false">SUMIF('Page-Keyword Map'!$A$2:$A$668,B807,'Page-Keyword Map'!$H$2:$H$668)</f>
        <v>1780</v>
      </c>
      <c r="U807" s="15" t="n">
        <f aca="false">COUNTIFS('Page-Keyword Map'!$A$2:$A$668,B807,'Page-Keyword Map'!$E$2:$E$668,"Nationwide")</f>
        <v>0</v>
      </c>
      <c r="V807" s="15" t="n">
        <f aca="false">COUNTIFS('Page-Keyword Map'!$A$2:$A$668,B807,'Page-Keyword Map'!$E$2:$E$668,"Provincial")</f>
        <v>2</v>
      </c>
      <c r="W807" s="15" t="n">
        <f aca="false">COUNTIFS('Page-Keyword Map'!$A$2:$A$668,B807,'Page-Keyword Map'!$E$2:$E$668,"City")</f>
        <v>0</v>
      </c>
      <c r="X807" s="15" t="str">
        <f aca="false">IF(O807="","",IF(ISNUMBER(SEARCH(O807,J807)),"Yes","No"))</f>
        <v>Yes</v>
      </c>
      <c r="Y807" s="15" t="n">
        <v>0.7</v>
      </c>
      <c r="Z807" s="15" t="s">
        <v>5005</v>
      </c>
      <c r="AA807" s="15" t="s">
        <v>131</v>
      </c>
      <c r="AB807" s="17"/>
      <c r="AC807" s="17"/>
    </row>
    <row r="808" customFormat="false" ht="23.85" hidden="false" customHeight="false" outlineLevel="0" collapsed="false">
      <c r="A808" s="15" t="s">
        <v>5054</v>
      </c>
      <c r="B808" s="15" t="s">
        <v>5055</v>
      </c>
      <c r="C808" s="15" t="s">
        <v>5000</v>
      </c>
      <c r="D808" s="15" t="s">
        <v>74</v>
      </c>
      <c r="E808" s="15" t="s">
        <v>321</v>
      </c>
      <c r="F808" s="15"/>
      <c r="G808" s="15"/>
      <c r="H808" s="15"/>
      <c r="I808" s="15" t="s">
        <v>126</v>
      </c>
      <c r="J808" s="3" t="s">
        <v>5056</v>
      </c>
      <c r="K808" s="15" t="n">
        <f aca="false">LEN(J808)</f>
        <v>51</v>
      </c>
      <c r="L808" s="3" t="s">
        <v>5057</v>
      </c>
      <c r="M808" s="15" t="n">
        <f aca="false">LEN(L808)</f>
        <v>158</v>
      </c>
      <c r="N808" s="3" t="s">
        <v>5058</v>
      </c>
      <c r="O808" s="15" t="s">
        <v>587</v>
      </c>
      <c r="P808" s="16" t="n">
        <v>480</v>
      </c>
      <c r="Q808" s="15" t="s">
        <v>147</v>
      </c>
      <c r="R808" s="15"/>
      <c r="S808" s="15" t="n">
        <f aca="false">COUNTIF('Page-Keyword Map'!$A$2:$A$668,B808)</f>
        <v>2</v>
      </c>
      <c r="T808" s="16" t="n">
        <f aca="false">SUMIF('Page-Keyword Map'!$A$2:$A$668,B808,'Page-Keyword Map'!$H$2:$H$668)</f>
        <v>740</v>
      </c>
      <c r="U808" s="15" t="n">
        <f aca="false">COUNTIFS('Page-Keyword Map'!$A$2:$A$668,B808,'Page-Keyword Map'!$E$2:$E$668,"Nationwide")</f>
        <v>2</v>
      </c>
      <c r="V808" s="15" t="n">
        <f aca="false">COUNTIFS('Page-Keyword Map'!$A$2:$A$668,B808,'Page-Keyword Map'!$E$2:$E$668,"Provincial")</f>
        <v>0</v>
      </c>
      <c r="W808" s="15" t="n">
        <f aca="false">COUNTIFS('Page-Keyword Map'!$A$2:$A$668,B808,'Page-Keyword Map'!$E$2:$E$668,"City")</f>
        <v>0</v>
      </c>
      <c r="X808" s="15" t="str">
        <f aca="false">IF(O808="","",IF(ISNUMBER(SEARCH(O808,J808)),"Yes","No"))</f>
        <v>Yes</v>
      </c>
      <c r="Y808" s="15" t="n">
        <v>0.7</v>
      </c>
      <c r="Z808" s="15" t="s">
        <v>5005</v>
      </c>
      <c r="AA808" s="15" t="s">
        <v>131</v>
      </c>
      <c r="AB808" s="17"/>
      <c r="AC808" s="17"/>
    </row>
    <row r="809" customFormat="false" ht="23.85" hidden="false" customHeight="false" outlineLevel="0" collapsed="false">
      <c r="A809" s="15" t="s">
        <v>5059</v>
      </c>
      <c r="B809" s="15" t="s">
        <v>5060</v>
      </c>
      <c r="C809" s="15" t="s">
        <v>5000</v>
      </c>
      <c r="D809" s="15" t="s">
        <v>75</v>
      </c>
      <c r="E809" s="15" t="s">
        <v>328</v>
      </c>
      <c r="F809" s="15"/>
      <c r="G809" s="15"/>
      <c r="H809" s="15"/>
      <c r="I809" s="15" t="s">
        <v>126</v>
      </c>
      <c r="J809" s="3" t="s">
        <v>5061</v>
      </c>
      <c r="K809" s="15" t="n">
        <f aca="false">LEN(J809)</f>
        <v>53</v>
      </c>
      <c r="L809" s="3" t="s">
        <v>5062</v>
      </c>
      <c r="M809" s="15" t="n">
        <f aca="false">LEN(L809)</f>
        <v>152</v>
      </c>
      <c r="N809" s="3" t="s">
        <v>5063</v>
      </c>
      <c r="O809" s="15" t="s">
        <v>5064</v>
      </c>
      <c r="P809" s="16" t="n">
        <v>1300</v>
      </c>
      <c r="Q809" s="15" t="s">
        <v>147</v>
      </c>
      <c r="R809" s="15"/>
      <c r="S809" s="15" t="n">
        <f aca="false">COUNTIF('Page-Keyword Map'!$A$2:$A$668,B809)</f>
        <v>1</v>
      </c>
      <c r="T809" s="16" t="n">
        <f aca="false">SUMIF('Page-Keyword Map'!$A$2:$A$668,B809,'Page-Keyword Map'!$H$2:$H$668)</f>
        <v>1300</v>
      </c>
      <c r="U809" s="15" t="n">
        <f aca="false">COUNTIFS('Page-Keyword Map'!$A$2:$A$668,B809,'Page-Keyword Map'!$E$2:$E$668,"Nationwide")</f>
        <v>1</v>
      </c>
      <c r="V809" s="15" t="n">
        <f aca="false">COUNTIFS('Page-Keyword Map'!$A$2:$A$668,B809,'Page-Keyword Map'!$E$2:$E$668,"Provincial")</f>
        <v>0</v>
      </c>
      <c r="W809" s="15" t="n">
        <f aca="false">COUNTIFS('Page-Keyword Map'!$A$2:$A$668,B809,'Page-Keyword Map'!$E$2:$E$668,"City")</f>
        <v>0</v>
      </c>
      <c r="X809" s="15" t="str">
        <f aca="false">IF(O809="","",IF(ISNUMBER(SEARCH(O809,J809)),"Yes","No"))</f>
        <v>No</v>
      </c>
      <c r="Y809" s="15" t="n">
        <v>0.7</v>
      </c>
      <c r="Z809" s="15" t="s">
        <v>5005</v>
      </c>
      <c r="AA809" s="15" t="s">
        <v>131</v>
      </c>
      <c r="AB809" s="17"/>
      <c r="AC809" s="17"/>
    </row>
    <row r="810" customFormat="false" ht="23.85" hidden="false" customHeight="false" outlineLevel="0" collapsed="false">
      <c r="A810" s="15" t="s">
        <v>5065</v>
      </c>
      <c r="B810" s="15" t="s">
        <v>5066</v>
      </c>
      <c r="C810" s="15" t="s">
        <v>5000</v>
      </c>
      <c r="D810" s="15" t="s">
        <v>82</v>
      </c>
      <c r="E810" s="15" t="s">
        <v>265</v>
      </c>
      <c r="F810" s="15"/>
      <c r="G810" s="15"/>
      <c r="H810" s="15"/>
      <c r="I810" s="15" t="s">
        <v>126</v>
      </c>
      <c r="J810" s="3" t="s">
        <v>5067</v>
      </c>
      <c r="K810" s="15" t="n">
        <f aca="false">LEN(J810)</f>
        <v>57</v>
      </c>
      <c r="L810" s="3" t="s">
        <v>5068</v>
      </c>
      <c r="M810" s="15" t="n">
        <f aca="false">LEN(L810)</f>
        <v>150</v>
      </c>
      <c r="N810" s="3" t="s">
        <v>5069</v>
      </c>
      <c r="O810" s="15" t="s">
        <v>5070</v>
      </c>
      <c r="P810" s="16" t="n">
        <v>4400</v>
      </c>
      <c r="Q810" s="15" t="s">
        <v>662</v>
      </c>
      <c r="R810" s="15"/>
      <c r="S810" s="15" t="n">
        <f aca="false">COUNTIF('Page-Keyword Map'!$A$2:$A$668,B810)</f>
        <v>3</v>
      </c>
      <c r="T810" s="16" t="n">
        <f aca="false">SUMIF('Page-Keyword Map'!$A$2:$A$668,B810,'Page-Keyword Map'!$H$2:$H$668)</f>
        <v>6180</v>
      </c>
      <c r="U810" s="15" t="n">
        <f aca="false">COUNTIFS('Page-Keyword Map'!$A$2:$A$668,B810,'Page-Keyword Map'!$E$2:$E$668,"Nationwide")</f>
        <v>0</v>
      </c>
      <c r="V810" s="15" t="n">
        <f aca="false">COUNTIFS('Page-Keyword Map'!$A$2:$A$668,B810,'Page-Keyword Map'!$E$2:$E$668,"Provincial")</f>
        <v>3</v>
      </c>
      <c r="W810" s="15" t="n">
        <f aca="false">COUNTIFS('Page-Keyword Map'!$A$2:$A$668,B810,'Page-Keyword Map'!$E$2:$E$668,"City")</f>
        <v>0</v>
      </c>
      <c r="X810" s="15" t="str">
        <f aca="false">IF(O810="","",IF(ISNUMBER(SEARCH(O810,J810)),"Yes","No"))</f>
        <v>No</v>
      </c>
      <c r="Y810" s="15" t="n">
        <v>0.7</v>
      </c>
      <c r="Z810" s="15" t="s">
        <v>5005</v>
      </c>
      <c r="AA810" s="15" t="s">
        <v>131</v>
      </c>
      <c r="AB810" s="17"/>
      <c r="AC810" s="17"/>
    </row>
    <row r="811" customFormat="false" ht="23.85" hidden="false" customHeight="false" outlineLevel="0" collapsed="false">
      <c r="A811" s="15" t="s">
        <v>5071</v>
      </c>
      <c r="B811" s="15" t="s">
        <v>5072</v>
      </c>
      <c r="C811" s="15" t="s">
        <v>5000</v>
      </c>
      <c r="D811" s="15" t="s">
        <v>78</v>
      </c>
      <c r="E811" s="15" t="s">
        <v>307</v>
      </c>
      <c r="F811" s="15"/>
      <c r="G811" s="15"/>
      <c r="H811" s="15"/>
      <c r="I811" s="15" t="s">
        <v>126</v>
      </c>
      <c r="J811" s="3" t="s">
        <v>5073</v>
      </c>
      <c r="K811" s="15" t="n">
        <f aca="false">LEN(J811)</f>
        <v>53</v>
      </c>
      <c r="L811" s="3" t="s">
        <v>5074</v>
      </c>
      <c r="M811" s="15" t="n">
        <f aca="false">LEN(L811)</f>
        <v>156</v>
      </c>
      <c r="N811" s="3" t="s">
        <v>5075</v>
      </c>
      <c r="O811" s="15" t="s">
        <v>5076</v>
      </c>
      <c r="P811" s="16" t="n">
        <v>720</v>
      </c>
      <c r="Q811" s="15" t="s">
        <v>147</v>
      </c>
      <c r="R811" s="15"/>
      <c r="S811" s="15" t="n">
        <f aca="false">COUNTIF('Page-Keyword Map'!$A$2:$A$668,B811)</f>
        <v>1</v>
      </c>
      <c r="T811" s="16" t="n">
        <f aca="false">SUMIF('Page-Keyword Map'!$A$2:$A$668,B811,'Page-Keyword Map'!$H$2:$H$668)</f>
        <v>720</v>
      </c>
      <c r="U811" s="15" t="n">
        <f aca="false">COUNTIFS('Page-Keyword Map'!$A$2:$A$668,B811,'Page-Keyword Map'!$E$2:$E$668,"Nationwide")</f>
        <v>1</v>
      </c>
      <c r="V811" s="15" t="n">
        <f aca="false">COUNTIFS('Page-Keyword Map'!$A$2:$A$668,B811,'Page-Keyword Map'!$E$2:$E$668,"Provincial")</f>
        <v>0</v>
      </c>
      <c r="W811" s="15" t="n">
        <f aca="false">COUNTIFS('Page-Keyword Map'!$A$2:$A$668,B811,'Page-Keyword Map'!$E$2:$E$668,"City")</f>
        <v>0</v>
      </c>
      <c r="X811" s="15" t="str">
        <f aca="false">IF(O811="","",IF(ISNUMBER(SEARCH(O811,J811)),"Yes","No"))</f>
        <v>No</v>
      </c>
      <c r="Y811" s="15" t="n">
        <v>0.7</v>
      </c>
      <c r="Z811" s="15" t="s">
        <v>5005</v>
      </c>
      <c r="AA811" s="15" t="s">
        <v>131</v>
      </c>
      <c r="AB811" s="17"/>
      <c r="AC811" s="17"/>
    </row>
    <row r="812" customFormat="false" ht="23.85" hidden="false" customHeight="false" outlineLevel="0" collapsed="false">
      <c r="A812" s="15" t="s">
        <v>5077</v>
      </c>
      <c r="B812" s="15" t="s">
        <v>5078</v>
      </c>
      <c r="C812" s="15" t="s">
        <v>5000</v>
      </c>
      <c r="D812" s="15" t="s">
        <v>89</v>
      </c>
      <c r="E812" s="15" t="s">
        <v>258</v>
      </c>
      <c r="F812" s="15"/>
      <c r="G812" s="15"/>
      <c r="H812" s="15"/>
      <c r="I812" s="15" t="s">
        <v>126</v>
      </c>
      <c r="J812" s="3" t="s">
        <v>5079</v>
      </c>
      <c r="K812" s="15" t="n">
        <f aca="false">LEN(J812)</f>
        <v>55</v>
      </c>
      <c r="L812" s="3" t="s">
        <v>5080</v>
      </c>
      <c r="M812" s="15" t="n">
        <f aca="false">LEN(L812)</f>
        <v>158</v>
      </c>
      <c r="N812" s="3" t="s">
        <v>5081</v>
      </c>
      <c r="O812" s="15" t="s">
        <v>5082</v>
      </c>
      <c r="P812" s="16" t="n">
        <v>720</v>
      </c>
      <c r="Q812" s="15" t="s">
        <v>147</v>
      </c>
      <c r="R812" s="15"/>
      <c r="S812" s="15" t="n">
        <f aca="false">COUNTIF('Page-Keyword Map'!$A$2:$A$668,B812)</f>
        <v>1</v>
      </c>
      <c r="T812" s="16" t="n">
        <f aca="false">SUMIF('Page-Keyword Map'!$A$2:$A$668,B812,'Page-Keyword Map'!$H$2:$H$668)</f>
        <v>720</v>
      </c>
      <c r="U812" s="15" t="n">
        <f aca="false">COUNTIFS('Page-Keyword Map'!$A$2:$A$668,B812,'Page-Keyword Map'!$E$2:$E$668,"Nationwide")</f>
        <v>1</v>
      </c>
      <c r="V812" s="15" t="n">
        <f aca="false">COUNTIFS('Page-Keyword Map'!$A$2:$A$668,B812,'Page-Keyword Map'!$E$2:$E$668,"Provincial")</f>
        <v>0</v>
      </c>
      <c r="W812" s="15" t="n">
        <f aca="false">COUNTIFS('Page-Keyword Map'!$A$2:$A$668,B812,'Page-Keyword Map'!$E$2:$E$668,"City")</f>
        <v>0</v>
      </c>
      <c r="X812" s="15" t="str">
        <f aca="false">IF(O812="","",IF(ISNUMBER(SEARCH(O812,J812)),"Yes","No"))</f>
        <v>Yes</v>
      </c>
      <c r="Y812" s="15" t="n">
        <v>0.7</v>
      </c>
      <c r="Z812" s="15" t="s">
        <v>5005</v>
      </c>
      <c r="AA812" s="15" t="s">
        <v>131</v>
      </c>
      <c r="AB812" s="17"/>
      <c r="AC812" s="17"/>
    </row>
    <row r="813" customFormat="false" ht="23.85" hidden="false" customHeight="false" outlineLevel="0" collapsed="false">
      <c r="A813" s="15" t="s">
        <v>5083</v>
      </c>
      <c r="B813" s="15" t="s">
        <v>5084</v>
      </c>
      <c r="C813" s="15" t="s">
        <v>5000</v>
      </c>
      <c r="D813" s="15" t="s">
        <v>81</v>
      </c>
      <c r="E813" s="15" t="s">
        <v>349</v>
      </c>
      <c r="F813" s="15"/>
      <c r="G813" s="15"/>
      <c r="H813" s="15"/>
      <c r="I813" s="15" t="s">
        <v>126</v>
      </c>
      <c r="J813" s="3" t="s">
        <v>5085</v>
      </c>
      <c r="K813" s="15" t="n">
        <f aca="false">LEN(J813)</f>
        <v>64</v>
      </c>
      <c r="L813" s="3" t="s">
        <v>5086</v>
      </c>
      <c r="M813" s="15" t="n">
        <f aca="false">LEN(L813)</f>
        <v>160</v>
      </c>
      <c r="N813" s="3" t="s">
        <v>5087</v>
      </c>
      <c r="O813" s="15" t="s">
        <v>5088</v>
      </c>
      <c r="P813" s="16" t="n">
        <v>1600</v>
      </c>
      <c r="Q813" s="15" t="s">
        <v>147</v>
      </c>
      <c r="R813" s="15"/>
      <c r="S813" s="15" t="n">
        <f aca="false">COUNTIF('Page-Keyword Map'!$A$2:$A$668,B813)</f>
        <v>2</v>
      </c>
      <c r="T813" s="16" t="n">
        <f aca="false">SUMIF('Page-Keyword Map'!$A$2:$A$668,B813,'Page-Keyword Map'!$H$2:$H$668)</f>
        <v>2480</v>
      </c>
      <c r="U813" s="15" t="n">
        <f aca="false">COUNTIFS('Page-Keyword Map'!$A$2:$A$668,B813,'Page-Keyword Map'!$E$2:$E$668,"Nationwide")</f>
        <v>2</v>
      </c>
      <c r="V813" s="15" t="n">
        <f aca="false">COUNTIFS('Page-Keyword Map'!$A$2:$A$668,B813,'Page-Keyword Map'!$E$2:$E$668,"Provincial")</f>
        <v>0</v>
      </c>
      <c r="W813" s="15" t="n">
        <f aca="false">COUNTIFS('Page-Keyword Map'!$A$2:$A$668,B813,'Page-Keyword Map'!$E$2:$E$668,"City")</f>
        <v>0</v>
      </c>
      <c r="X813" s="15" t="str">
        <f aca="false">IF(O813="","",IF(ISNUMBER(SEARCH(O813,J813)),"Yes","No"))</f>
        <v>No</v>
      </c>
      <c r="Y813" s="15" t="n">
        <v>0.7</v>
      </c>
      <c r="Z813" s="15" t="s">
        <v>5005</v>
      </c>
      <c r="AA813" s="15" t="s">
        <v>131</v>
      </c>
      <c r="AB813" s="17"/>
      <c r="AC813" s="17"/>
    </row>
    <row r="814" customFormat="false" ht="23.85" hidden="false" customHeight="false" outlineLevel="0" collapsed="false">
      <c r="A814" s="15" t="s">
        <v>5089</v>
      </c>
      <c r="B814" s="15" t="s">
        <v>5090</v>
      </c>
      <c r="C814" s="15" t="s">
        <v>5000</v>
      </c>
      <c r="D814" s="15" t="s">
        <v>86</v>
      </c>
      <c r="E814" s="15" t="s">
        <v>356</v>
      </c>
      <c r="F814" s="15"/>
      <c r="G814" s="15"/>
      <c r="H814" s="15"/>
      <c r="I814" s="15" t="s">
        <v>126</v>
      </c>
      <c r="J814" s="3" t="s">
        <v>5091</v>
      </c>
      <c r="K814" s="15" t="n">
        <f aca="false">LEN(J814)</f>
        <v>52</v>
      </c>
      <c r="L814" s="3" t="s">
        <v>5092</v>
      </c>
      <c r="M814" s="15" t="n">
        <f aca="false">LEN(L814)</f>
        <v>158</v>
      </c>
      <c r="N814" s="3" t="s">
        <v>5093</v>
      </c>
      <c r="O814" s="15" t="s">
        <v>5094</v>
      </c>
      <c r="P814" s="16" t="n">
        <v>1000</v>
      </c>
      <c r="Q814" s="15" t="s">
        <v>147</v>
      </c>
      <c r="R814" s="15"/>
      <c r="S814" s="15" t="n">
        <f aca="false">COUNTIF('Page-Keyword Map'!$A$2:$A$668,B814)</f>
        <v>2</v>
      </c>
      <c r="T814" s="16" t="n">
        <f aca="false">SUMIF('Page-Keyword Map'!$A$2:$A$668,B814,'Page-Keyword Map'!$H$2:$H$668)</f>
        <v>2000</v>
      </c>
      <c r="U814" s="15" t="n">
        <f aca="false">COUNTIFS('Page-Keyword Map'!$A$2:$A$668,B814,'Page-Keyword Map'!$E$2:$E$668,"Nationwide")</f>
        <v>1</v>
      </c>
      <c r="V814" s="15" t="n">
        <f aca="false">COUNTIFS('Page-Keyword Map'!$A$2:$A$668,B814,'Page-Keyword Map'!$E$2:$E$668,"Provincial")</f>
        <v>1</v>
      </c>
      <c r="W814" s="15" t="n">
        <f aca="false">COUNTIFS('Page-Keyword Map'!$A$2:$A$668,B814,'Page-Keyword Map'!$E$2:$E$668,"City")</f>
        <v>0</v>
      </c>
      <c r="X814" s="15" t="str">
        <f aca="false">IF(O814="","",IF(ISNUMBER(SEARCH(O814,J814)),"Yes","No"))</f>
        <v>No</v>
      </c>
      <c r="Y814" s="15" t="n">
        <v>0.7</v>
      </c>
      <c r="Z814" s="15" t="s">
        <v>5005</v>
      </c>
      <c r="AA814" s="15" t="s">
        <v>131</v>
      </c>
      <c r="AB814" s="17"/>
      <c r="AC814" s="17"/>
    </row>
    <row r="815" customFormat="false" ht="23.85" hidden="false" customHeight="false" outlineLevel="0" collapsed="false">
      <c r="A815" s="15" t="s">
        <v>5095</v>
      </c>
      <c r="B815" s="15" t="s">
        <v>5096</v>
      </c>
      <c r="C815" s="15" t="s">
        <v>5000</v>
      </c>
      <c r="D815" s="15" t="s">
        <v>74</v>
      </c>
      <c r="E815" s="15" t="s">
        <v>363</v>
      </c>
      <c r="F815" s="15"/>
      <c r="G815" s="15"/>
      <c r="H815" s="15"/>
      <c r="I815" s="15" t="s">
        <v>126</v>
      </c>
      <c r="J815" s="3" t="s">
        <v>5097</v>
      </c>
      <c r="K815" s="15" t="n">
        <f aca="false">LEN(J815)</f>
        <v>60</v>
      </c>
      <c r="L815" s="3" t="s">
        <v>5098</v>
      </c>
      <c r="M815" s="15" t="n">
        <f aca="false">LEN(L815)</f>
        <v>146</v>
      </c>
      <c r="N815" s="3" t="s">
        <v>5099</v>
      </c>
      <c r="O815" s="15" t="s">
        <v>5100</v>
      </c>
      <c r="P815" s="16" t="n">
        <v>1900</v>
      </c>
      <c r="Q815" s="15" t="s">
        <v>147</v>
      </c>
      <c r="R815" s="15"/>
      <c r="S815" s="15" t="n">
        <f aca="false">COUNTIF('Page-Keyword Map'!$A$2:$A$668,B815)</f>
        <v>1</v>
      </c>
      <c r="T815" s="16" t="n">
        <f aca="false">SUMIF('Page-Keyword Map'!$A$2:$A$668,B815,'Page-Keyword Map'!$H$2:$H$668)</f>
        <v>1900</v>
      </c>
      <c r="U815" s="15" t="n">
        <f aca="false">COUNTIFS('Page-Keyword Map'!$A$2:$A$668,B815,'Page-Keyword Map'!$E$2:$E$668,"Nationwide")</f>
        <v>1</v>
      </c>
      <c r="V815" s="15" t="n">
        <f aca="false">COUNTIFS('Page-Keyword Map'!$A$2:$A$668,B815,'Page-Keyword Map'!$E$2:$E$668,"Provincial")</f>
        <v>0</v>
      </c>
      <c r="W815" s="15" t="n">
        <f aca="false">COUNTIFS('Page-Keyword Map'!$A$2:$A$668,B815,'Page-Keyword Map'!$E$2:$E$668,"City")</f>
        <v>0</v>
      </c>
      <c r="X815" s="15" t="str">
        <f aca="false">IF(O815="","",IF(ISNUMBER(SEARCH(O815,J815)),"Yes","No"))</f>
        <v>Yes</v>
      </c>
      <c r="Y815" s="15" t="n">
        <v>0.7</v>
      </c>
      <c r="Z815" s="15" t="s">
        <v>5005</v>
      </c>
      <c r="AA815" s="15" t="s">
        <v>131</v>
      </c>
      <c r="AB815" s="17"/>
      <c r="AC815" s="17"/>
    </row>
    <row r="816" customFormat="false" ht="23.85" hidden="false" customHeight="false" outlineLevel="0" collapsed="false">
      <c r="A816" s="15" t="s">
        <v>5101</v>
      </c>
      <c r="B816" s="15" t="s">
        <v>5102</v>
      </c>
      <c r="C816" s="15" t="s">
        <v>5000</v>
      </c>
      <c r="D816" s="15" t="s">
        <v>82</v>
      </c>
      <c r="E816" s="15" t="s">
        <v>265</v>
      </c>
      <c r="F816" s="15"/>
      <c r="G816" s="15"/>
      <c r="H816" s="15"/>
      <c r="I816" s="15" t="s">
        <v>126</v>
      </c>
      <c r="J816" s="3" t="s">
        <v>5103</v>
      </c>
      <c r="K816" s="15" t="n">
        <f aca="false">LEN(J816)</f>
        <v>56</v>
      </c>
      <c r="L816" s="3" t="s">
        <v>5104</v>
      </c>
      <c r="M816" s="15" t="n">
        <f aca="false">LEN(L816)</f>
        <v>154</v>
      </c>
      <c r="N816" s="3" t="s">
        <v>5105</v>
      </c>
      <c r="O816" s="15" t="s">
        <v>5106</v>
      </c>
      <c r="P816" s="16" t="n">
        <v>1600</v>
      </c>
      <c r="Q816" s="15" t="s">
        <v>147</v>
      </c>
      <c r="R816" s="15"/>
      <c r="S816" s="15" t="n">
        <f aca="false">COUNTIF('Page-Keyword Map'!$A$2:$A$668,B816)</f>
        <v>1</v>
      </c>
      <c r="T816" s="16" t="n">
        <f aca="false">SUMIF('Page-Keyword Map'!$A$2:$A$668,B816,'Page-Keyword Map'!$H$2:$H$668)</f>
        <v>1600</v>
      </c>
      <c r="U816" s="15" t="n">
        <f aca="false">COUNTIFS('Page-Keyword Map'!$A$2:$A$668,B816,'Page-Keyword Map'!$E$2:$E$668,"Nationwide")</f>
        <v>1</v>
      </c>
      <c r="V816" s="15" t="n">
        <f aca="false">COUNTIFS('Page-Keyword Map'!$A$2:$A$668,B816,'Page-Keyword Map'!$E$2:$E$668,"Provincial")</f>
        <v>0</v>
      </c>
      <c r="W816" s="15" t="n">
        <f aca="false">COUNTIFS('Page-Keyword Map'!$A$2:$A$668,B816,'Page-Keyword Map'!$E$2:$E$668,"City")</f>
        <v>0</v>
      </c>
      <c r="X816" s="15" t="str">
        <f aca="false">IF(O816="","",IF(ISNUMBER(SEARCH(O816,J816)),"Yes","No"))</f>
        <v>Yes</v>
      </c>
      <c r="Y816" s="15" t="n">
        <v>0.7</v>
      </c>
      <c r="Z816" s="15" t="s">
        <v>5005</v>
      </c>
      <c r="AA816" s="15" t="s">
        <v>131</v>
      </c>
      <c r="AB816" s="17"/>
      <c r="AC816" s="17"/>
    </row>
    <row r="817" customFormat="false" ht="15" hidden="false" customHeight="false" outlineLevel="0" collapsed="false">
      <c r="A817" s="15" t="s">
        <v>5107</v>
      </c>
      <c r="B817" s="15" t="s">
        <v>5108</v>
      </c>
      <c r="C817" s="15" t="s">
        <v>5109</v>
      </c>
      <c r="D817" s="15" t="s">
        <v>95</v>
      </c>
      <c r="E817" s="15"/>
      <c r="F817" s="15"/>
      <c r="G817" s="15"/>
      <c r="H817" s="15"/>
      <c r="I817" s="15" t="s">
        <v>126</v>
      </c>
      <c r="J817" s="3" t="s">
        <v>5110</v>
      </c>
      <c r="K817" s="15" t="n">
        <f aca="false">LEN(J817)</f>
        <v>50</v>
      </c>
      <c r="L817" s="3" t="s">
        <v>5111</v>
      </c>
      <c r="M817" s="15" t="n">
        <f aca="false">LEN(L817)</f>
        <v>51</v>
      </c>
      <c r="N817" s="3" t="s">
        <v>5112</v>
      </c>
      <c r="O817" s="15"/>
      <c r="P817" s="16"/>
      <c r="Q817" s="15"/>
      <c r="R817" s="15"/>
      <c r="S817" s="15" t="n">
        <f aca="false">COUNTIF('Page-Keyword Map'!$A$2:$A$668,B817)</f>
        <v>0</v>
      </c>
      <c r="T817" s="16" t="n">
        <f aca="false">SUMIF('Page-Keyword Map'!$A$2:$A$668,B817,'Page-Keyword Map'!$H$2:$H$668)</f>
        <v>0</v>
      </c>
      <c r="U817" s="15" t="n">
        <f aca="false">COUNTIFS('Page-Keyword Map'!$A$2:$A$668,B817,'Page-Keyword Map'!$E$2:$E$668,"Nationwide")</f>
        <v>0</v>
      </c>
      <c r="V817" s="15" t="n">
        <f aca="false">COUNTIFS('Page-Keyword Map'!$A$2:$A$668,B817,'Page-Keyword Map'!$E$2:$E$668,"Provincial")</f>
        <v>0</v>
      </c>
      <c r="W817" s="15" t="n">
        <f aca="false">COUNTIFS('Page-Keyword Map'!$A$2:$A$668,B817,'Page-Keyword Map'!$E$2:$E$668,"City")</f>
        <v>0</v>
      </c>
      <c r="X817" s="15" t="str">
        <f aca="false">IF(O817="","",IF(ISNUMBER(SEARCH(O817,J817)),"Yes","No"))</f>
        <v/>
      </c>
      <c r="Y817" s="15" t="n">
        <v>0.5</v>
      </c>
      <c r="Z817" s="15" t="s">
        <v>5005</v>
      </c>
      <c r="AA817" s="15" t="s">
        <v>131</v>
      </c>
      <c r="AB817" s="17"/>
      <c r="AC817" s="17"/>
    </row>
    <row r="818" customFormat="false" ht="15" hidden="false" customHeight="false" outlineLevel="0" collapsed="false">
      <c r="A818" s="15" t="s">
        <v>5113</v>
      </c>
      <c r="B818" s="15" t="s">
        <v>5114</v>
      </c>
      <c r="C818" s="15" t="s">
        <v>5109</v>
      </c>
      <c r="D818" s="15" t="s">
        <v>95</v>
      </c>
      <c r="E818" s="15"/>
      <c r="F818" s="15"/>
      <c r="G818" s="15"/>
      <c r="H818" s="15"/>
      <c r="I818" s="15" t="s">
        <v>126</v>
      </c>
      <c r="J818" s="3" t="s">
        <v>5115</v>
      </c>
      <c r="K818" s="15" t="n">
        <f aca="false">LEN(J818)</f>
        <v>54</v>
      </c>
      <c r="L818" s="3" t="s">
        <v>5116</v>
      </c>
      <c r="M818" s="15" t="n">
        <f aca="false">LEN(L818)</f>
        <v>63</v>
      </c>
      <c r="N818" s="3" t="s">
        <v>5117</v>
      </c>
      <c r="O818" s="15"/>
      <c r="P818" s="16"/>
      <c r="Q818" s="15"/>
      <c r="R818" s="15"/>
      <c r="S818" s="15" t="n">
        <f aca="false">COUNTIF('Page-Keyword Map'!$A$2:$A$668,B818)</f>
        <v>0</v>
      </c>
      <c r="T818" s="16" t="n">
        <f aca="false">SUMIF('Page-Keyword Map'!$A$2:$A$668,B818,'Page-Keyword Map'!$H$2:$H$668)</f>
        <v>0</v>
      </c>
      <c r="U818" s="15" t="n">
        <f aca="false">COUNTIFS('Page-Keyword Map'!$A$2:$A$668,B818,'Page-Keyword Map'!$E$2:$E$668,"Nationwide")</f>
        <v>0</v>
      </c>
      <c r="V818" s="15" t="n">
        <f aca="false">COUNTIFS('Page-Keyword Map'!$A$2:$A$668,B818,'Page-Keyword Map'!$E$2:$E$668,"Provincial")</f>
        <v>0</v>
      </c>
      <c r="W818" s="15" t="n">
        <f aca="false">COUNTIFS('Page-Keyword Map'!$A$2:$A$668,B818,'Page-Keyword Map'!$E$2:$E$668,"City")</f>
        <v>0</v>
      </c>
      <c r="X818" s="15" t="str">
        <f aca="false">IF(O818="","",IF(ISNUMBER(SEARCH(O818,J818)),"Yes","No"))</f>
        <v/>
      </c>
      <c r="Y818" s="15" t="n">
        <v>0.5</v>
      </c>
      <c r="Z818" s="15" t="s">
        <v>5005</v>
      </c>
      <c r="AA818" s="15" t="s">
        <v>131</v>
      </c>
      <c r="AB818" s="17"/>
      <c r="AC818" s="17"/>
    </row>
    <row r="819" customFormat="false" ht="15" hidden="false" customHeight="false" outlineLevel="0" collapsed="false">
      <c r="A819" s="15" t="s">
        <v>5118</v>
      </c>
      <c r="B819" s="15" t="s">
        <v>5119</v>
      </c>
      <c r="C819" s="15" t="s">
        <v>5109</v>
      </c>
      <c r="D819" s="15" t="s">
        <v>95</v>
      </c>
      <c r="E819" s="15"/>
      <c r="F819" s="15"/>
      <c r="G819" s="15"/>
      <c r="H819" s="15"/>
      <c r="I819" s="15" t="s">
        <v>126</v>
      </c>
      <c r="J819" s="3" t="s">
        <v>5120</v>
      </c>
      <c r="K819" s="15" t="n">
        <f aca="false">LEN(J819)</f>
        <v>61</v>
      </c>
      <c r="L819" s="3" t="s">
        <v>5121</v>
      </c>
      <c r="M819" s="15" t="n">
        <f aca="false">LEN(L819)</f>
        <v>54</v>
      </c>
      <c r="N819" s="3" t="s">
        <v>5122</v>
      </c>
      <c r="O819" s="15"/>
      <c r="P819" s="16"/>
      <c r="Q819" s="15"/>
      <c r="R819" s="15"/>
      <c r="S819" s="15" t="n">
        <f aca="false">COUNTIF('Page-Keyword Map'!$A$2:$A$668,B819)</f>
        <v>0</v>
      </c>
      <c r="T819" s="16" t="n">
        <f aca="false">SUMIF('Page-Keyword Map'!$A$2:$A$668,B819,'Page-Keyword Map'!$H$2:$H$668)</f>
        <v>0</v>
      </c>
      <c r="U819" s="15" t="n">
        <f aca="false">COUNTIFS('Page-Keyword Map'!$A$2:$A$668,B819,'Page-Keyword Map'!$E$2:$E$668,"Nationwide")</f>
        <v>0</v>
      </c>
      <c r="V819" s="15" t="n">
        <f aca="false">COUNTIFS('Page-Keyword Map'!$A$2:$A$668,B819,'Page-Keyword Map'!$E$2:$E$668,"Provincial")</f>
        <v>0</v>
      </c>
      <c r="W819" s="15" t="n">
        <f aca="false">COUNTIFS('Page-Keyword Map'!$A$2:$A$668,B819,'Page-Keyword Map'!$E$2:$E$668,"City")</f>
        <v>0</v>
      </c>
      <c r="X819" s="15" t="str">
        <f aca="false">IF(O819="","",IF(ISNUMBER(SEARCH(O819,J819)),"Yes","No"))</f>
        <v/>
      </c>
      <c r="Y819" s="15" t="n">
        <v>0.5</v>
      </c>
      <c r="Z819" s="15" t="s">
        <v>5005</v>
      </c>
      <c r="AA819" s="15" t="s">
        <v>131</v>
      </c>
      <c r="AB819" s="17"/>
      <c r="AC819" s="17"/>
    </row>
    <row r="820" customFormat="false" ht="15" hidden="false" customHeight="false" outlineLevel="0" collapsed="false">
      <c r="A820" s="15" t="s">
        <v>5123</v>
      </c>
      <c r="B820" s="15" t="s">
        <v>5124</v>
      </c>
      <c r="C820" s="15" t="s">
        <v>5109</v>
      </c>
      <c r="D820" s="15" t="s">
        <v>95</v>
      </c>
      <c r="E820" s="15"/>
      <c r="F820" s="15"/>
      <c r="G820" s="15"/>
      <c r="H820" s="15"/>
      <c r="I820" s="15" t="s">
        <v>126</v>
      </c>
      <c r="J820" s="3" t="s">
        <v>5125</v>
      </c>
      <c r="K820" s="15" t="n">
        <f aca="false">LEN(J820)</f>
        <v>56</v>
      </c>
      <c r="L820" s="3" t="s">
        <v>5126</v>
      </c>
      <c r="M820" s="15" t="n">
        <f aca="false">LEN(L820)</f>
        <v>61</v>
      </c>
      <c r="N820" s="3" t="s">
        <v>5127</v>
      </c>
      <c r="O820" s="15"/>
      <c r="P820" s="16"/>
      <c r="Q820" s="15"/>
      <c r="R820" s="15"/>
      <c r="S820" s="15" t="n">
        <f aca="false">COUNTIF('Page-Keyword Map'!$A$2:$A$668,B820)</f>
        <v>0</v>
      </c>
      <c r="T820" s="16" t="n">
        <f aca="false">SUMIF('Page-Keyword Map'!$A$2:$A$668,B820,'Page-Keyword Map'!$H$2:$H$668)</f>
        <v>0</v>
      </c>
      <c r="U820" s="15" t="n">
        <f aca="false">COUNTIFS('Page-Keyword Map'!$A$2:$A$668,B820,'Page-Keyword Map'!$E$2:$E$668,"Nationwide")</f>
        <v>0</v>
      </c>
      <c r="V820" s="15" t="n">
        <f aca="false">COUNTIFS('Page-Keyword Map'!$A$2:$A$668,B820,'Page-Keyword Map'!$E$2:$E$668,"Provincial")</f>
        <v>0</v>
      </c>
      <c r="W820" s="15" t="n">
        <f aca="false">COUNTIFS('Page-Keyword Map'!$A$2:$A$668,B820,'Page-Keyword Map'!$E$2:$E$668,"City")</f>
        <v>0</v>
      </c>
      <c r="X820" s="15" t="str">
        <f aca="false">IF(O820="","",IF(ISNUMBER(SEARCH(O820,J820)),"Yes","No"))</f>
        <v/>
      </c>
      <c r="Y820" s="15" t="n">
        <v>0.5</v>
      </c>
      <c r="Z820" s="15" t="s">
        <v>5005</v>
      </c>
      <c r="AA820" s="15" t="s">
        <v>131</v>
      </c>
      <c r="AB820" s="17"/>
      <c r="AC820" s="17"/>
    </row>
    <row r="821" customFormat="false" ht="15" hidden="false" customHeight="false" outlineLevel="0" collapsed="false">
      <c r="A821" s="15" t="s">
        <v>5128</v>
      </c>
      <c r="B821" s="15" t="s">
        <v>5129</v>
      </c>
      <c r="C821" s="15" t="s">
        <v>5109</v>
      </c>
      <c r="D821" s="15" t="s">
        <v>95</v>
      </c>
      <c r="E821" s="15"/>
      <c r="F821" s="15"/>
      <c r="G821" s="15"/>
      <c r="H821" s="15"/>
      <c r="I821" s="15" t="s">
        <v>126</v>
      </c>
      <c r="J821" s="3" t="s">
        <v>5130</v>
      </c>
      <c r="K821" s="15" t="n">
        <f aca="false">LEN(J821)</f>
        <v>50</v>
      </c>
      <c r="L821" s="3" t="s">
        <v>5131</v>
      </c>
      <c r="M821" s="15" t="n">
        <f aca="false">LEN(L821)</f>
        <v>66</v>
      </c>
      <c r="N821" s="3" t="s">
        <v>5132</v>
      </c>
      <c r="O821" s="15"/>
      <c r="P821" s="16"/>
      <c r="Q821" s="15"/>
      <c r="R821" s="15"/>
      <c r="S821" s="15" t="n">
        <f aca="false">COUNTIF('Page-Keyword Map'!$A$2:$A$668,B821)</f>
        <v>0</v>
      </c>
      <c r="T821" s="16" t="n">
        <f aca="false">SUMIF('Page-Keyword Map'!$A$2:$A$668,B821,'Page-Keyword Map'!$H$2:$H$668)</f>
        <v>0</v>
      </c>
      <c r="U821" s="15" t="n">
        <f aca="false">COUNTIFS('Page-Keyword Map'!$A$2:$A$668,B821,'Page-Keyword Map'!$E$2:$E$668,"Nationwide")</f>
        <v>0</v>
      </c>
      <c r="V821" s="15" t="n">
        <f aca="false">COUNTIFS('Page-Keyword Map'!$A$2:$A$668,B821,'Page-Keyword Map'!$E$2:$E$668,"Provincial")</f>
        <v>0</v>
      </c>
      <c r="W821" s="15" t="n">
        <f aca="false">COUNTIFS('Page-Keyword Map'!$A$2:$A$668,B821,'Page-Keyword Map'!$E$2:$E$668,"City")</f>
        <v>0</v>
      </c>
      <c r="X821" s="15" t="str">
        <f aca="false">IF(O821="","",IF(ISNUMBER(SEARCH(O821,J821)),"Yes","No"))</f>
        <v/>
      </c>
      <c r="Y821" s="15" t="n">
        <v>0.5</v>
      </c>
      <c r="Z821" s="15" t="s">
        <v>5005</v>
      </c>
      <c r="AA821" s="15" t="s">
        <v>131</v>
      </c>
      <c r="AB821" s="17"/>
      <c r="AC821" s="17"/>
    </row>
    <row r="822" customFormat="false" ht="15" hidden="false" customHeight="false" outlineLevel="0" collapsed="false">
      <c r="A822" s="15" t="s">
        <v>5133</v>
      </c>
      <c r="B822" s="15" t="s">
        <v>5134</v>
      </c>
      <c r="C822" s="15" t="s">
        <v>5109</v>
      </c>
      <c r="D822" s="15" t="s">
        <v>95</v>
      </c>
      <c r="E822" s="15"/>
      <c r="F822" s="15"/>
      <c r="G822" s="15"/>
      <c r="H822" s="15"/>
      <c r="I822" s="15" t="s">
        <v>126</v>
      </c>
      <c r="J822" s="3" t="s">
        <v>5135</v>
      </c>
      <c r="K822" s="15" t="n">
        <f aca="false">LEN(J822)</f>
        <v>60</v>
      </c>
      <c r="L822" s="3" t="s">
        <v>5136</v>
      </c>
      <c r="M822" s="15" t="n">
        <f aca="false">LEN(L822)</f>
        <v>58</v>
      </c>
      <c r="N822" s="3" t="s">
        <v>5137</v>
      </c>
      <c r="O822" s="15"/>
      <c r="P822" s="16"/>
      <c r="Q822" s="15"/>
      <c r="R822" s="15"/>
      <c r="S822" s="15" t="n">
        <f aca="false">COUNTIF('Page-Keyword Map'!$A$2:$A$668,B822)</f>
        <v>0</v>
      </c>
      <c r="T822" s="16" t="n">
        <f aca="false">SUMIF('Page-Keyword Map'!$A$2:$A$668,B822,'Page-Keyword Map'!$H$2:$H$668)</f>
        <v>0</v>
      </c>
      <c r="U822" s="15" t="n">
        <f aca="false">COUNTIFS('Page-Keyword Map'!$A$2:$A$668,B822,'Page-Keyword Map'!$E$2:$E$668,"Nationwide")</f>
        <v>0</v>
      </c>
      <c r="V822" s="15" t="n">
        <f aca="false">COUNTIFS('Page-Keyword Map'!$A$2:$A$668,B822,'Page-Keyword Map'!$E$2:$E$668,"Provincial")</f>
        <v>0</v>
      </c>
      <c r="W822" s="15" t="n">
        <f aca="false">COUNTIFS('Page-Keyword Map'!$A$2:$A$668,B822,'Page-Keyword Map'!$E$2:$E$668,"City")</f>
        <v>0</v>
      </c>
      <c r="X822" s="15" t="str">
        <f aca="false">IF(O822="","",IF(ISNUMBER(SEARCH(O822,J822)),"Yes","No"))</f>
        <v/>
      </c>
      <c r="Y822" s="15" t="n">
        <v>0.5</v>
      </c>
      <c r="Z822" s="15" t="s">
        <v>5005</v>
      </c>
      <c r="AA822" s="15" t="s">
        <v>131</v>
      </c>
      <c r="AB822" s="17"/>
      <c r="AC822" s="17"/>
    </row>
    <row r="823" customFormat="false" ht="15" hidden="false" customHeight="false" outlineLevel="0" collapsed="false">
      <c r="A823" s="15" t="s">
        <v>5138</v>
      </c>
      <c r="B823" s="15" t="s">
        <v>5139</v>
      </c>
      <c r="C823" s="15" t="s">
        <v>5109</v>
      </c>
      <c r="D823" s="15" t="s">
        <v>95</v>
      </c>
      <c r="E823" s="15"/>
      <c r="F823" s="15"/>
      <c r="G823" s="15"/>
      <c r="H823" s="15"/>
      <c r="I823" s="15" t="s">
        <v>126</v>
      </c>
      <c r="J823" s="3" t="s">
        <v>5140</v>
      </c>
      <c r="K823" s="15" t="n">
        <f aca="false">LEN(J823)</f>
        <v>53</v>
      </c>
      <c r="L823" s="3" t="s">
        <v>5141</v>
      </c>
      <c r="M823" s="15" t="n">
        <f aca="false">LEN(L823)</f>
        <v>40</v>
      </c>
      <c r="N823" s="3" t="s">
        <v>5142</v>
      </c>
      <c r="O823" s="15"/>
      <c r="P823" s="16"/>
      <c r="Q823" s="15"/>
      <c r="R823" s="15"/>
      <c r="S823" s="15" t="n">
        <f aca="false">COUNTIF('Page-Keyword Map'!$A$2:$A$668,B823)</f>
        <v>0</v>
      </c>
      <c r="T823" s="16" t="n">
        <f aca="false">SUMIF('Page-Keyword Map'!$A$2:$A$668,B823,'Page-Keyword Map'!$H$2:$H$668)</f>
        <v>0</v>
      </c>
      <c r="U823" s="15" t="n">
        <f aca="false">COUNTIFS('Page-Keyword Map'!$A$2:$A$668,B823,'Page-Keyword Map'!$E$2:$E$668,"Nationwide")</f>
        <v>0</v>
      </c>
      <c r="V823" s="15" t="n">
        <f aca="false">COUNTIFS('Page-Keyword Map'!$A$2:$A$668,B823,'Page-Keyword Map'!$E$2:$E$668,"Provincial")</f>
        <v>0</v>
      </c>
      <c r="W823" s="15" t="n">
        <f aca="false">COUNTIFS('Page-Keyword Map'!$A$2:$A$668,B823,'Page-Keyword Map'!$E$2:$E$668,"City")</f>
        <v>0</v>
      </c>
      <c r="X823" s="15" t="str">
        <f aca="false">IF(O823="","",IF(ISNUMBER(SEARCH(O823,J823)),"Yes","No"))</f>
        <v/>
      </c>
      <c r="Y823" s="15" t="n">
        <v>0.5</v>
      </c>
      <c r="Z823" s="15" t="s">
        <v>5005</v>
      </c>
      <c r="AA823" s="15" t="s">
        <v>131</v>
      </c>
      <c r="AB823" s="17"/>
      <c r="AC823" s="17"/>
    </row>
    <row r="824" customFormat="false" ht="23.85" hidden="false" customHeight="false" outlineLevel="0" collapsed="false">
      <c r="A824" s="15" t="s">
        <v>5143</v>
      </c>
      <c r="B824" s="15" t="s">
        <v>5144</v>
      </c>
      <c r="C824" s="15" t="s">
        <v>5145</v>
      </c>
      <c r="D824" s="15" t="s">
        <v>95</v>
      </c>
      <c r="E824" s="15"/>
      <c r="F824" s="15"/>
      <c r="G824" s="15"/>
      <c r="H824" s="15"/>
      <c r="I824" s="15" t="s">
        <v>211</v>
      </c>
      <c r="J824" s="3" t="s">
        <v>5146</v>
      </c>
      <c r="K824" s="15" t="n">
        <f aca="false">LEN(J824)</f>
        <v>61</v>
      </c>
      <c r="L824" s="3" t="s">
        <v>5147</v>
      </c>
      <c r="M824" s="15" t="n">
        <f aca="false">LEN(L824)</f>
        <v>156</v>
      </c>
      <c r="N824" s="3" t="s">
        <v>5148</v>
      </c>
      <c r="O824" s="15"/>
      <c r="P824" s="16"/>
      <c r="Q824" s="15"/>
      <c r="R824" s="15"/>
      <c r="S824" s="15" t="n">
        <f aca="false">COUNTIF('Page-Keyword Map'!$A$2:$A$668,B824)</f>
        <v>0</v>
      </c>
      <c r="T824" s="16" t="n">
        <f aca="false">SUMIF('Page-Keyword Map'!$A$2:$A$668,B824,'Page-Keyword Map'!$H$2:$H$668)</f>
        <v>0</v>
      </c>
      <c r="U824" s="15" t="n">
        <f aca="false">COUNTIFS('Page-Keyword Map'!$A$2:$A$668,B824,'Page-Keyword Map'!$E$2:$E$668,"Nationwide")</f>
        <v>0</v>
      </c>
      <c r="V824" s="15" t="n">
        <f aca="false">COUNTIFS('Page-Keyword Map'!$A$2:$A$668,B824,'Page-Keyword Map'!$E$2:$E$668,"Provincial")</f>
        <v>0</v>
      </c>
      <c r="W824" s="15" t="n">
        <f aca="false">COUNTIFS('Page-Keyword Map'!$A$2:$A$668,B824,'Page-Keyword Map'!$E$2:$E$668,"City")</f>
        <v>0</v>
      </c>
      <c r="X824" s="15" t="str">
        <f aca="false">IF(O824="","",IF(ISNUMBER(SEARCH(O824,J824)),"Yes","No"))</f>
        <v/>
      </c>
      <c r="Y824" s="15" t="n">
        <v>0.5</v>
      </c>
      <c r="Z824" s="15" t="s">
        <v>216</v>
      </c>
      <c r="AA824" s="15" t="s">
        <v>217</v>
      </c>
      <c r="AB824" s="17"/>
      <c r="AC824" s="17"/>
    </row>
  </sheetData>
  <autoFilter ref="A1:AC8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P6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24"/>
    <col collapsed="false" customWidth="true" hidden="false" outlineLevel="0" max="4" min="4" style="0" width="38"/>
    <col collapsed="false" customWidth="true" hidden="false" outlineLevel="0" max="5" min="5" style="0" width="11"/>
    <col collapsed="false" customWidth="true" hidden="false" outlineLevel="0" max="6" min="6" style="0" width="16"/>
    <col collapsed="false" customWidth="true" hidden="false" outlineLevel="0" max="7" min="7" style="0" width="14"/>
    <col collapsed="false" customWidth="true" hidden="false" outlineLevel="0" max="8" min="8" style="0" width="12"/>
    <col collapsed="false" customWidth="true" hidden="false" outlineLevel="0" max="9" min="9" style="0" width="10"/>
    <col collapsed="false" customWidth="true" hidden="false" outlineLevel="0" max="10" min="10" style="0" width="13"/>
    <col collapsed="false" customWidth="true" hidden="false" outlineLevel="0" max="11" min="11" style="0" width="18"/>
    <col collapsed="false" customWidth="true" hidden="false" outlineLevel="0" max="12" min="12" style="0" width="9"/>
    <col collapsed="false" customWidth="true" hidden="false" outlineLevel="0" max="14" min="13" style="0" width="11"/>
    <col collapsed="false" customWidth="true" hidden="false" outlineLevel="0" max="15" min="15" style="0" width="40"/>
    <col collapsed="false" customWidth="true" hidden="false" outlineLevel="0" max="16" min="16" style="0" width="60"/>
  </cols>
  <sheetData>
    <row r="1" customFormat="false" ht="31.5" hidden="false" customHeight="true" outlineLevel="0" collapsed="false">
      <c r="A1" s="9" t="s">
        <v>99</v>
      </c>
      <c r="B1" s="9" t="s">
        <v>100</v>
      </c>
      <c r="C1" s="9" t="s">
        <v>63</v>
      </c>
      <c r="D1" s="9" t="s">
        <v>5149</v>
      </c>
      <c r="E1" s="9" t="s">
        <v>5150</v>
      </c>
      <c r="F1" s="9" t="s">
        <v>103</v>
      </c>
      <c r="G1" s="9" t="s">
        <v>104</v>
      </c>
      <c r="H1" s="9" t="s">
        <v>5151</v>
      </c>
      <c r="I1" s="9" t="s">
        <v>5152</v>
      </c>
      <c r="J1" s="9" t="s">
        <v>5153</v>
      </c>
      <c r="K1" s="9" t="s">
        <v>5154</v>
      </c>
      <c r="L1" s="9" t="s">
        <v>5155</v>
      </c>
      <c r="M1" s="9" t="s">
        <v>5156</v>
      </c>
      <c r="N1" s="9" t="s">
        <v>5157</v>
      </c>
      <c r="O1" s="9" t="s">
        <v>5158</v>
      </c>
      <c r="P1" s="9" t="s">
        <v>122</v>
      </c>
    </row>
    <row r="2" customFormat="false" ht="15" hidden="false" customHeight="false" outlineLevel="0" collapsed="false">
      <c r="A2" s="15" t="s">
        <v>264</v>
      </c>
      <c r="B2" s="15" t="s">
        <v>257</v>
      </c>
      <c r="C2" s="15" t="s">
        <v>82</v>
      </c>
      <c r="D2" s="15" t="s">
        <v>269</v>
      </c>
      <c r="E2" s="15" t="s">
        <v>147</v>
      </c>
      <c r="F2" s="15"/>
      <c r="G2" s="15"/>
      <c r="H2" s="16" t="n">
        <v>74000</v>
      </c>
      <c r="I2" s="15" t="n">
        <v>85</v>
      </c>
      <c r="J2" s="15" t="s">
        <v>5159</v>
      </c>
      <c r="K2" s="15" t="s">
        <v>5160</v>
      </c>
      <c r="L2" s="15" t="n">
        <v>2</v>
      </c>
      <c r="M2" s="15" t="s">
        <v>5161</v>
      </c>
      <c r="N2" s="18" t="str">
        <f aca="false">IFERROR(IF(ISNUMBER(SEARCH(D2,INDEX(Pages!$J$2:$J$824,MATCH(A2,Pages!$B$2:$B$824,0)))),"Yes","No"),"Page not found")</f>
        <v>Yes</v>
      </c>
      <c r="O2" s="3" t="s">
        <v>5162</v>
      </c>
      <c r="P2" s="3" t="s">
        <v>5163</v>
      </c>
    </row>
    <row r="3" customFormat="false" ht="15" hidden="false" customHeight="false" outlineLevel="0" collapsed="false">
      <c r="A3" s="15" t="s">
        <v>264</v>
      </c>
      <c r="B3" s="15" t="s">
        <v>257</v>
      </c>
      <c r="C3" s="15" t="s">
        <v>82</v>
      </c>
      <c r="D3" s="15" t="s">
        <v>5164</v>
      </c>
      <c r="E3" s="15" t="s">
        <v>147</v>
      </c>
      <c r="F3" s="15"/>
      <c r="G3" s="15"/>
      <c r="H3" s="16" t="n">
        <v>33000</v>
      </c>
      <c r="I3" s="15" t="n">
        <v>82</v>
      </c>
      <c r="J3" s="15" t="s">
        <v>5159</v>
      </c>
      <c r="K3" s="15" t="s">
        <v>5160</v>
      </c>
      <c r="L3" s="15" t="n">
        <v>3</v>
      </c>
      <c r="M3" s="15" t="s">
        <v>5165</v>
      </c>
      <c r="N3" s="18" t="str">
        <f aca="false">IFERROR(IF(ISNUMBER(SEARCH(D3,INDEX(Pages!$J$2:$J$824,MATCH(A3,Pages!$B$2:$B$824,0)))),"Yes","No"),"Page not found")</f>
        <v>No</v>
      </c>
      <c r="O3" s="3" t="s">
        <v>5166</v>
      </c>
      <c r="P3" s="3" t="s">
        <v>5167</v>
      </c>
    </row>
    <row r="4" customFormat="false" ht="23.85" hidden="false" customHeight="false" outlineLevel="0" collapsed="false">
      <c r="A4" s="15" t="s">
        <v>264</v>
      </c>
      <c r="B4" s="15" t="s">
        <v>257</v>
      </c>
      <c r="C4" s="15" t="s">
        <v>82</v>
      </c>
      <c r="D4" s="15" t="s">
        <v>5168</v>
      </c>
      <c r="E4" s="15" t="s">
        <v>147</v>
      </c>
      <c r="F4" s="15"/>
      <c r="G4" s="15"/>
      <c r="H4" s="16" t="n">
        <v>9900</v>
      </c>
      <c r="I4" s="15" t="n">
        <v>75</v>
      </c>
      <c r="J4" s="15" t="s">
        <v>5169</v>
      </c>
      <c r="K4" s="15" t="s">
        <v>5170</v>
      </c>
      <c r="L4" s="15" t="n">
        <v>2</v>
      </c>
      <c r="M4" s="15" t="s">
        <v>5165</v>
      </c>
      <c r="N4" s="18" t="str">
        <f aca="false">IFERROR(IF(ISNUMBER(SEARCH(D4,INDEX(Pages!$J$2:$J$824,MATCH(A4,Pages!$B$2:$B$824,0)))),"Yes","No"),"Page not found")</f>
        <v>No</v>
      </c>
      <c r="O4" s="3" t="s">
        <v>5171</v>
      </c>
      <c r="P4" s="3" t="s">
        <v>5172</v>
      </c>
    </row>
    <row r="5" customFormat="false" ht="15" hidden="false" customHeight="false" outlineLevel="0" collapsed="false">
      <c r="A5" s="15" t="s">
        <v>369</v>
      </c>
      <c r="B5" s="15" t="s">
        <v>257</v>
      </c>
      <c r="C5" s="15" t="s">
        <v>80</v>
      </c>
      <c r="D5" s="15" t="s">
        <v>374</v>
      </c>
      <c r="E5" s="15" t="s">
        <v>147</v>
      </c>
      <c r="F5" s="15"/>
      <c r="G5" s="15"/>
      <c r="H5" s="16" t="n">
        <v>40000</v>
      </c>
      <c r="I5" s="15" t="n">
        <v>80</v>
      </c>
      <c r="J5" s="15" t="s">
        <v>5159</v>
      </c>
      <c r="K5" s="15" t="s">
        <v>5173</v>
      </c>
      <c r="L5" s="15" t="n">
        <v>3</v>
      </c>
      <c r="M5" s="15" t="s">
        <v>5161</v>
      </c>
      <c r="N5" s="18" t="str">
        <f aca="false">IFERROR(IF(ISNUMBER(SEARCH(D5,INDEX(Pages!$J$2:$J$824,MATCH(A5,Pages!$B$2:$B$824,0)))),"Yes","No"),"Page not found")</f>
        <v>Yes</v>
      </c>
      <c r="O5" s="3" t="s">
        <v>5174</v>
      </c>
      <c r="P5" s="3" t="s">
        <v>5175</v>
      </c>
    </row>
    <row r="6" customFormat="false" ht="15" hidden="false" customHeight="false" outlineLevel="0" collapsed="false">
      <c r="A6" s="15" t="s">
        <v>369</v>
      </c>
      <c r="B6" s="15" t="s">
        <v>257</v>
      </c>
      <c r="C6" s="15" t="s">
        <v>80</v>
      </c>
      <c r="D6" s="15" t="s">
        <v>5176</v>
      </c>
      <c r="E6" s="15" t="s">
        <v>147</v>
      </c>
      <c r="F6" s="15"/>
      <c r="G6" s="15"/>
      <c r="H6" s="16" t="n">
        <v>480</v>
      </c>
      <c r="I6" s="15" t="n">
        <v>35</v>
      </c>
      <c r="J6" s="15" t="s">
        <v>5177</v>
      </c>
      <c r="K6" s="15" t="s">
        <v>5173</v>
      </c>
      <c r="L6" s="15" t="n">
        <v>3</v>
      </c>
      <c r="M6" s="15" t="s">
        <v>5165</v>
      </c>
      <c r="N6" s="18" t="str">
        <f aca="false">IFERROR(IF(ISNUMBER(SEARCH(D6,INDEX(Pages!$J$2:$J$824,MATCH(A6,Pages!$B$2:$B$824,0)))),"Yes","No"),"Page not found")</f>
        <v>No</v>
      </c>
      <c r="O6" s="3" t="s">
        <v>5178</v>
      </c>
      <c r="P6" s="3"/>
    </row>
    <row r="7" customFormat="false" ht="15" hidden="false" customHeight="false" outlineLevel="0" collapsed="false">
      <c r="A7" s="15" t="s">
        <v>313</v>
      </c>
      <c r="B7" s="15" t="s">
        <v>257</v>
      </c>
      <c r="C7" s="15" t="s">
        <v>84</v>
      </c>
      <c r="D7" s="15" t="s">
        <v>318</v>
      </c>
      <c r="E7" s="15" t="s">
        <v>147</v>
      </c>
      <c r="F7" s="15"/>
      <c r="G7" s="15"/>
      <c r="H7" s="16" t="n">
        <v>27000</v>
      </c>
      <c r="I7" s="15" t="n">
        <v>82</v>
      </c>
      <c r="J7" s="15" t="s">
        <v>5159</v>
      </c>
      <c r="K7" s="15" t="s">
        <v>5179</v>
      </c>
      <c r="L7" s="15" t="n">
        <v>1</v>
      </c>
      <c r="M7" s="15" t="s">
        <v>5161</v>
      </c>
      <c r="N7" s="18" t="str">
        <f aca="false">IFERROR(IF(ISNUMBER(SEARCH(D7,INDEX(Pages!$J$2:$J$824,MATCH(A7,Pages!$B$2:$B$824,0)))),"Yes","No"),"Page not found")</f>
        <v>Yes</v>
      </c>
      <c r="O7" s="3" t="s">
        <v>5180</v>
      </c>
      <c r="P7" s="3"/>
    </row>
    <row r="8" customFormat="false" ht="15" hidden="false" customHeight="false" outlineLevel="0" collapsed="false">
      <c r="A8" s="15" t="s">
        <v>313</v>
      </c>
      <c r="B8" s="15" t="s">
        <v>257</v>
      </c>
      <c r="C8" s="15" t="s">
        <v>84</v>
      </c>
      <c r="D8" s="15" t="s">
        <v>5181</v>
      </c>
      <c r="E8" s="15" t="s">
        <v>147</v>
      </c>
      <c r="F8" s="15"/>
      <c r="G8" s="15"/>
      <c r="H8" s="16" t="n">
        <v>8100</v>
      </c>
      <c r="I8" s="15" t="n">
        <v>75</v>
      </c>
      <c r="J8" s="15" t="s">
        <v>5159</v>
      </c>
      <c r="K8" s="15" t="s">
        <v>5179</v>
      </c>
      <c r="L8" s="15" t="n">
        <v>2</v>
      </c>
      <c r="M8" s="15" t="s">
        <v>5165</v>
      </c>
      <c r="N8" s="18" t="str">
        <f aca="false">IFERROR(IF(ISNUMBER(SEARCH(D8,INDEX(Pages!$J$2:$J$824,MATCH(A8,Pages!$B$2:$B$824,0)))),"Yes","No"),"Page not found")</f>
        <v>No</v>
      </c>
      <c r="O8" s="3" t="s">
        <v>5182</v>
      </c>
      <c r="P8" s="3"/>
    </row>
    <row r="9" customFormat="false" ht="23.85" hidden="false" customHeight="false" outlineLevel="0" collapsed="false">
      <c r="A9" s="15" t="s">
        <v>320</v>
      </c>
      <c r="B9" s="15" t="s">
        <v>257</v>
      </c>
      <c r="C9" s="15" t="s">
        <v>74</v>
      </c>
      <c r="D9" s="15" t="s">
        <v>325</v>
      </c>
      <c r="E9" s="15" t="s">
        <v>147</v>
      </c>
      <c r="F9" s="15"/>
      <c r="G9" s="15"/>
      <c r="H9" s="16" t="n">
        <v>33000</v>
      </c>
      <c r="I9" s="15" t="n">
        <v>85</v>
      </c>
      <c r="J9" s="15" t="s">
        <v>5159</v>
      </c>
      <c r="K9" s="15" t="s">
        <v>5183</v>
      </c>
      <c r="L9" s="15" t="n">
        <v>1</v>
      </c>
      <c r="M9" s="15" t="s">
        <v>5161</v>
      </c>
      <c r="N9" s="18" t="str">
        <f aca="false">IFERROR(IF(ISNUMBER(SEARCH(D9,INDEX(Pages!$J$2:$J$824,MATCH(A9,Pages!$B$2:$B$824,0)))),"Yes","No"),"Page not found")</f>
        <v>Yes</v>
      </c>
      <c r="O9" s="3" t="s">
        <v>5184</v>
      </c>
      <c r="P9" s="3" t="s">
        <v>5185</v>
      </c>
    </row>
    <row r="10" customFormat="false" ht="15" hidden="false" customHeight="false" outlineLevel="0" collapsed="false">
      <c r="A10" s="15" t="s">
        <v>355</v>
      </c>
      <c r="B10" s="15" t="s">
        <v>257</v>
      </c>
      <c r="C10" s="15" t="s">
        <v>86</v>
      </c>
      <c r="D10" s="15" t="s">
        <v>360</v>
      </c>
      <c r="E10" s="15" t="s">
        <v>147</v>
      </c>
      <c r="F10" s="15"/>
      <c r="G10" s="15"/>
      <c r="H10" s="16" t="n">
        <v>15000</v>
      </c>
      <c r="I10" s="15" t="n">
        <v>70</v>
      </c>
      <c r="J10" s="15" t="s">
        <v>5159</v>
      </c>
      <c r="K10" s="15" t="s">
        <v>5179</v>
      </c>
      <c r="L10" s="15" t="n">
        <v>1</v>
      </c>
      <c r="M10" s="15" t="s">
        <v>5161</v>
      </c>
      <c r="N10" s="18" t="str">
        <f aca="false">IFERROR(IF(ISNUMBER(SEARCH(D10,INDEX(Pages!$J$2:$J$824,MATCH(A10,Pages!$B$2:$B$824,0)))),"Yes","No"),"Page not found")</f>
        <v>Yes</v>
      </c>
      <c r="O10" s="3" t="s">
        <v>5186</v>
      </c>
      <c r="P10" s="3"/>
    </row>
    <row r="11" customFormat="false" ht="15" hidden="false" customHeight="false" outlineLevel="0" collapsed="false">
      <c r="A11" s="15" t="s">
        <v>355</v>
      </c>
      <c r="B11" s="15" t="s">
        <v>257</v>
      </c>
      <c r="C11" s="15" t="s">
        <v>86</v>
      </c>
      <c r="D11" s="15" t="s">
        <v>5187</v>
      </c>
      <c r="E11" s="15" t="s">
        <v>147</v>
      </c>
      <c r="F11" s="15"/>
      <c r="G11" s="15"/>
      <c r="H11" s="16" t="n">
        <v>9900</v>
      </c>
      <c r="I11" s="15" t="n">
        <v>65</v>
      </c>
      <c r="J11" s="15" t="s">
        <v>5159</v>
      </c>
      <c r="K11" s="15" t="s">
        <v>5179</v>
      </c>
      <c r="L11" s="15" t="n">
        <v>2</v>
      </c>
      <c r="M11" s="15" t="s">
        <v>5165</v>
      </c>
      <c r="N11" s="18" t="str">
        <f aca="false">IFERROR(IF(ISNUMBER(SEARCH(D11,INDEX(Pages!$J$2:$J$824,MATCH(A11,Pages!$B$2:$B$824,0)))),"Yes","No"),"Page not found")</f>
        <v>No</v>
      </c>
      <c r="O11" s="3" t="s">
        <v>5188</v>
      </c>
      <c r="P11" s="3" t="s">
        <v>5189</v>
      </c>
    </row>
    <row r="12" customFormat="false" ht="15" hidden="false" customHeight="false" outlineLevel="0" collapsed="false">
      <c r="A12" s="15" t="s">
        <v>355</v>
      </c>
      <c r="B12" s="15" t="s">
        <v>257</v>
      </c>
      <c r="C12" s="15" t="s">
        <v>86</v>
      </c>
      <c r="D12" s="15" t="s">
        <v>5190</v>
      </c>
      <c r="E12" s="15" t="s">
        <v>147</v>
      </c>
      <c r="F12" s="15"/>
      <c r="G12" s="15"/>
      <c r="H12" s="16" t="n">
        <v>1300</v>
      </c>
      <c r="I12" s="15" t="n">
        <v>40</v>
      </c>
      <c r="J12" s="15" t="s">
        <v>5177</v>
      </c>
      <c r="K12" s="15" t="s">
        <v>5191</v>
      </c>
      <c r="L12" s="15" t="n">
        <v>1</v>
      </c>
      <c r="M12" s="15" t="s">
        <v>5165</v>
      </c>
      <c r="N12" s="18" t="str">
        <f aca="false">IFERROR(IF(ISNUMBER(SEARCH(D12,INDEX(Pages!$J$2:$J$824,MATCH(A12,Pages!$B$2:$B$824,0)))),"Yes","No"),"Page not found")</f>
        <v>No</v>
      </c>
      <c r="O12" s="3" t="s">
        <v>5192</v>
      </c>
      <c r="P12" s="3"/>
    </row>
    <row r="13" customFormat="false" ht="15" hidden="false" customHeight="false" outlineLevel="0" collapsed="false">
      <c r="A13" s="15" t="s">
        <v>256</v>
      </c>
      <c r="B13" s="15" t="s">
        <v>257</v>
      </c>
      <c r="C13" s="15" t="s">
        <v>89</v>
      </c>
      <c r="D13" s="15" t="s">
        <v>262</v>
      </c>
      <c r="E13" s="15" t="s">
        <v>147</v>
      </c>
      <c r="F13" s="15"/>
      <c r="G13" s="15"/>
      <c r="H13" s="16" t="n">
        <v>8100</v>
      </c>
      <c r="I13" s="15" t="n">
        <v>70</v>
      </c>
      <c r="J13" s="15" t="s">
        <v>5159</v>
      </c>
      <c r="K13" s="15" t="s">
        <v>5193</v>
      </c>
      <c r="L13" s="15" t="n">
        <v>1</v>
      </c>
      <c r="M13" s="15" t="s">
        <v>5161</v>
      </c>
      <c r="N13" s="18" t="str">
        <f aca="false">IFERROR(IF(ISNUMBER(SEARCH(D13,INDEX(Pages!$J$2:$J$824,MATCH(A13,Pages!$B$2:$B$824,0)))),"Yes","No"),"Page not found")</f>
        <v>Yes</v>
      </c>
      <c r="O13" s="3" t="s">
        <v>5194</v>
      </c>
      <c r="P13" s="3"/>
    </row>
    <row r="14" customFormat="false" ht="15" hidden="false" customHeight="false" outlineLevel="0" collapsed="false">
      <c r="A14" s="15" t="s">
        <v>256</v>
      </c>
      <c r="B14" s="15" t="s">
        <v>257</v>
      </c>
      <c r="C14" s="15" t="s">
        <v>89</v>
      </c>
      <c r="D14" s="15" t="s">
        <v>5195</v>
      </c>
      <c r="E14" s="15" t="s">
        <v>147</v>
      </c>
      <c r="F14" s="15"/>
      <c r="G14" s="15"/>
      <c r="H14" s="16" t="n">
        <v>5400</v>
      </c>
      <c r="I14" s="15" t="n">
        <v>65</v>
      </c>
      <c r="J14" s="15" t="s">
        <v>5159</v>
      </c>
      <c r="K14" s="15" t="s">
        <v>5193</v>
      </c>
      <c r="L14" s="15" t="n">
        <v>3</v>
      </c>
      <c r="M14" s="15" t="s">
        <v>5165</v>
      </c>
      <c r="N14" s="18" t="str">
        <f aca="false">IFERROR(IF(ISNUMBER(SEARCH(D14,INDEX(Pages!$J$2:$J$824,MATCH(A14,Pages!$B$2:$B$824,0)))),"Yes","No"),"Page not found")</f>
        <v>No</v>
      </c>
      <c r="O14" s="3" t="s">
        <v>5182</v>
      </c>
      <c r="P14" s="3"/>
    </row>
    <row r="15" customFormat="false" ht="15" hidden="false" customHeight="false" outlineLevel="0" collapsed="false">
      <c r="A15" s="15" t="s">
        <v>256</v>
      </c>
      <c r="B15" s="15" t="s">
        <v>257</v>
      </c>
      <c r="C15" s="15" t="s">
        <v>89</v>
      </c>
      <c r="D15" s="15" t="s">
        <v>5196</v>
      </c>
      <c r="E15" s="15" t="s">
        <v>147</v>
      </c>
      <c r="F15" s="15"/>
      <c r="G15" s="15"/>
      <c r="H15" s="16" t="n">
        <v>2900</v>
      </c>
      <c r="I15" s="15" t="n">
        <v>60</v>
      </c>
      <c r="J15" s="15" t="s">
        <v>5159</v>
      </c>
      <c r="K15" s="15" t="s">
        <v>5193</v>
      </c>
      <c r="L15" s="15" t="n">
        <v>1</v>
      </c>
      <c r="M15" s="15" t="s">
        <v>5165</v>
      </c>
      <c r="N15" s="18" t="str">
        <f aca="false">IFERROR(IF(ISNUMBER(SEARCH(D15,INDEX(Pages!$J$2:$J$824,MATCH(A15,Pages!$B$2:$B$824,0)))),"Yes","No"),"Page not found")</f>
        <v>Yes</v>
      </c>
      <c r="O15" s="3" t="s">
        <v>5197</v>
      </c>
      <c r="P15" s="3"/>
    </row>
    <row r="16" customFormat="false" ht="15" hidden="false" customHeight="false" outlineLevel="0" collapsed="false">
      <c r="A16" s="15" t="s">
        <v>256</v>
      </c>
      <c r="B16" s="15" t="s">
        <v>257</v>
      </c>
      <c r="C16" s="15" t="s">
        <v>89</v>
      </c>
      <c r="D16" s="15" t="s">
        <v>5198</v>
      </c>
      <c r="E16" s="15" t="s">
        <v>147</v>
      </c>
      <c r="F16" s="15"/>
      <c r="G16" s="15"/>
      <c r="H16" s="16" t="n">
        <v>2400</v>
      </c>
      <c r="I16" s="15" t="n">
        <v>55</v>
      </c>
      <c r="J16" s="15" t="s">
        <v>5159</v>
      </c>
      <c r="K16" s="15" t="s">
        <v>5193</v>
      </c>
      <c r="L16" s="15" t="n">
        <v>2</v>
      </c>
      <c r="M16" s="15" t="s">
        <v>5165</v>
      </c>
      <c r="N16" s="18" t="str">
        <f aca="false">IFERROR(IF(ISNUMBER(SEARCH(D16,INDEX(Pages!$J$2:$J$824,MATCH(A16,Pages!$B$2:$B$824,0)))),"Yes","No"),"Page not found")</f>
        <v>No</v>
      </c>
      <c r="O16" s="3" t="s">
        <v>5199</v>
      </c>
      <c r="P16" s="3"/>
    </row>
    <row r="17" customFormat="false" ht="15" hidden="false" customHeight="false" outlineLevel="0" collapsed="false">
      <c r="A17" s="15" t="s">
        <v>5200</v>
      </c>
      <c r="B17" s="15" t="s">
        <v>5201</v>
      </c>
      <c r="C17" s="15" t="s">
        <v>82</v>
      </c>
      <c r="D17" s="15" t="s">
        <v>5202</v>
      </c>
      <c r="E17" s="15" t="s">
        <v>147</v>
      </c>
      <c r="F17" s="15"/>
      <c r="G17" s="15"/>
      <c r="H17" s="16" t="n">
        <v>14000</v>
      </c>
      <c r="I17" s="15" t="n">
        <v>78</v>
      </c>
      <c r="J17" s="15" t="s">
        <v>5169</v>
      </c>
      <c r="K17" s="15" t="s">
        <v>5160</v>
      </c>
      <c r="L17" s="15" t="n">
        <v>1</v>
      </c>
      <c r="M17" s="15" t="s">
        <v>5161</v>
      </c>
      <c r="N17" s="18" t="str">
        <f aca="false">IFERROR(IF(ISNUMBER(SEARCH(D17,INDEX(Pages!$J$2:$J$824,MATCH(A17,Pages!$B$2:$B$824,0)))),"Yes","No"),"Page not found")</f>
        <v>No</v>
      </c>
      <c r="O17" s="3" t="s">
        <v>5203</v>
      </c>
      <c r="P17" s="3" t="s">
        <v>5204</v>
      </c>
    </row>
    <row r="18" customFormat="false" ht="23.85" hidden="false" customHeight="false" outlineLevel="0" collapsed="false">
      <c r="A18" s="15" t="s">
        <v>5200</v>
      </c>
      <c r="B18" s="15" t="s">
        <v>5201</v>
      </c>
      <c r="C18" s="15" t="s">
        <v>82</v>
      </c>
      <c r="D18" s="15" t="s">
        <v>5205</v>
      </c>
      <c r="E18" s="15" t="s">
        <v>147</v>
      </c>
      <c r="F18" s="15"/>
      <c r="G18" s="15"/>
      <c r="H18" s="16" t="n">
        <v>2400</v>
      </c>
      <c r="I18" s="15" t="n">
        <v>55</v>
      </c>
      <c r="J18" s="15" t="s">
        <v>5169</v>
      </c>
      <c r="K18" s="15" t="s">
        <v>5206</v>
      </c>
      <c r="L18" s="15" t="n">
        <v>2</v>
      </c>
      <c r="M18" s="15" t="s">
        <v>5165</v>
      </c>
      <c r="N18" s="18" t="str">
        <f aca="false">IFERROR(IF(ISNUMBER(SEARCH(D18,INDEX(Pages!$J$2:$J$824,MATCH(A18,Pages!$B$2:$B$824,0)))),"Yes","No"),"Page not found")</f>
        <v>No</v>
      </c>
      <c r="O18" s="3" t="s">
        <v>5207</v>
      </c>
      <c r="P18" s="3" t="s">
        <v>5208</v>
      </c>
    </row>
    <row r="19" customFormat="false" ht="15" hidden="false" customHeight="false" outlineLevel="0" collapsed="false">
      <c r="A19" s="15" t="s">
        <v>5200</v>
      </c>
      <c r="B19" s="15" t="s">
        <v>5201</v>
      </c>
      <c r="C19" s="15" t="s">
        <v>82</v>
      </c>
      <c r="D19" s="15" t="s">
        <v>5209</v>
      </c>
      <c r="E19" s="15" t="s">
        <v>662</v>
      </c>
      <c r="F19" s="15" t="s">
        <v>715</v>
      </c>
      <c r="G19" s="15"/>
      <c r="H19" s="16" t="n">
        <v>880</v>
      </c>
      <c r="I19" s="15" t="n">
        <v>45</v>
      </c>
      <c r="J19" s="15" t="s">
        <v>5169</v>
      </c>
      <c r="K19" s="15" t="s">
        <v>5206</v>
      </c>
      <c r="L19" s="15" t="n">
        <v>2</v>
      </c>
      <c r="M19" s="15" t="s">
        <v>5165</v>
      </c>
      <c r="N19" s="18" t="str">
        <f aca="false">IFERROR(IF(ISNUMBER(SEARCH(D19,INDEX(Pages!$J$2:$J$824,MATCH(A19,Pages!$B$2:$B$824,0)))),"Yes","No"),"Page not found")</f>
        <v>No</v>
      </c>
      <c r="O19" s="3" t="s">
        <v>5210</v>
      </c>
      <c r="P19" s="3"/>
    </row>
    <row r="20" customFormat="false" ht="15" hidden="false" customHeight="false" outlineLevel="0" collapsed="false">
      <c r="A20" s="15" t="s">
        <v>5200</v>
      </c>
      <c r="B20" s="15" t="s">
        <v>5201</v>
      </c>
      <c r="C20" s="15" t="s">
        <v>82</v>
      </c>
      <c r="D20" s="15" t="s">
        <v>5211</v>
      </c>
      <c r="E20" s="15" t="s">
        <v>662</v>
      </c>
      <c r="F20" s="15" t="s">
        <v>657</v>
      </c>
      <c r="G20" s="15"/>
      <c r="H20" s="16" t="n">
        <v>390</v>
      </c>
      <c r="I20" s="15" t="n">
        <v>35</v>
      </c>
      <c r="J20" s="15" t="s">
        <v>5169</v>
      </c>
      <c r="K20" s="15" t="s">
        <v>5206</v>
      </c>
      <c r="L20" s="15" t="n">
        <v>2</v>
      </c>
      <c r="M20" s="15" t="s">
        <v>5165</v>
      </c>
      <c r="N20" s="18" t="str">
        <f aca="false">IFERROR(IF(ISNUMBER(SEARCH(D20,INDEX(Pages!$J$2:$J$824,MATCH(A20,Pages!$B$2:$B$824,0)))),"Yes","No"),"Page not found")</f>
        <v>No</v>
      </c>
      <c r="O20" s="3" t="s">
        <v>5212</v>
      </c>
      <c r="P20" s="3"/>
    </row>
    <row r="21" customFormat="false" ht="23.85" hidden="false" customHeight="false" outlineLevel="0" collapsed="false">
      <c r="A21" s="15" t="s">
        <v>613</v>
      </c>
      <c r="B21" s="15" t="s">
        <v>384</v>
      </c>
      <c r="C21" s="15" t="s">
        <v>88</v>
      </c>
      <c r="D21" s="15" t="s">
        <v>617</v>
      </c>
      <c r="E21" s="15" t="s">
        <v>147</v>
      </c>
      <c r="F21" s="15"/>
      <c r="G21" s="15"/>
      <c r="H21" s="16" t="n">
        <v>14000</v>
      </c>
      <c r="I21" s="15" t="n">
        <v>70</v>
      </c>
      <c r="J21" s="15" t="s">
        <v>5159</v>
      </c>
      <c r="K21" s="15" t="s">
        <v>5213</v>
      </c>
      <c r="L21" s="15" t="n">
        <v>4</v>
      </c>
      <c r="M21" s="15" t="s">
        <v>5161</v>
      </c>
      <c r="N21" s="18" t="str">
        <f aca="false">IFERROR(IF(ISNUMBER(SEARCH(D21,INDEX(Pages!$J$2:$J$824,MATCH(A21,Pages!$B$2:$B$824,0)))),"Yes","No"),"Page not found")</f>
        <v>Yes</v>
      </c>
      <c r="O21" s="3" t="s">
        <v>5214</v>
      </c>
      <c r="P21" s="3" t="s">
        <v>5215</v>
      </c>
    </row>
    <row r="22" customFormat="false" ht="15" hidden="false" customHeight="false" outlineLevel="0" collapsed="false">
      <c r="A22" s="15" t="s">
        <v>306</v>
      </c>
      <c r="B22" s="15" t="s">
        <v>257</v>
      </c>
      <c r="C22" s="15" t="s">
        <v>78</v>
      </c>
      <c r="D22" s="15" t="s">
        <v>311</v>
      </c>
      <c r="E22" s="15" t="s">
        <v>147</v>
      </c>
      <c r="F22" s="15"/>
      <c r="G22" s="15"/>
      <c r="H22" s="16" t="n">
        <v>8100</v>
      </c>
      <c r="I22" s="15" t="n">
        <v>65</v>
      </c>
      <c r="J22" s="15" t="s">
        <v>5159</v>
      </c>
      <c r="K22" s="15" t="s">
        <v>5216</v>
      </c>
      <c r="L22" s="15" t="n">
        <v>2</v>
      </c>
      <c r="M22" s="15" t="s">
        <v>5161</v>
      </c>
      <c r="N22" s="18" t="str">
        <f aca="false">IFERROR(IF(ISNUMBER(SEARCH(D22,INDEX(Pages!$J$2:$J$824,MATCH(A22,Pages!$B$2:$B$824,0)))),"Yes","No"),"Page not found")</f>
        <v>Yes</v>
      </c>
      <c r="O22" s="3" t="s">
        <v>5217</v>
      </c>
      <c r="P22" s="3" t="s">
        <v>5218</v>
      </c>
    </row>
    <row r="23" customFormat="false" ht="15" hidden="false" customHeight="false" outlineLevel="0" collapsed="false">
      <c r="A23" s="15" t="s">
        <v>306</v>
      </c>
      <c r="B23" s="15" t="s">
        <v>257</v>
      </c>
      <c r="C23" s="15" t="s">
        <v>78</v>
      </c>
      <c r="D23" s="15" t="s">
        <v>5219</v>
      </c>
      <c r="E23" s="15" t="s">
        <v>147</v>
      </c>
      <c r="F23" s="15"/>
      <c r="G23" s="15"/>
      <c r="H23" s="16" t="n">
        <v>2900</v>
      </c>
      <c r="I23" s="15" t="n">
        <v>60</v>
      </c>
      <c r="J23" s="15" t="s">
        <v>5159</v>
      </c>
      <c r="K23" s="15" t="s">
        <v>5216</v>
      </c>
      <c r="L23" s="15" t="n">
        <v>2</v>
      </c>
      <c r="M23" s="15" t="s">
        <v>5165</v>
      </c>
      <c r="N23" s="18" t="str">
        <f aca="false">IFERROR(IF(ISNUMBER(SEARCH(D23,INDEX(Pages!$J$2:$J$824,MATCH(A23,Pages!$B$2:$B$824,0)))),"Yes","No"),"Page not found")</f>
        <v>No</v>
      </c>
      <c r="O23" s="3" t="s">
        <v>5220</v>
      </c>
      <c r="P23" s="3"/>
    </row>
    <row r="24" customFormat="false" ht="15" hidden="false" customHeight="false" outlineLevel="0" collapsed="false">
      <c r="A24" s="15" t="s">
        <v>306</v>
      </c>
      <c r="B24" s="15" t="s">
        <v>257</v>
      </c>
      <c r="C24" s="15" t="s">
        <v>78</v>
      </c>
      <c r="D24" s="15" t="s">
        <v>5221</v>
      </c>
      <c r="E24" s="15" t="s">
        <v>147</v>
      </c>
      <c r="F24" s="15"/>
      <c r="G24" s="15"/>
      <c r="H24" s="16" t="n">
        <v>2400</v>
      </c>
      <c r="I24" s="15" t="n">
        <v>55</v>
      </c>
      <c r="J24" s="15" t="s">
        <v>5159</v>
      </c>
      <c r="K24" s="15" t="s">
        <v>5216</v>
      </c>
      <c r="L24" s="15" t="n">
        <v>1</v>
      </c>
      <c r="M24" s="15" t="s">
        <v>5165</v>
      </c>
      <c r="N24" s="18" t="str">
        <f aca="false">IFERROR(IF(ISNUMBER(SEARCH(D24,INDEX(Pages!$J$2:$J$824,MATCH(A24,Pages!$B$2:$B$824,0)))),"Yes","No"),"Page not found")</f>
        <v>No</v>
      </c>
      <c r="O24" s="3" t="s">
        <v>5222</v>
      </c>
      <c r="P24" s="3"/>
    </row>
    <row r="25" customFormat="false" ht="15" hidden="false" customHeight="false" outlineLevel="0" collapsed="false">
      <c r="A25" s="15" t="s">
        <v>306</v>
      </c>
      <c r="B25" s="15" t="s">
        <v>257</v>
      </c>
      <c r="C25" s="15" t="s">
        <v>78</v>
      </c>
      <c r="D25" s="15" t="s">
        <v>5223</v>
      </c>
      <c r="E25" s="15" t="s">
        <v>147</v>
      </c>
      <c r="F25" s="15"/>
      <c r="G25" s="15"/>
      <c r="H25" s="16" t="n">
        <v>590</v>
      </c>
      <c r="I25" s="15" t="n">
        <v>35</v>
      </c>
      <c r="J25" s="15" t="s">
        <v>5159</v>
      </c>
      <c r="K25" s="15" t="s">
        <v>5216</v>
      </c>
      <c r="L25" s="15" t="n">
        <v>2</v>
      </c>
      <c r="M25" s="15" t="s">
        <v>5165</v>
      </c>
      <c r="N25" s="18" t="str">
        <f aca="false">IFERROR(IF(ISNUMBER(SEARCH(D25,INDEX(Pages!$J$2:$J$824,MATCH(A25,Pages!$B$2:$B$824,0)))),"Yes","No"),"Page not found")</f>
        <v>No</v>
      </c>
      <c r="O25" s="3" t="s">
        <v>5224</v>
      </c>
      <c r="P25" s="3"/>
    </row>
    <row r="26" customFormat="false" ht="15" hidden="false" customHeight="false" outlineLevel="0" collapsed="false">
      <c r="A26" s="15" t="s">
        <v>797</v>
      </c>
      <c r="B26" s="15" t="s">
        <v>656</v>
      </c>
      <c r="C26" s="15" t="s">
        <v>82</v>
      </c>
      <c r="D26" s="15" t="s">
        <v>801</v>
      </c>
      <c r="E26" s="15" t="s">
        <v>662</v>
      </c>
      <c r="F26" s="15" t="s">
        <v>715</v>
      </c>
      <c r="G26" s="15"/>
      <c r="H26" s="16" t="n">
        <v>12000</v>
      </c>
      <c r="I26" s="15" t="n">
        <v>79</v>
      </c>
      <c r="J26" s="15" t="s">
        <v>5159</v>
      </c>
      <c r="K26" s="15" t="s">
        <v>5225</v>
      </c>
      <c r="L26" s="15" t="n">
        <v>1</v>
      </c>
      <c r="M26" s="15" t="s">
        <v>5161</v>
      </c>
      <c r="N26" s="18" t="str">
        <f aca="false">IFERROR(IF(ISNUMBER(SEARCH(D26,INDEX(Pages!$J$2:$J$824,MATCH(A26,Pages!$B$2:$B$824,0)))),"Yes","No"),"Page not found")</f>
        <v>No</v>
      </c>
      <c r="O26" s="3" t="s">
        <v>5226</v>
      </c>
      <c r="P26" s="3"/>
    </row>
    <row r="27" customFormat="false" ht="23.85" hidden="false" customHeight="false" outlineLevel="0" collapsed="false">
      <c r="A27" s="15" t="s">
        <v>2741</v>
      </c>
      <c r="B27" s="15" t="s">
        <v>2076</v>
      </c>
      <c r="C27" s="15" t="s">
        <v>82</v>
      </c>
      <c r="D27" s="15" t="s">
        <v>2745</v>
      </c>
      <c r="E27" s="15" t="s">
        <v>104</v>
      </c>
      <c r="F27" s="15" t="s">
        <v>715</v>
      </c>
      <c r="G27" s="15" t="s">
        <v>2379</v>
      </c>
      <c r="H27" s="16" t="n">
        <v>6600</v>
      </c>
      <c r="I27" s="15" t="n">
        <v>84</v>
      </c>
      <c r="J27" s="15" t="s">
        <v>5227</v>
      </c>
      <c r="K27" s="15" t="s">
        <v>5228</v>
      </c>
      <c r="L27" s="15" t="n">
        <v>1</v>
      </c>
      <c r="M27" s="15" t="s">
        <v>5161</v>
      </c>
      <c r="N27" s="18" t="str">
        <f aca="false">IFERROR(IF(ISNUMBER(SEARCH(D27,INDEX(Pages!$J$2:$J$824,MATCH(A27,Pages!$B$2:$B$824,0)))),"Yes","No"),"Page not found")</f>
        <v>Yes</v>
      </c>
      <c r="O27" s="3" t="s">
        <v>5229</v>
      </c>
      <c r="P27" s="3" t="s">
        <v>5230</v>
      </c>
    </row>
    <row r="28" customFormat="false" ht="15" hidden="false" customHeight="false" outlineLevel="0" collapsed="false">
      <c r="A28" s="15" t="s">
        <v>2741</v>
      </c>
      <c r="B28" s="15" t="s">
        <v>2076</v>
      </c>
      <c r="C28" s="15" t="s">
        <v>82</v>
      </c>
      <c r="D28" s="15" t="s">
        <v>5231</v>
      </c>
      <c r="E28" s="15" t="s">
        <v>104</v>
      </c>
      <c r="F28" s="15" t="s">
        <v>715</v>
      </c>
      <c r="G28" s="15" t="s">
        <v>2379</v>
      </c>
      <c r="H28" s="16" t="n">
        <v>2300</v>
      </c>
      <c r="I28" s="15" t="n">
        <v>79</v>
      </c>
      <c r="J28" s="15" t="s">
        <v>5169</v>
      </c>
      <c r="K28" s="15" t="s">
        <v>5228</v>
      </c>
      <c r="L28" s="15" t="n">
        <v>1</v>
      </c>
      <c r="M28" s="15" t="s">
        <v>5165</v>
      </c>
      <c r="N28" s="18" t="str">
        <f aca="false">IFERROR(IF(ISNUMBER(SEARCH(D28,INDEX(Pages!$J$2:$J$824,MATCH(A28,Pages!$B$2:$B$824,0)))),"Yes","No"),"Page not found")</f>
        <v>No</v>
      </c>
      <c r="O28" s="3" t="s">
        <v>5229</v>
      </c>
      <c r="P28" s="3" t="s">
        <v>5232</v>
      </c>
    </row>
    <row r="29" customFormat="false" ht="23.85" hidden="false" customHeight="false" outlineLevel="0" collapsed="false">
      <c r="A29" s="15" t="s">
        <v>2741</v>
      </c>
      <c r="B29" s="15" t="s">
        <v>2076</v>
      </c>
      <c r="C29" s="15" t="s">
        <v>82</v>
      </c>
      <c r="D29" s="15" t="s">
        <v>5233</v>
      </c>
      <c r="E29" s="15" t="s">
        <v>104</v>
      </c>
      <c r="F29" s="15" t="s">
        <v>715</v>
      </c>
      <c r="G29" s="15" t="s">
        <v>2379</v>
      </c>
      <c r="H29" s="16" t="n">
        <v>1300</v>
      </c>
      <c r="I29" s="15" t="n">
        <v>79</v>
      </c>
      <c r="J29" s="15" t="s">
        <v>5177</v>
      </c>
      <c r="K29" s="15" t="s">
        <v>5228</v>
      </c>
      <c r="L29" s="15" t="n">
        <v>2</v>
      </c>
      <c r="M29" s="15" t="s">
        <v>5165</v>
      </c>
      <c r="N29" s="18" t="str">
        <f aca="false">IFERROR(IF(ISNUMBER(SEARCH(D29,INDEX(Pages!$J$2:$J$824,MATCH(A29,Pages!$B$2:$B$824,0)))),"Yes","No"),"Page not found")</f>
        <v>No</v>
      </c>
      <c r="O29" s="3" t="s">
        <v>5229</v>
      </c>
      <c r="P29" s="3" t="s">
        <v>5234</v>
      </c>
    </row>
    <row r="30" customFormat="false" ht="23.85" hidden="false" customHeight="false" outlineLevel="0" collapsed="false">
      <c r="A30" s="15" t="s">
        <v>348</v>
      </c>
      <c r="B30" s="15" t="s">
        <v>257</v>
      </c>
      <c r="C30" s="15" t="s">
        <v>81</v>
      </c>
      <c r="D30" s="15" t="s">
        <v>353</v>
      </c>
      <c r="E30" s="15" t="s">
        <v>147</v>
      </c>
      <c r="F30" s="15"/>
      <c r="G30" s="15"/>
      <c r="H30" s="16" t="n">
        <v>9900</v>
      </c>
      <c r="I30" s="15" t="n">
        <v>55</v>
      </c>
      <c r="J30" s="15" t="s">
        <v>5169</v>
      </c>
      <c r="K30" s="15" t="s">
        <v>5235</v>
      </c>
      <c r="L30" s="15" t="n">
        <v>1</v>
      </c>
      <c r="M30" s="15" t="s">
        <v>5161</v>
      </c>
      <c r="N30" s="18" t="str">
        <f aca="false">IFERROR(IF(ISNUMBER(SEARCH(D30,INDEX(Pages!$J$2:$J$824,MATCH(A30,Pages!$B$2:$B$824,0)))),"Yes","No"),"Page not found")</f>
        <v>Yes</v>
      </c>
      <c r="O30" s="3" t="s">
        <v>5236</v>
      </c>
      <c r="P30" s="3" t="s">
        <v>5237</v>
      </c>
    </row>
    <row r="31" customFormat="false" ht="15" hidden="false" customHeight="false" outlineLevel="0" collapsed="false">
      <c r="A31" s="15" t="s">
        <v>362</v>
      </c>
      <c r="B31" s="15" t="s">
        <v>257</v>
      </c>
      <c r="C31" s="15" t="s">
        <v>74</v>
      </c>
      <c r="D31" s="15" t="s">
        <v>367</v>
      </c>
      <c r="E31" s="15" t="s">
        <v>147</v>
      </c>
      <c r="F31" s="15"/>
      <c r="G31" s="15"/>
      <c r="H31" s="16" t="n">
        <v>6600</v>
      </c>
      <c r="I31" s="15" t="n">
        <v>70</v>
      </c>
      <c r="J31" s="15" t="s">
        <v>5159</v>
      </c>
      <c r="K31" s="15" t="s">
        <v>5183</v>
      </c>
      <c r="L31" s="15" t="n">
        <v>1</v>
      </c>
      <c r="M31" s="15" t="s">
        <v>5161</v>
      </c>
      <c r="N31" s="18" t="str">
        <f aca="false">IFERROR(IF(ISNUMBER(SEARCH(D31,INDEX(Pages!$J$2:$J$824,MATCH(A31,Pages!$B$2:$B$824,0)))),"Yes","No"),"Page not found")</f>
        <v>Yes</v>
      </c>
      <c r="O31" s="3" t="s">
        <v>5238</v>
      </c>
      <c r="P31" s="3"/>
    </row>
    <row r="32" customFormat="false" ht="15" hidden="false" customHeight="false" outlineLevel="0" collapsed="false">
      <c r="A32" s="15" t="s">
        <v>362</v>
      </c>
      <c r="B32" s="15" t="s">
        <v>257</v>
      </c>
      <c r="C32" s="15" t="s">
        <v>74</v>
      </c>
      <c r="D32" s="15" t="s">
        <v>5239</v>
      </c>
      <c r="E32" s="15" t="s">
        <v>147</v>
      </c>
      <c r="F32" s="15"/>
      <c r="G32" s="15"/>
      <c r="H32" s="16" t="n">
        <v>880</v>
      </c>
      <c r="I32" s="15" t="n">
        <v>55</v>
      </c>
      <c r="J32" s="15" t="s">
        <v>5159</v>
      </c>
      <c r="K32" s="15" t="s">
        <v>5240</v>
      </c>
      <c r="L32" s="15" t="n">
        <v>2</v>
      </c>
      <c r="M32" s="15" t="s">
        <v>5165</v>
      </c>
      <c r="N32" s="18" t="str">
        <f aca="false">IFERROR(IF(ISNUMBER(SEARCH(D32,INDEX(Pages!$J$2:$J$824,MATCH(A32,Pages!$B$2:$B$824,0)))),"Yes","No"),"Page not found")</f>
        <v>No</v>
      </c>
      <c r="O32" s="3" t="s">
        <v>5241</v>
      </c>
      <c r="P32" s="3"/>
    </row>
    <row r="33" customFormat="false" ht="15" hidden="false" customHeight="false" outlineLevel="0" collapsed="false">
      <c r="A33" s="15" t="s">
        <v>362</v>
      </c>
      <c r="B33" s="15" t="s">
        <v>257</v>
      </c>
      <c r="C33" s="15" t="s">
        <v>74</v>
      </c>
      <c r="D33" s="15" t="s">
        <v>5242</v>
      </c>
      <c r="E33" s="15" t="s">
        <v>147</v>
      </c>
      <c r="F33" s="15"/>
      <c r="G33" s="15"/>
      <c r="H33" s="16" t="n">
        <v>480</v>
      </c>
      <c r="I33" s="15" t="n">
        <v>40</v>
      </c>
      <c r="J33" s="15" t="s">
        <v>5159</v>
      </c>
      <c r="K33" s="15" t="s">
        <v>5183</v>
      </c>
      <c r="L33" s="15" t="n">
        <v>3</v>
      </c>
      <c r="M33" s="15" t="s">
        <v>5165</v>
      </c>
      <c r="N33" s="18" t="str">
        <f aca="false">IFERROR(IF(ISNUMBER(SEARCH(D33,INDEX(Pages!$J$2:$J$824,MATCH(A33,Pages!$B$2:$B$824,0)))),"Yes","No"),"Page not found")</f>
        <v>No</v>
      </c>
      <c r="O33" s="3" t="s">
        <v>5178</v>
      </c>
      <c r="P33" s="3"/>
    </row>
    <row r="34" customFormat="false" ht="23.85" hidden="false" customHeight="false" outlineLevel="0" collapsed="false">
      <c r="A34" s="15" t="s">
        <v>142</v>
      </c>
      <c r="B34" s="15" t="s">
        <v>125</v>
      </c>
      <c r="C34" s="15" t="s">
        <v>93</v>
      </c>
      <c r="D34" s="15" t="s">
        <v>146</v>
      </c>
      <c r="E34" s="15" t="s">
        <v>147</v>
      </c>
      <c r="F34" s="15"/>
      <c r="G34" s="15"/>
      <c r="H34" s="16" t="n">
        <v>6600</v>
      </c>
      <c r="I34" s="15" t="n">
        <v>60</v>
      </c>
      <c r="J34" s="15" t="s">
        <v>5227</v>
      </c>
      <c r="K34" s="15" t="s">
        <v>5243</v>
      </c>
      <c r="L34" s="15" t="n">
        <v>2</v>
      </c>
      <c r="M34" s="15" t="s">
        <v>5161</v>
      </c>
      <c r="N34" s="18" t="str">
        <f aca="false">IFERROR(IF(ISNUMBER(SEARCH(D34,INDEX(Pages!$J$2:$J$824,MATCH(A34,Pages!$B$2:$B$824,0)))),"Yes","No"),"Page not found")</f>
        <v>No</v>
      </c>
      <c r="O34" s="3" t="s">
        <v>5244</v>
      </c>
      <c r="P34" s="3" t="s">
        <v>5245</v>
      </c>
    </row>
    <row r="35" customFormat="false" ht="15" hidden="false" customHeight="false" outlineLevel="0" collapsed="false">
      <c r="A35" s="15" t="s">
        <v>142</v>
      </c>
      <c r="B35" s="15" t="s">
        <v>125</v>
      </c>
      <c r="C35" s="15" t="s">
        <v>93</v>
      </c>
      <c r="D35" s="15" t="s">
        <v>5246</v>
      </c>
      <c r="E35" s="15" t="s">
        <v>147</v>
      </c>
      <c r="F35" s="15"/>
      <c r="G35" s="15"/>
      <c r="H35" s="16" t="n">
        <v>1300</v>
      </c>
      <c r="I35" s="15" t="n">
        <v>40</v>
      </c>
      <c r="J35" s="15" t="s">
        <v>5227</v>
      </c>
      <c r="K35" s="15" t="s">
        <v>5243</v>
      </c>
      <c r="L35" s="15" t="n">
        <v>1</v>
      </c>
      <c r="M35" s="15" t="s">
        <v>5165</v>
      </c>
      <c r="N35" s="18" t="str">
        <f aca="false">IFERROR(IF(ISNUMBER(SEARCH(D35,INDEX(Pages!$J$2:$J$824,MATCH(A35,Pages!$B$2:$B$824,0)))),"Yes","No"),"Page not found")</f>
        <v>No</v>
      </c>
      <c r="O35" s="3" t="s">
        <v>5247</v>
      </c>
      <c r="P35" s="3"/>
    </row>
    <row r="36" customFormat="false" ht="15" hidden="false" customHeight="false" outlineLevel="0" collapsed="false">
      <c r="A36" s="15" t="s">
        <v>5248</v>
      </c>
      <c r="B36" s="15" t="s">
        <v>5201</v>
      </c>
      <c r="C36" s="15" t="s">
        <v>84</v>
      </c>
      <c r="D36" s="15" t="s">
        <v>5249</v>
      </c>
      <c r="E36" s="15" t="s">
        <v>147</v>
      </c>
      <c r="F36" s="15"/>
      <c r="G36" s="15"/>
      <c r="H36" s="16" t="n">
        <v>6600</v>
      </c>
      <c r="I36" s="15" t="n">
        <v>75</v>
      </c>
      <c r="J36" s="15" t="s">
        <v>5169</v>
      </c>
      <c r="K36" s="15" t="s">
        <v>5179</v>
      </c>
      <c r="L36" s="15" t="n">
        <v>1</v>
      </c>
      <c r="M36" s="15" t="s">
        <v>5161</v>
      </c>
      <c r="N36" s="18" t="str">
        <f aca="false">IFERROR(IF(ISNUMBER(SEARCH(D36,INDEX(Pages!$J$2:$J$824,MATCH(A36,Pages!$B$2:$B$824,0)))),"Yes","No"),"Page not found")</f>
        <v>No</v>
      </c>
      <c r="O36" s="3" t="s">
        <v>5250</v>
      </c>
      <c r="P36" s="3"/>
    </row>
    <row r="37" customFormat="false" ht="15" hidden="false" customHeight="false" outlineLevel="0" collapsed="false">
      <c r="A37" s="15" t="s">
        <v>5248</v>
      </c>
      <c r="B37" s="15" t="s">
        <v>5201</v>
      </c>
      <c r="C37" s="15" t="s">
        <v>84</v>
      </c>
      <c r="D37" s="15" t="s">
        <v>5251</v>
      </c>
      <c r="E37" s="15" t="s">
        <v>147</v>
      </c>
      <c r="F37" s="15"/>
      <c r="G37" s="15"/>
      <c r="H37" s="16" t="n">
        <v>1000</v>
      </c>
      <c r="I37" s="15" t="n">
        <v>45</v>
      </c>
      <c r="J37" s="15" t="s">
        <v>5169</v>
      </c>
      <c r="K37" s="15" t="s">
        <v>5252</v>
      </c>
      <c r="L37" s="15" t="n">
        <v>2</v>
      </c>
      <c r="M37" s="15" t="s">
        <v>5165</v>
      </c>
      <c r="N37" s="18" t="str">
        <f aca="false">IFERROR(IF(ISNUMBER(SEARCH(D37,INDEX(Pages!$J$2:$J$824,MATCH(A37,Pages!$B$2:$B$824,0)))),"Yes","No"),"Page not found")</f>
        <v>No</v>
      </c>
      <c r="O37" s="3" t="s">
        <v>5253</v>
      </c>
      <c r="P37" s="3"/>
    </row>
    <row r="38" customFormat="false" ht="15" hidden="false" customHeight="false" outlineLevel="0" collapsed="false">
      <c r="A38" s="15" t="s">
        <v>285</v>
      </c>
      <c r="B38" s="15" t="s">
        <v>257</v>
      </c>
      <c r="C38" s="15" t="s">
        <v>76</v>
      </c>
      <c r="D38" s="15" t="s">
        <v>290</v>
      </c>
      <c r="E38" s="15" t="s">
        <v>147</v>
      </c>
      <c r="F38" s="15"/>
      <c r="G38" s="15"/>
      <c r="H38" s="16" t="n">
        <v>6600</v>
      </c>
      <c r="I38" s="15" t="n">
        <v>65</v>
      </c>
      <c r="J38" s="15" t="s">
        <v>5159</v>
      </c>
      <c r="K38" s="15" t="s">
        <v>5254</v>
      </c>
      <c r="L38" s="15" t="n">
        <v>1</v>
      </c>
      <c r="M38" s="15" t="s">
        <v>5161</v>
      </c>
      <c r="N38" s="18" t="str">
        <f aca="false">IFERROR(IF(ISNUMBER(SEARCH(D38,INDEX(Pages!$J$2:$J$824,MATCH(A38,Pages!$B$2:$B$824,0)))),"Yes","No"),"Page not found")</f>
        <v>Yes</v>
      </c>
      <c r="O38" s="3" t="s">
        <v>5255</v>
      </c>
      <c r="P38" s="3"/>
    </row>
    <row r="39" customFormat="false" ht="23.85" hidden="false" customHeight="false" outlineLevel="0" collapsed="false">
      <c r="A39" s="15" t="s">
        <v>285</v>
      </c>
      <c r="B39" s="15" t="s">
        <v>257</v>
      </c>
      <c r="C39" s="15" t="s">
        <v>76</v>
      </c>
      <c r="D39" s="15" t="s">
        <v>5256</v>
      </c>
      <c r="E39" s="15" t="s">
        <v>147</v>
      </c>
      <c r="F39" s="15"/>
      <c r="G39" s="15"/>
      <c r="H39" s="16" t="n">
        <v>880</v>
      </c>
      <c r="I39" s="15" t="n">
        <v>45</v>
      </c>
      <c r="J39" s="15" t="s">
        <v>5177</v>
      </c>
      <c r="K39" s="15" t="s">
        <v>5254</v>
      </c>
      <c r="L39" s="15" t="n">
        <v>1</v>
      </c>
      <c r="M39" s="15" t="s">
        <v>5165</v>
      </c>
      <c r="N39" s="18" t="str">
        <f aca="false">IFERROR(IF(ISNUMBER(SEARCH(D39,INDEX(Pages!$J$2:$J$824,MATCH(A39,Pages!$B$2:$B$824,0)))),"Yes","No"),"Page not found")</f>
        <v>No</v>
      </c>
      <c r="O39" s="3" t="s">
        <v>5257</v>
      </c>
      <c r="P39" s="3"/>
    </row>
    <row r="40" customFormat="false" ht="15" hidden="false" customHeight="false" outlineLevel="0" collapsed="false">
      <c r="A40" s="15" t="s">
        <v>271</v>
      </c>
      <c r="B40" s="15" t="s">
        <v>257</v>
      </c>
      <c r="C40" s="15" t="s">
        <v>85</v>
      </c>
      <c r="D40" s="15" t="s">
        <v>276</v>
      </c>
      <c r="E40" s="15" t="s">
        <v>147</v>
      </c>
      <c r="F40" s="15"/>
      <c r="G40" s="15"/>
      <c r="H40" s="16" t="n">
        <v>6600</v>
      </c>
      <c r="I40" s="15" t="n">
        <v>65</v>
      </c>
      <c r="J40" s="15" t="s">
        <v>5159</v>
      </c>
      <c r="K40" s="15" t="s">
        <v>5179</v>
      </c>
      <c r="L40" s="15" t="n">
        <v>1</v>
      </c>
      <c r="M40" s="15" t="s">
        <v>5161</v>
      </c>
      <c r="N40" s="18" t="str">
        <f aca="false">IFERROR(IF(ISNUMBER(SEARCH(D40,INDEX(Pages!$J$2:$J$824,MATCH(A40,Pages!$B$2:$B$824,0)))),"Yes","No"),"Page not found")</f>
        <v>Yes</v>
      </c>
      <c r="O40" s="3" t="s">
        <v>5258</v>
      </c>
      <c r="P40" s="3"/>
    </row>
    <row r="41" customFormat="false" ht="15" hidden="false" customHeight="false" outlineLevel="0" collapsed="false">
      <c r="A41" s="15" t="s">
        <v>271</v>
      </c>
      <c r="B41" s="15" t="s">
        <v>257</v>
      </c>
      <c r="C41" s="15" t="s">
        <v>85</v>
      </c>
      <c r="D41" s="15" t="s">
        <v>5259</v>
      </c>
      <c r="E41" s="15" t="s">
        <v>147</v>
      </c>
      <c r="F41" s="15"/>
      <c r="G41" s="15"/>
      <c r="H41" s="16" t="n">
        <v>720</v>
      </c>
      <c r="I41" s="15" t="n">
        <v>40</v>
      </c>
      <c r="J41" s="15" t="s">
        <v>5177</v>
      </c>
      <c r="K41" s="15" t="s">
        <v>5191</v>
      </c>
      <c r="L41" s="15" t="n">
        <v>2</v>
      </c>
      <c r="M41" s="15" t="s">
        <v>5165</v>
      </c>
      <c r="N41" s="18" t="str">
        <f aca="false">IFERROR(IF(ISNUMBER(SEARCH(D41,INDEX(Pages!$J$2:$J$824,MATCH(A41,Pages!$B$2:$B$824,0)))),"Yes","No"),"Page not found")</f>
        <v>No</v>
      </c>
      <c r="O41" s="3" t="s">
        <v>5182</v>
      </c>
      <c r="P41" s="3"/>
    </row>
    <row r="42" customFormat="false" ht="15" hidden="false" customHeight="false" outlineLevel="0" collapsed="false">
      <c r="A42" s="15" t="s">
        <v>292</v>
      </c>
      <c r="B42" s="15" t="s">
        <v>257</v>
      </c>
      <c r="C42" s="15" t="s">
        <v>77</v>
      </c>
      <c r="D42" s="15" t="s">
        <v>297</v>
      </c>
      <c r="E42" s="15" t="s">
        <v>147</v>
      </c>
      <c r="F42" s="15"/>
      <c r="G42" s="15"/>
      <c r="H42" s="16" t="n">
        <v>4400</v>
      </c>
      <c r="I42" s="15" t="n">
        <v>60</v>
      </c>
      <c r="J42" s="15" t="s">
        <v>5159</v>
      </c>
      <c r="K42" s="15" t="s">
        <v>5254</v>
      </c>
      <c r="L42" s="15" t="n">
        <v>1</v>
      </c>
      <c r="M42" s="15" t="s">
        <v>5161</v>
      </c>
      <c r="N42" s="18" t="str">
        <f aca="false">IFERROR(IF(ISNUMBER(SEARCH(D42,INDEX(Pages!$J$2:$J$824,MATCH(A42,Pages!$B$2:$B$824,0)))),"Yes","No"),"Page not found")</f>
        <v>Yes</v>
      </c>
      <c r="O42" s="3" t="s">
        <v>5260</v>
      </c>
      <c r="P42" s="3"/>
    </row>
    <row r="43" customFormat="false" ht="15" hidden="false" customHeight="false" outlineLevel="0" collapsed="false">
      <c r="A43" s="15" t="s">
        <v>292</v>
      </c>
      <c r="B43" s="15" t="s">
        <v>257</v>
      </c>
      <c r="C43" s="15" t="s">
        <v>77</v>
      </c>
      <c r="D43" s="15" t="s">
        <v>5261</v>
      </c>
      <c r="E43" s="15" t="s">
        <v>147</v>
      </c>
      <c r="F43" s="15"/>
      <c r="G43" s="15"/>
      <c r="H43" s="16" t="n">
        <v>2900</v>
      </c>
      <c r="I43" s="15" t="n">
        <v>55</v>
      </c>
      <c r="J43" s="15" t="s">
        <v>5177</v>
      </c>
      <c r="K43" s="15" t="s">
        <v>5254</v>
      </c>
      <c r="L43" s="15" t="n">
        <v>3</v>
      </c>
      <c r="M43" s="15" t="s">
        <v>5165</v>
      </c>
      <c r="N43" s="18" t="str">
        <f aca="false">IFERROR(IF(ISNUMBER(SEARCH(D43,INDEX(Pages!$J$2:$J$824,MATCH(A43,Pages!$B$2:$B$824,0)))),"Yes","No"),"Page not found")</f>
        <v>No</v>
      </c>
      <c r="O43" s="3" t="s">
        <v>5224</v>
      </c>
      <c r="P43" s="3" t="s">
        <v>5262</v>
      </c>
    </row>
    <row r="44" customFormat="false" ht="15" hidden="false" customHeight="false" outlineLevel="0" collapsed="false">
      <c r="A44" s="15" t="s">
        <v>240</v>
      </c>
      <c r="B44" s="15" t="s">
        <v>125</v>
      </c>
      <c r="C44" s="15" t="s">
        <v>93</v>
      </c>
      <c r="D44" s="15" t="s">
        <v>244</v>
      </c>
      <c r="E44" s="15" t="s">
        <v>147</v>
      </c>
      <c r="F44" s="15"/>
      <c r="G44" s="15"/>
      <c r="H44" s="16" t="n">
        <v>6600</v>
      </c>
      <c r="I44" s="15" t="n">
        <v>75</v>
      </c>
      <c r="J44" s="15" t="s">
        <v>5169</v>
      </c>
      <c r="K44" s="15" t="s">
        <v>5263</v>
      </c>
      <c r="L44" s="15" t="n">
        <v>1</v>
      </c>
      <c r="M44" s="15" t="s">
        <v>5161</v>
      </c>
      <c r="N44" s="18" t="str">
        <f aca="false">IFERROR(IF(ISNUMBER(SEARCH(D44,INDEX(Pages!$J$2:$J$824,MATCH(A44,Pages!$B$2:$B$824,0)))),"Yes","No"),"Page not found")</f>
        <v>No</v>
      </c>
      <c r="O44" s="3" t="s">
        <v>5264</v>
      </c>
      <c r="P44" s="3"/>
    </row>
    <row r="45" customFormat="false" ht="15" hidden="false" customHeight="false" outlineLevel="0" collapsed="false">
      <c r="A45" s="15" t="s">
        <v>240</v>
      </c>
      <c r="B45" s="15" t="s">
        <v>125</v>
      </c>
      <c r="C45" s="15" t="s">
        <v>93</v>
      </c>
      <c r="D45" s="15" t="s">
        <v>5265</v>
      </c>
      <c r="E45" s="15" t="s">
        <v>147</v>
      </c>
      <c r="F45" s="15"/>
      <c r="G45" s="15"/>
      <c r="H45" s="16" t="n">
        <v>320</v>
      </c>
      <c r="I45" s="15" t="n">
        <v>30</v>
      </c>
      <c r="J45" s="15" t="s">
        <v>5169</v>
      </c>
      <c r="K45" s="15" t="s">
        <v>5263</v>
      </c>
      <c r="L45" s="15" t="n">
        <v>1</v>
      </c>
      <c r="M45" s="15" t="s">
        <v>5165</v>
      </c>
      <c r="N45" s="18" t="str">
        <f aca="false">IFERROR(IF(ISNUMBER(SEARCH(D45,INDEX(Pages!$J$2:$J$824,MATCH(A45,Pages!$B$2:$B$824,0)))),"Yes","No"),"Page not found")</f>
        <v>Yes</v>
      </c>
      <c r="O45" s="3" t="s">
        <v>5266</v>
      </c>
      <c r="P45" s="3" t="s">
        <v>5267</v>
      </c>
    </row>
    <row r="46" customFormat="false" ht="15" hidden="false" customHeight="false" outlineLevel="0" collapsed="false">
      <c r="A46" s="15" t="s">
        <v>5066</v>
      </c>
      <c r="B46" s="15" t="s">
        <v>5000</v>
      </c>
      <c r="C46" s="15" t="s">
        <v>82</v>
      </c>
      <c r="D46" s="15" t="s">
        <v>5070</v>
      </c>
      <c r="E46" s="15" t="s">
        <v>662</v>
      </c>
      <c r="F46" s="15" t="s">
        <v>715</v>
      </c>
      <c r="G46" s="15"/>
      <c r="H46" s="16" t="n">
        <v>4400</v>
      </c>
      <c r="I46" s="15" t="n">
        <v>45</v>
      </c>
      <c r="J46" s="15" t="s">
        <v>5177</v>
      </c>
      <c r="K46" s="15" t="s">
        <v>5268</v>
      </c>
      <c r="L46" s="15" t="n">
        <v>1</v>
      </c>
      <c r="M46" s="15" t="s">
        <v>5161</v>
      </c>
      <c r="N46" s="18" t="str">
        <f aca="false">IFERROR(IF(ISNUMBER(SEARCH(D46,INDEX(Pages!$J$2:$J$824,MATCH(A46,Pages!$B$2:$B$824,0)))),"Yes","No"),"Page not found")</f>
        <v>No</v>
      </c>
      <c r="O46" s="3" t="s">
        <v>5269</v>
      </c>
      <c r="P46" s="3" t="s">
        <v>5270</v>
      </c>
    </row>
    <row r="47" customFormat="false" ht="15" hidden="false" customHeight="false" outlineLevel="0" collapsed="false">
      <c r="A47" s="15" t="s">
        <v>5066</v>
      </c>
      <c r="B47" s="15" t="s">
        <v>5000</v>
      </c>
      <c r="C47" s="15" t="s">
        <v>82</v>
      </c>
      <c r="D47" s="15" t="s">
        <v>5271</v>
      </c>
      <c r="E47" s="15" t="s">
        <v>662</v>
      </c>
      <c r="F47" s="15" t="s">
        <v>715</v>
      </c>
      <c r="G47" s="15"/>
      <c r="H47" s="16" t="n">
        <v>1300</v>
      </c>
      <c r="I47" s="15" t="n">
        <v>35</v>
      </c>
      <c r="J47" s="15" t="s">
        <v>5177</v>
      </c>
      <c r="K47" s="15" t="s">
        <v>5268</v>
      </c>
      <c r="L47" s="15" t="n">
        <v>1</v>
      </c>
      <c r="M47" s="15" t="s">
        <v>5165</v>
      </c>
      <c r="N47" s="18" t="str">
        <f aca="false">IFERROR(IF(ISNUMBER(SEARCH(D47,INDEX(Pages!$J$2:$J$824,MATCH(A47,Pages!$B$2:$B$824,0)))),"Yes","No"),"Page not found")</f>
        <v>No</v>
      </c>
      <c r="O47" s="3" t="s">
        <v>5272</v>
      </c>
      <c r="P47" s="3"/>
    </row>
    <row r="48" customFormat="false" ht="15" hidden="false" customHeight="false" outlineLevel="0" collapsed="false">
      <c r="A48" s="15" t="s">
        <v>5066</v>
      </c>
      <c r="B48" s="15" t="s">
        <v>5000</v>
      </c>
      <c r="C48" s="15" t="s">
        <v>82</v>
      </c>
      <c r="D48" s="15" t="s">
        <v>5273</v>
      </c>
      <c r="E48" s="15" t="s">
        <v>662</v>
      </c>
      <c r="F48" s="15" t="s">
        <v>715</v>
      </c>
      <c r="G48" s="15"/>
      <c r="H48" s="16" t="n">
        <v>480</v>
      </c>
      <c r="I48" s="15" t="n">
        <v>25</v>
      </c>
      <c r="J48" s="15" t="s">
        <v>5177</v>
      </c>
      <c r="K48" s="15" t="s">
        <v>5268</v>
      </c>
      <c r="L48" s="15" t="n">
        <v>1</v>
      </c>
      <c r="M48" s="15" t="s">
        <v>5165</v>
      </c>
      <c r="N48" s="18" t="str">
        <f aca="false">IFERROR(IF(ISNUMBER(SEARCH(D48,INDEX(Pages!$J$2:$J$824,MATCH(A48,Pages!$B$2:$B$824,0)))),"Yes","No"),"Page not found")</f>
        <v>No</v>
      </c>
      <c r="O48" s="3" t="s">
        <v>5274</v>
      </c>
      <c r="P48" s="3" t="s">
        <v>5275</v>
      </c>
    </row>
    <row r="49" customFormat="false" ht="23.85" hidden="false" customHeight="false" outlineLevel="0" collapsed="false">
      <c r="A49" s="15" t="s">
        <v>607</v>
      </c>
      <c r="B49" s="15" t="s">
        <v>384</v>
      </c>
      <c r="C49" s="15" t="s">
        <v>83</v>
      </c>
      <c r="D49" s="15" t="s">
        <v>611</v>
      </c>
      <c r="E49" s="15" t="s">
        <v>147</v>
      </c>
      <c r="F49" s="15"/>
      <c r="G49" s="15"/>
      <c r="H49" s="16" t="n">
        <v>5400</v>
      </c>
      <c r="I49" s="15" t="n">
        <v>60</v>
      </c>
      <c r="J49" s="15" t="s">
        <v>5159</v>
      </c>
      <c r="K49" s="15" t="s">
        <v>5276</v>
      </c>
      <c r="L49" s="15" t="n">
        <v>3</v>
      </c>
      <c r="M49" s="15" t="s">
        <v>5161</v>
      </c>
      <c r="N49" s="18" t="str">
        <f aca="false">IFERROR(IF(ISNUMBER(SEARCH(D49,INDEX(Pages!$J$2:$J$824,MATCH(A49,Pages!$B$2:$B$824,0)))),"Yes","No"),"Page not found")</f>
        <v>Yes</v>
      </c>
      <c r="O49" s="3" t="s">
        <v>5277</v>
      </c>
      <c r="P49" s="3" t="s">
        <v>5278</v>
      </c>
    </row>
    <row r="50" customFormat="false" ht="15" hidden="false" customHeight="false" outlineLevel="0" collapsed="false">
      <c r="A50" s="15" t="s">
        <v>376</v>
      </c>
      <c r="B50" s="15" t="s">
        <v>257</v>
      </c>
      <c r="C50" s="15" t="s">
        <v>74</v>
      </c>
      <c r="D50" s="15" t="s">
        <v>381</v>
      </c>
      <c r="E50" s="15" t="s">
        <v>147</v>
      </c>
      <c r="F50" s="15"/>
      <c r="G50" s="15"/>
      <c r="H50" s="16" t="n">
        <v>5400</v>
      </c>
      <c r="I50" s="15" t="n">
        <v>70</v>
      </c>
      <c r="J50" s="15" t="s">
        <v>5159</v>
      </c>
      <c r="K50" s="15" t="s">
        <v>5183</v>
      </c>
      <c r="L50" s="15" t="n">
        <v>1</v>
      </c>
      <c r="M50" s="15" t="s">
        <v>5161</v>
      </c>
      <c r="N50" s="18" t="str">
        <f aca="false">IFERROR(IF(ISNUMBER(SEARCH(D50,INDEX(Pages!$J$2:$J$824,MATCH(A50,Pages!$B$2:$B$824,0)))),"Yes","No"),"Page not found")</f>
        <v>Yes</v>
      </c>
      <c r="O50" s="3" t="s">
        <v>5279</v>
      </c>
      <c r="P50" s="3"/>
    </row>
    <row r="51" customFormat="false" ht="23.85" hidden="false" customHeight="false" outlineLevel="0" collapsed="false">
      <c r="A51" s="15" t="s">
        <v>210</v>
      </c>
      <c r="B51" s="15" t="s">
        <v>125</v>
      </c>
      <c r="C51" s="15" t="s">
        <v>82</v>
      </c>
      <c r="D51" s="15" t="s">
        <v>215</v>
      </c>
      <c r="E51" s="15" t="s">
        <v>147</v>
      </c>
      <c r="F51" s="15"/>
      <c r="G51" s="15"/>
      <c r="H51" s="16" t="n">
        <v>2900</v>
      </c>
      <c r="I51" s="15" t="n">
        <v>55</v>
      </c>
      <c r="J51" s="15" t="s">
        <v>5177</v>
      </c>
      <c r="K51" s="15" t="s">
        <v>5170</v>
      </c>
      <c r="L51" s="15" t="n">
        <v>1</v>
      </c>
      <c r="M51" s="15" t="s">
        <v>5161</v>
      </c>
      <c r="N51" s="18" t="str">
        <f aca="false">IFERROR(IF(ISNUMBER(SEARCH(D51,INDEX(Pages!$J$2:$J$824,MATCH(A51,Pages!$B$2:$B$824,0)))),"Yes","No"),"Page not found")</f>
        <v>No</v>
      </c>
      <c r="O51" s="3" t="s">
        <v>5280</v>
      </c>
      <c r="P51" s="3" t="s">
        <v>5281</v>
      </c>
    </row>
    <row r="52" customFormat="false" ht="15" hidden="false" customHeight="false" outlineLevel="0" collapsed="false">
      <c r="A52" s="15" t="s">
        <v>210</v>
      </c>
      <c r="B52" s="15" t="s">
        <v>125</v>
      </c>
      <c r="C52" s="15" t="s">
        <v>84</v>
      </c>
      <c r="D52" s="15" t="s">
        <v>5282</v>
      </c>
      <c r="E52" s="15" t="s">
        <v>147</v>
      </c>
      <c r="F52" s="15"/>
      <c r="G52" s="15"/>
      <c r="H52" s="16" t="n">
        <v>1300</v>
      </c>
      <c r="I52" s="15" t="n">
        <v>50</v>
      </c>
      <c r="J52" s="15" t="s">
        <v>5177</v>
      </c>
      <c r="K52" s="15" t="s">
        <v>5191</v>
      </c>
      <c r="L52" s="15" t="n">
        <v>1</v>
      </c>
      <c r="M52" s="15" t="s">
        <v>5165</v>
      </c>
      <c r="N52" s="18" t="str">
        <f aca="false">IFERROR(IF(ISNUMBER(SEARCH(D52,INDEX(Pages!$J$2:$J$824,MATCH(A52,Pages!$B$2:$B$824,0)))),"Yes","No"),"Page not found")</f>
        <v>No</v>
      </c>
      <c r="O52" s="3" t="s">
        <v>5182</v>
      </c>
      <c r="P52" s="3"/>
    </row>
    <row r="53" customFormat="false" ht="15" hidden="false" customHeight="false" outlineLevel="0" collapsed="false">
      <c r="A53" s="15" t="s">
        <v>210</v>
      </c>
      <c r="B53" s="15" t="s">
        <v>125</v>
      </c>
      <c r="C53" s="15" t="s">
        <v>82</v>
      </c>
      <c r="D53" s="15" t="s">
        <v>5283</v>
      </c>
      <c r="E53" s="15" t="s">
        <v>147</v>
      </c>
      <c r="F53" s="15"/>
      <c r="G53" s="15"/>
      <c r="H53" s="16" t="n">
        <v>1000</v>
      </c>
      <c r="I53" s="15" t="n">
        <v>45</v>
      </c>
      <c r="J53" s="15" t="s">
        <v>5177</v>
      </c>
      <c r="K53" s="15" t="s">
        <v>5170</v>
      </c>
      <c r="L53" s="15" t="n">
        <v>2</v>
      </c>
      <c r="M53" s="15" t="s">
        <v>5165</v>
      </c>
      <c r="N53" s="18" t="str">
        <f aca="false">IFERROR(IF(ISNUMBER(SEARCH(D53,INDEX(Pages!$J$2:$J$824,MATCH(A53,Pages!$B$2:$B$824,0)))),"Yes","No"),"Page not found")</f>
        <v>No</v>
      </c>
      <c r="O53" s="3" t="s">
        <v>5284</v>
      </c>
      <c r="P53" s="3"/>
    </row>
    <row r="54" customFormat="false" ht="15" hidden="false" customHeight="false" outlineLevel="0" collapsed="false">
      <c r="A54" s="15" t="s">
        <v>5025</v>
      </c>
      <c r="B54" s="15" t="s">
        <v>5000</v>
      </c>
      <c r="C54" s="15" t="s">
        <v>84</v>
      </c>
      <c r="D54" s="15" t="s">
        <v>5029</v>
      </c>
      <c r="E54" s="15" t="s">
        <v>147</v>
      </c>
      <c r="F54" s="15"/>
      <c r="G54" s="15"/>
      <c r="H54" s="16" t="n">
        <v>1600</v>
      </c>
      <c r="I54" s="15" t="n">
        <v>40</v>
      </c>
      <c r="J54" s="15" t="s">
        <v>5177</v>
      </c>
      <c r="K54" s="15" t="s">
        <v>5285</v>
      </c>
      <c r="L54" s="15" t="n">
        <v>1</v>
      </c>
      <c r="M54" s="15" t="s">
        <v>5161</v>
      </c>
      <c r="N54" s="18" t="str">
        <f aca="false">IFERROR(IF(ISNUMBER(SEARCH(D54,INDEX(Pages!$J$2:$J$824,MATCH(A54,Pages!$B$2:$B$824,0)))),"Yes","No"),"Page not found")</f>
        <v>Yes</v>
      </c>
      <c r="O54" s="3" t="s">
        <v>5286</v>
      </c>
      <c r="P54" s="3" t="s">
        <v>5287</v>
      </c>
    </row>
    <row r="55" customFormat="false" ht="15" hidden="false" customHeight="false" outlineLevel="0" collapsed="false">
      <c r="A55" s="15" t="s">
        <v>5025</v>
      </c>
      <c r="B55" s="15" t="s">
        <v>5000</v>
      </c>
      <c r="C55" s="15" t="s">
        <v>84</v>
      </c>
      <c r="D55" s="15" t="s">
        <v>5288</v>
      </c>
      <c r="E55" s="15" t="s">
        <v>147</v>
      </c>
      <c r="F55" s="15"/>
      <c r="G55" s="15"/>
      <c r="H55" s="16" t="n">
        <v>1300</v>
      </c>
      <c r="I55" s="15" t="n">
        <v>45</v>
      </c>
      <c r="J55" s="15" t="s">
        <v>5177</v>
      </c>
      <c r="K55" s="15" t="s">
        <v>5285</v>
      </c>
      <c r="L55" s="15" t="n">
        <v>2</v>
      </c>
      <c r="M55" s="15" t="s">
        <v>5165</v>
      </c>
      <c r="N55" s="18" t="str">
        <f aca="false">IFERROR(IF(ISNUMBER(SEARCH(D55,INDEX(Pages!$J$2:$J$824,MATCH(A55,Pages!$B$2:$B$824,0)))),"Yes","No"),"Page not found")</f>
        <v>No</v>
      </c>
      <c r="O55" s="3" t="s">
        <v>5289</v>
      </c>
      <c r="P55" s="3" t="s">
        <v>5290</v>
      </c>
    </row>
    <row r="56" customFormat="false" ht="15" hidden="false" customHeight="false" outlineLevel="0" collapsed="false">
      <c r="A56" s="15" t="s">
        <v>5025</v>
      </c>
      <c r="B56" s="15" t="s">
        <v>5000</v>
      </c>
      <c r="C56" s="15" t="s">
        <v>84</v>
      </c>
      <c r="D56" s="15" t="s">
        <v>5291</v>
      </c>
      <c r="E56" s="15" t="s">
        <v>147</v>
      </c>
      <c r="F56" s="15"/>
      <c r="G56" s="15"/>
      <c r="H56" s="16" t="n">
        <v>880</v>
      </c>
      <c r="I56" s="15" t="n">
        <v>40</v>
      </c>
      <c r="J56" s="15" t="s">
        <v>5177</v>
      </c>
      <c r="K56" s="15" t="s">
        <v>5285</v>
      </c>
      <c r="L56" s="15" t="n">
        <v>1</v>
      </c>
      <c r="M56" s="15" t="s">
        <v>5165</v>
      </c>
      <c r="N56" s="18" t="str">
        <f aca="false">IFERROR(IF(ISNUMBER(SEARCH(D56,INDEX(Pages!$J$2:$J$824,MATCH(A56,Pages!$B$2:$B$824,0)))),"Yes","No"),"Page not found")</f>
        <v>No</v>
      </c>
      <c r="O56" s="3" t="s">
        <v>5292</v>
      </c>
      <c r="P56" s="3"/>
    </row>
    <row r="57" customFormat="false" ht="15" hidden="false" customHeight="false" outlineLevel="0" collapsed="false">
      <c r="A57" s="15" t="s">
        <v>5025</v>
      </c>
      <c r="B57" s="15" t="s">
        <v>5000</v>
      </c>
      <c r="C57" s="15" t="s">
        <v>84</v>
      </c>
      <c r="D57" s="15" t="s">
        <v>5293</v>
      </c>
      <c r="E57" s="15" t="s">
        <v>147</v>
      </c>
      <c r="F57" s="15"/>
      <c r="G57" s="15"/>
      <c r="H57" s="16" t="n">
        <v>590</v>
      </c>
      <c r="I57" s="15" t="n">
        <v>35</v>
      </c>
      <c r="J57" s="15" t="s">
        <v>5177</v>
      </c>
      <c r="K57" s="15" t="s">
        <v>5285</v>
      </c>
      <c r="L57" s="15" t="n">
        <v>2</v>
      </c>
      <c r="M57" s="15" t="s">
        <v>5165</v>
      </c>
      <c r="N57" s="18" t="str">
        <f aca="false">IFERROR(IF(ISNUMBER(SEARCH(D57,INDEX(Pages!$J$2:$J$824,MATCH(A57,Pages!$B$2:$B$824,0)))),"Yes","No"),"Page not found")</f>
        <v>No</v>
      </c>
      <c r="O57" s="3" t="s">
        <v>5294</v>
      </c>
      <c r="P57" s="3"/>
    </row>
    <row r="58" customFormat="false" ht="15" hidden="false" customHeight="false" outlineLevel="0" collapsed="false">
      <c r="A58" s="15" t="s">
        <v>5025</v>
      </c>
      <c r="B58" s="15" t="s">
        <v>5000</v>
      </c>
      <c r="C58" s="15" t="s">
        <v>84</v>
      </c>
      <c r="D58" s="15" t="s">
        <v>5295</v>
      </c>
      <c r="E58" s="15" t="s">
        <v>104</v>
      </c>
      <c r="F58" s="15" t="s">
        <v>715</v>
      </c>
      <c r="G58" s="15" t="s">
        <v>2379</v>
      </c>
      <c r="H58" s="16" t="n">
        <v>210</v>
      </c>
      <c r="I58" s="15" t="n">
        <v>25</v>
      </c>
      <c r="J58" s="15" t="s">
        <v>5227</v>
      </c>
      <c r="K58" s="15" t="s">
        <v>5285</v>
      </c>
      <c r="L58" s="15" t="n">
        <v>2</v>
      </c>
      <c r="M58" s="15" t="s">
        <v>5165</v>
      </c>
      <c r="N58" s="18" t="str">
        <f aca="false">IFERROR(IF(ISNUMBER(SEARCH(D58,INDEX(Pages!$J$2:$J$824,MATCH(A58,Pages!$B$2:$B$824,0)))),"Yes","No"),"Page not found")</f>
        <v>No</v>
      </c>
      <c r="O58" s="3" t="s">
        <v>5296</v>
      </c>
      <c r="P58" s="3"/>
    </row>
    <row r="59" customFormat="false" ht="15" hidden="false" customHeight="false" outlineLevel="0" collapsed="false">
      <c r="A59" s="15" t="s">
        <v>749</v>
      </c>
      <c r="B59" s="15" t="s">
        <v>656</v>
      </c>
      <c r="C59" s="15" t="s">
        <v>82</v>
      </c>
      <c r="D59" s="15" t="s">
        <v>753</v>
      </c>
      <c r="E59" s="15" t="s">
        <v>662</v>
      </c>
      <c r="F59" s="15" t="s">
        <v>657</v>
      </c>
      <c r="G59" s="15"/>
      <c r="H59" s="16" t="n">
        <v>4500</v>
      </c>
      <c r="I59" s="15" t="n">
        <v>67</v>
      </c>
      <c r="J59" s="15" t="s">
        <v>5159</v>
      </c>
      <c r="K59" s="15" t="s">
        <v>5225</v>
      </c>
      <c r="L59" s="15" t="n">
        <v>1</v>
      </c>
      <c r="M59" s="15" t="s">
        <v>5161</v>
      </c>
      <c r="N59" s="18" t="str">
        <f aca="false">IFERROR(IF(ISNUMBER(SEARCH(D59,INDEX(Pages!$J$2:$J$824,MATCH(A59,Pages!$B$2:$B$824,0)))),"Yes","No"),"Page not found")</f>
        <v>No</v>
      </c>
      <c r="O59" s="3" t="s">
        <v>5182</v>
      </c>
      <c r="P59" s="3"/>
    </row>
    <row r="60" customFormat="false" ht="23.85" hidden="false" customHeight="false" outlineLevel="0" collapsed="false">
      <c r="A60" s="15" t="s">
        <v>2627</v>
      </c>
      <c r="B60" s="15" t="s">
        <v>2076</v>
      </c>
      <c r="C60" s="15" t="s">
        <v>82</v>
      </c>
      <c r="D60" s="15" t="s">
        <v>2631</v>
      </c>
      <c r="E60" s="15" t="s">
        <v>104</v>
      </c>
      <c r="F60" s="15" t="s">
        <v>715</v>
      </c>
      <c r="G60" s="15" t="s">
        <v>2246</v>
      </c>
      <c r="H60" s="16" t="n">
        <v>2900</v>
      </c>
      <c r="I60" s="15" t="n">
        <v>76</v>
      </c>
      <c r="J60" s="15" t="s">
        <v>5227</v>
      </c>
      <c r="K60" s="15" t="s">
        <v>5228</v>
      </c>
      <c r="L60" s="15" t="n">
        <v>1</v>
      </c>
      <c r="M60" s="15" t="s">
        <v>5161</v>
      </c>
      <c r="N60" s="18" t="str">
        <f aca="false">IFERROR(IF(ISNUMBER(SEARCH(D60,INDEX(Pages!$J$2:$J$824,MATCH(A60,Pages!$B$2:$B$824,0)))),"Yes","No"),"Page not found")</f>
        <v>Yes</v>
      </c>
      <c r="O60" s="3" t="s">
        <v>5297</v>
      </c>
      <c r="P60" s="3" t="s">
        <v>5230</v>
      </c>
    </row>
    <row r="61" customFormat="false" ht="15" hidden="false" customHeight="false" outlineLevel="0" collapsed="false">
      <c r="A61" s="15" t="s">
        <v>2627</v>
      </c>
      <c r="B61" s="15" t="s">
        <v>2076</v>
      </c>
      <c r="C61" s="15" t="s">
        <v>82</v>
      </c>
      <c r="D61" s="15" t="s">
        <v>5298</v>
      </c>
      <c r="E61" s="15" t="s">
        <v>104</v>
      </c>
      <c r="F61" s="15" t="s">
        <v>715</v>
      </c>
      <c r="G61" s="15" t="s">
        <v>2246</v>
      </c>
      <c r="H61" s="16" t="n">
        <v>1000</v>
      </c>
      <c r="I61" s="15" t="n">
        <v>71</v>
      </c>
      <c r="J61" s="15" t="s">
        <v>5169</v>
      </c>
      <c r="K61" s="15" t="s">
        <v>5228</v>
      </c>
      <c r="L61" s="15" t="n">
        <v>2</v>
      </c>
      <c r="M61" s="15" t="s">
        <v>5165</v>
      </c>
      <c r="N61" s="18" t="str">
        <f aca="false">IFERROR(IF(ISNUMBER(SEARCH(D61,INDEX(Pages!$J$2:$J$824,MATCH(A61,Pages!$B$2:$B$824,0)))),"Yes","No"),"Page not found")</f>
        <v>No</v>
      </c>
      <c r="O61" s="3" t="s">
        <v>5297</v>
      </c>
      <c r="P61" s="3" t="s">
        <v>5232</v>
      </c>
    </row>
    <row r="62" customFormat="false" ht="23.85" hidden="false" customHeight="false" outlineLevel="0" collapsed="false">
      <c r="A62" s="15" t="s">
        <v>2627</v>
      </c>
      <c r="B62" s="15" t="s">
        <v>2076</v>
      </c>
      <c r="C62" s="15" t="s">
        <v>82</v>
      </c>
      <c r="D62" s="15" t="s">
        <v>5299</v>
      </c>
      <c r="E62" s="15" t="s">
        <v>104</v>
      </c>
      <c r="F62" s="15" t="s">
        <v>715</v>
      </c>
      <c r="G62" s="15" t="s">
        <v>2246</v>
      </c>
      <c r="H62" s="16" t="n">
        <v>570</v>
      </c>
      <c r="I62" s="15" t="n">
        <v>71</v>
      </c>
      <c r="J62" s="15" t="s">
        <v>5177</v>
      </c>
      <c r="K62" s="15" t="s">
        <v>5228</v>
      </c>
      <c r="L62" s="15" t="n">
        <v>2</v>
      </c>
      <c r="M62" s="15" t="s">
        <v>5165</v>
      </c>
      <c r="N62" s="18" t="str">
        <f aca="false">IFERROR(IF(ISNUMBER(SEARCH(D62,INDEX(Pages!$J$2:$J$824,MATCH(A62,Pages!$B$2:$B$824,0)))),"Yes","No"),"Page not found")</f>
        <v>No</v>
      </c>
      <c r="O62" s="3" t="s">
        <v>5297</v>
      </c>
      <c r="P62" s="3" t="s">
        <v>5234</v>
      </c>
    </row>
    <row r="63" customFormat="false" ht="15" hidden="false" customHeight="false" outlineLevel="0" collapsed="false">
      <c r="A63" s="15" t="s">
        <v>5300</v>
      </c>
      <c r="B63" s="15" t="s">
        <v>5201</v>
      </c>
      <c r="C63" s="15" t="s">
        <v>74</v>
      </c>
      <c r="D63" s="15" t="s">
        <v>5301</v>
      </c>
      <c r="E63" s="15" t="s">
        <v>147</v>
      </c>
      <c r="F63" s="15"/>
      <c r="G63" s="15"/>
      <c r="H63" s="16" t="n">
        <v>4400</v>
      </c>
      <c r="I63" s="15" t="n">
        <v>70</v>
      </c>
      <c r="J63" s="15" t="s">
        <v>5169</v>
      </c>
      <c r="K63" s="15" t="s">
        <v>5183</v>
      </c>
      <c r="L63" s="15" t="n">
        <v>1</v>
      </c>
      <c r="M63" s="15" t="s">
        <v>5161</v>
      </c>
      <c r="N63" s="18" t="str">
        <f aca="false">IFERROR(IF(ISNUMBER(SEARCH(D63,INDEX(Pages!$J$2:$J$824,MATCH(A63,Pages!$B$2:$B$824,0)))),"Yes","No"),"Page not found")</f>
        <v>No</v>
      </c>
      <c r="O63" s="3" t="s">
        <v>5302</v>
      </c>
      <c r="P63" s="3" t="s">
        <v>5303</v>
      </c>
    </row>
    <row r="64" customFormat="false" ht="15" hidden="false" customHeight="false" outlineLevel="0" collapsed="false">
      <c r="A64" s="15" t="s">
        <v>643</v>
      </c>
      <c r="B64" s="15" t="s">
        <v>384</v>
      </c>
      <c r="C64" s="15" t="s">
        <v>81</v>
      </c>
      <c r="D64" s="15" t="s">
        <v>647</v>
      </c>
      <c r="E64" s="15" t="s">
        <v>147</v>
      </c>
      <c r="F64" s="15"/>
      <c r="G64" s="15"/>
      <c r="H64" s="16" t="n">
        <v>4400</v>
      </c>
      <c r="I64" s="15" t="n">
        <v>55</v>
      </c>
      <c r="J64" s="15" t="s">
        <v>5169</v>
      </c>
      <c r="K64" s="15" t="s">
        <v>5235</v>
      </c>
      <c r="L64" s="15" t="n">
        <v>2</v>
      </c>
      <c r="M64" s="15" t="s">
        <v>5161</v>
      </c>
      <c r="N64" s="18" t="str">
        <f aca="false">IFERROR(IF(ISNUMBER(SEARCH(D64,INDEX(Pages!$J$2:$J$824,MATCH(A64,Pages!$B$2:$B$824,0)))),"Yes","No"),"Page not found")</f>
        <v>No</v>
      </c>
      <c r="O64" s="3" t="s">
        <v>5304</v>
      </c>
      <c r="P64" s="3" t="s">
        <v>5305</v>
      </c>
    </row>
    <row r="65" customFormat="false" ht="15" hidden="false" customHeight="false" outlineLevel="0" collapsed="false">
      <c r="A65" s="15" t="s">
        <v>2489</v>
      </c>
      <c r="B65" s="15" t="s">
        <v>2076</v>
      </c>
      <c r="C65" s="15" t="s">
        <v>82</v>
      </c>
      <c r="D65" s="15" t="s">
        <v>2493</v>
      </c>
      <c r="E65" s="15" t="s">
        <v>104</v>
      </c>
      <c r="F65" s="15" t="s">
        <v>657</v>
      </c>
      <c r="G65" s="15" t="s">
        <v>2084</v>
      </c>
      <c r="H65" s="16" t="n">
        <v>2800</v>
      </c>
      <c r="I65" s="15" t="n">
        <v>76</v>
      </c>
      <c r="J65" s="15" t="s">
        <v>5227</v>
      </c>
      <c r="K65" s="15" t="s">
        <v>5228</v>
      </c>
      <c r="L65" s="15" t="n">
        <v>1</v>
      </c>
      <c r="M65" s="15" t="s">
        <v>5161</v>
      </c>
      <c r="N65" s="18" t="str">
        <f aca="false">IFERROR(IF(ISNUMBER(SEARCH(D65,INDEX(Pages!$J$2:$J$824,MATCH(A65,Pages!$B$2:$B$824,0)))),"Yes","No"),"Page not found")</f>
        <v>Yes</v>
      </c>
      <c r="O65" s="3" t="s">
        <v>5182</v>
      </c>
      <c r="P65" s="3"/>
    </row>
    <row r="66" customFormat="false" ht="15" hidden="false" customHeight="false" outlineLevel="0" collapsed="false">
      <c r="A66" s="15" t="s">
        <v>2489</v>
      </c>
      <c r="B66" s="15" t="s">
        <v>2076</v>
      </c>
      <c r="C66" s="15" t="s">
        <v>82</v>
      </c>
      <c r="D66" s="15" t="s">
        <v>5306</v>
      </c>
      <c r="E66" s="15" t="s">
        <v>104</v>
      </c>
      <c r="F66" s="15" t="s">
        <v>657</v>
      </c>
      <c r="G66" s="15" t="s">
        <v>2084</v>
      </c>
      <c r="H66" s="16" t="n">
        <v>970</v>
      </c>
      <c r="I66" s="15" t="n">
        <v>71</v>
      </c>
      <c r="J66" s="15" t="s">
        <v>5169</v>
      </c>
      <c r="K66" s="15" t="s">
        <v>5228</v>
      </c>
      <c r="L66" s="15" t="n">
        <v>2</v>
      </c>
      <c r="M66" s="15" t="s">
        <v>5165</v>
      </c>
      <c r="N66" s="18" t="str">
        <f aca="false">IFERROR(IF(ISNUMBER(SEARCH(D66,INDEX(Pages!$J$2:$J$824,MATCH(A66,Pages!$B$2:$B$824,0)))),"Yes","No"),"Page not found")</f>
        <v>No</v>
      </c>
      <c r="O66" s="3" t="s">
        <v>5182</v>
      </c>
      <c r="P66" s="3" t="s">
        <v>5232</v>
      </c>
    </row>
    <row r="67" customFormat="false" ht="23.85" hidden="false" customHeight="false" outlineLevel="0" collapsed="false">
      <c r="A67" s="15" t="s">
        <v>2489</v>
      </c>
      <c r="B67" s="15" t="s">
        <v>2076</v>
      </c>
      <c r="C67" s="15" t="s">
        <v>82</v>
      </c>
      <c r="D67" s="15" t="s">
        <v>5307</v>
      </c>
      <c r="E67" s="15" t="s">
        <v>104</v>
      </c>
      <c r="F67" s="15" t="s">
        <v>657</v>
      </c>
      <c r="G67" s="15" t="s">
        <v>2084</v>
      </c>
      <c r="H67" s="16" t="n">
        <v>550</v>
      </c>
      <c r="I67" s="15" t="n">
        <v>71</v>
      </c>
      <c r="J67" s="15" t="s">
        <v>5177</v>
      </c>
      <c r="K67" s="15" t="s">
        <v>5228</v>
      </c>
      <c r="L67" s="15" t="n">
        <v>3</v>
      </c>
      <c r="M67" s="15" t="s">
        <v>5165</v>
      </c>
      <c r="N67" s="18" t="str">
        <f aca="false">IFERROR(IF(ISNUMBER(SEARCH(D67,INDEX(Pages!$J$2:$J$824,MATCH(A67,Pages!$B$2:$B$824,0)))),"Yes","No"),"Page not found")</f>
        <v>No</v>
      </c>
      <c r="O67" s="3" t="s">
        <v>5182</v>
      </c>
      <c r="P67" s="3" t="s">
        <v>5234</v>
      </c>
    </row>
    <row r="68" customFormat="false" ht="15" hidden="false" customHeight="false" outlineLevel="0" collapsed="false">
      <c r="A68" s="15" t="s">
        <v>160</v>
      </c>
      <c r="B68" s="15" t="s">
        <v>125</v>
      </c>
      <c r="C68" s="15" t="s">
        <v>74</v>
      </c>
      <c r="D68" s="15" t="s">
        <v>164</v>
      </c>
      <c r="E68" s="15" t="s">
        <v>147</v>
      </c>
      <c r="F68" s="15"/>
      <c r="G68" s="15"/>
      <c r="H68" s="16" t="n">
        <v>2400</v>
      </c>
      <c r="I68" s="15" t="n">
        <v>60</v>
      </c>
      <c r="J68" s="15" t="s">
        <v>5169</v>
      </c>
      <c r="K68" s="15" t="s">
        <v>5308</v>
      </c>
      <c r="L68" s="15" t="n">
        <v>1</v>
      </c>
      <c r="M68" s="15" t="s">
        <v>5161</v>
      </c>
      <c r="N68" s="18" t="str">
        <f aca="false">IFERROR(IF(ISNUMBER(SEARCH(D68,INDEX(Pages!$J$2:$J$824,MATCH(A68,Pages!$B$2:$B$824,0)))),"Yes","No"),"Page not found")</f>
        <v>No</v>
      </c>
      <c r="O68" s="3" t="s">
        <v>5309</v>
      </c>
      <c r="P68" s="3"/>
    </row>
    <row r="69" customFormat="false" ht="15" hidden="false" customHeight="false" outlineLevel="0" collapsed="false">
      <c r="A69" s="15" t="s">
        <v>160</v>
      </c>
      <c r="B69" s="15" t="s">
        <v>125</v>
      </c>
      <c r="C69" s="15" t="s">
        <v>74</v>
      </c>
      <c r="D69" s="15" t="s">
        <v>5047</v>
      </c>
      <c r="E69" s="15" t="s">
        <v>147</v>
      </c>
      <c r="F69" s="15"/>
      <c r="G69" s="15"/>
      <c r="H69" s="16" t="n">
        <v>1900</v>
      </c>
      <c r="I69" s="15" t="n">
        <v>55</v>
      </c>
      <c r="J69" s="15" t="s">
        <v>5177</v>
      </c>
      <c r="K69" s="15" t="s">
        <v>5308</v>
      </c>
      <c r="L69" s="15" t="n">
        <v>1</v>
      </c>
      <c r="M69" s="15" t="s">
        <v>5165</v>
      </c>
      <c r="N69" s="18" t="str">
        <f aca="false">IFERROR(IF(ISNUMBER(SEARCH(D69,INDEX(Pages!$J$2:$J$824,MATCH(A69,Pages!$B$2:$B$824,0)))),"Yes","No"),"Page not found")</f>
        <v>No</v>
      </c>
      <c r="O69" s="3" t="s">
        <v>5310</v>
      </c>
      <c r="P69" s="3" t="s">
        <v>5311</v>
      </c>
    </row>
    <row r="70" customFormat="false" ht="23.85" hidden="false" customHeight="false" outlineLevel="0" collapsed="false">
      <c r="A70" s="15" t="s">
        <v>4999</v>
      </c>
      <c r="B70" s="15" t="s">
        <v>5000</v>
      </c>
      <c r="C70" s="15" t="s">
        <v>82</v>
      </c>
      <c r="D70" s="15" t="s">
        <v>5004</v>
      </c>
      <c r="E70" s="15" t="s">
        <v>662</v>
      </c>
      <c r="F70" s="15" t="s">
        <v>657</v>
      </c>
      <c r="G70" s="15"/>
      <c r="H70" s="16" t="n">
        <v>1900</v>
      </c>
      <c r="I70" s="15" t="n">
        <v>35</v>
      </c>
      <c r="J70" s="15" t="s">
        <v>5177</v>
      </c>
      <c r="K70" s="15" t="s">
        <v>5268</v>
      </c>
      <c r="L70" s="15" t="n">
        <v>1</v>
      </c>
      <c r="M70" s="15" t="s">
        <v>5161</v>
      </c>
      <c r="N70" s="18" t="str">
        <f aca="false">IFERROR(IF(ISNUMBER(SEARCH(D70,INDEX(Pages!$J$2:$J$824,MATCH(A70,Pages!$B$2:$B$824,0)))),"Yes","No"),"Page not found")</f>
        <v>No</v>
      </c>
      <c r="O70" s="3" t="s">
        <v>5312</v>
      </c>
      <c r="P70" s="3" t="s">
        <v>5313</v>
      </c>
    </row>
    <row r="71" customFormat="false" ht="15" hidden="false" customHeight="false" outlineLevel="0" collapsed="false">
      <c r="A71" s="15" t="s">
        <v>4999</v>
      </c>
      <c r="B71" s="15" t="s">
        <v>5000</v>
      </c>
      <c r="C71" s="15" t="s">
        <v>82</v>
      </c>
      <c r="D71" s="15" t="s">
        <v>5314</v>
      </c>
      <c r="E71" s="15" t="s">
        <v>662</v>
      </c>
      <c r="F71" s="15" t="s">
        <v>657</v>
      </c>
      <c r="G71" s="15"/>
      <c r="H71" s="16" t="n">
        <v>1600</v>
      </c>
      <c r="I71" s="15" t="n">
        <v>30</v>
      </c>
      <c r="J71" s="15" t="s">
        <v>5177</v>
      </c>
      <c r="K71" s="15" t="s">
        <v>5268</v>
      </c>
      <c r="L71" s="15" t="n">
        <v>1</v>
      </c>
      <c r="M71" s="15" t="s">
        <v>5165</v>
      </c>
      <c r="N71" s="18" t="str">
        <f aca="false">IFERROR(IF(ISNUMBER(SEARCH(D71,INDEX(Pages!$J$2:$J$824,MATCH(A71,Pages!$B$2:$B$824,0)))),"Yes","No"),"Page not found")</f>
        <v>No</v>
      </c>
      <c r="O71" s="3" t="s">
        <v>5315</v>
      </c>
      <c r="P71" s="3" t="s">
        <v>5316</v>
      </c>
    </row>
    <row r="72" customFormat="false" ht="15" hidden="false" customHeight="false" outlineLevel="0" collapsed="false">
      <c r="A72" s="15" t="s">
        <v>4999</v>
      </c>
      <c r="B72" s="15" t="s">
        <v>5000</v>
      </c>
      <c r="C72" s="15" t="s">
        <v>82</v>
      </c>
      <c r="D72" s="15" t="s">
        <v>5317</v>
      </c>
      <c r="E72" s="15" t="s">
        <v>662</v>
      </c>
      <c r="F72" s="15" t="s">
        <v>657</v>
      </c>
      <c r="G72" s="15"/>
      <c r="H72" s="16" t="n">
        <v>720</v>
      </c>
      <c r="I72" s="15" t="n">
        <v>30</v>
      </c>
      <c r="J72" s="15" t="s">
        <v>5177</v>
      </c>
      <c r="K72" s="15" t="s">
        <v>5268</v>
      </c>
      <c r="L72" s="15" t="n">
        <v>1</v>
      </c>
      <c r="M72" s="15" t="s">
        <v>5165</v>
      </c>
      <c r="N72" s="18" t="str">
        <f aca="false">IFERROR(IF(ISNUMBER(SEARCH(D72,INDEX(Pages!$J$2:$J$824,MATCH(A72,Pages!$B$2:$B$824,0)))),"Yes","No"),"Page not found")</f>
        <v>No</v>
      </c>
      <c r="O72" s="3" t="s">
        <v>5318</v>
      </c>
      <c r="P72" s="3"/>
    </row>
    <row r="73" customFormat="false" ht="23.85" hidden="false" customHeight="false" outlineLevel="0" collapsed="false">
      <c r="A73" s="15" t="s">
        <v>2687</v>
      </c>
      <c r="B73" s="15" t="s">
        <v>2076</v>
      </c>
      <c r="C73" s="15" t="s">
        <v>82</v>
      </c>
      <c r="D73" s="15" t="s">
        <v>2691</v>
      </c>
      <c r="E73" s="15" t="s">
        <v>104</v>
      </c>
      <c r="F73" s="15" t="s">
        <v>715</v>
      </c>
      <c r="G73" s="15" t="s">
        <v>2316</v>
      </c>
      <c r="H73" s="16" t="n">
        <v>2400</v>
      </c>
      <c r="I73" s="15" t="n">
        <v>84</v>
      </c>
      <c r="J73" s="15" t="s">
        <v>5227</v>
      </c>
      <c r="K73" s="15" t="s">
        <v>5228</v>
      </c>
      <c r="L73" s="15" t="n">
        <v>1</v>
      </c>
      <c r="M73" s="15" t="s">
        <v>5161</v>
      </c>
      <c r="N73" s="18" t="str">
        <f aca="false">IFERROR(IF(ISNUMBER(SEARCH(D73,INDEX(Pages!$J$2:$J$824,MATCH(A73,Pages!$B$2:$B$824,0)))),"Yes","No"),"Page not found")</f>
        <v>Yes</v>
      </c>
      <c r="O73" s="3" t="s">
        <v>5229</v>
      </c>
      <c r="P73" s="3" t="s">
        <v>5230</v>
      </c>
    </row>
    <row r="74" customFormat="false" ht="15" hidden="false" customHeight="false" outlineLevel="0" collapsed="false">
      <c r="A74" s="15" t="s">
        <v>2687</v>
      </c>
      <c r="B74" s="15" t="s">
        <v>2076</v>
      </c>
      <c r="C74" s="15" t="s">
        <v>82</v>
      </c>
      <c r="D74" s="15" t="s">
        <v>5319</v>
      </c>
      <c r="E74" s="15" t="s">
        <v>104</v>
      </c>
      <c r="F74" s="15" t="s">
        <v>715</v>
      </c>
      <c r="G74" s="15" t="s">
        <v>2316</v>
      </c>
      <c r="H74" s="16" t="n">
        <v>840</v>
      </c>
      <c r="I74" s="15" t="n">
        <v>79</v>
      </c>
      <c r="J74" s="15" t="s">
        <v>5169</v>
      </c>
      <c r="K74" s="15" t="s">
        <v>5228</v>
      </c>
      <c r="L74" s="15" t="n">
        <v>2</v>
      </c>
      <c r="M74" s="15" t="s">
        <v>5165</v>
      </c>
      <c r="N74" s="18" t="str">
        <f aca="false">IFERROR(IF(ISNUMBER(SEARCH(D74,INDEX(Pages!$J$2:$J$824,MATCH(A74,Pages!$B$2:$B$824,0)))),"Yes","No"),"Page not found")</f>
        <v>No</v>
      </c>
      <c r="O74" s="3" t="s">
        <v>5229</v>
      </c>
      <c r="P74" s="3" t="s">
        <v>5232</v>
      </c>
    </row>
    <row r="75" customFormat="false" ht="23.85" hidden="false" customHeight="false" outlineLevel="0" collapsed="false">
      <c r="A75" s="15" t="s">
        <v>2687</v>
      </c>
      <c r="B75" s="15" t="s">
        <v>2076</v>
      </c>
      <c r="C75" s="15" t="s">
        <v>82</v>
      </c>
      <c r="D75" s="15" t="s">
        <v>5320</v>
      </c>
      <c r="E75" s="15" t="s">
        <v>104</v>
      </c>
      <c r="F75" s="15" t="s">
        <v>715</v>
      </c>
      <c r="G75" s="15" t="s">
        <v>2316</v>
      </c>
      <c r="H75" s="16" t="n">
        <v>480</v>
      </c>
      <c r="I75" s="15" t="n">
        <v>79</v>
      </c>
      <c r="J75" s="15" t="s">
        <v>5177</v>
      </c>
      <c r="K75" s="15" t="s">
        <v>5228</v>
      </c>
      <c r="L75" s="15" t="n">
        <v>3</v>
      </c>
      <c r="M75" s="15" t="s">
        <v>5165</v>
      </c>
      <c r="N75" s="18" t="str">
        <f aca="false">IFERROR(IF(ISNUMBER(SEARCH(D75,INDEX(Pages!$J$2:$J$824,MATCH(A75,Pages!$B$2:$B$824,0)))),"Yes","No"),"Page not found")</f>
        <v>No</v>
      </c>
      <c r="O75" s="3" t="s">
        <v>5229</v>
      </c>
      <c r="P75" s="3" t="s">
        <v>5234</v>
      </c>
    </row>
    <row r="76" customFormat="false" ht="15" hidden="false" customHeight="false" outlineLevel="0" collapsed="false">
      <c r="A76" s="15" t="s">
        <v>1343</v>
      </c>
      <c r="B76" s="15" t="s">
        <v>656</v>
      </c>
      <c r="C76" s="15" t="s">
        <v>84</v>
      </c>
      <c r="D76" s="15" t="s">
        <v>1347</v>
      </c>
      <c r="E76" s="15" t="s">
        <v>662</v>
      </c>
      <c r="F76" s="15" t="s">
        <v>715</v>
      </c>
      <c r="G76" s="15"/>
      <c r="H76" s="16" t="n">
        <v>3000</v>
      </c>
      <c r="I76" s="15" t="n">
        <v>69</v>
      </c>
      <c r="J76" s="15" t="s">
        <v>5159</v>
      </c>
      <c r="K76" s="15" t="s">
        <v>5321</v>
      </c>
      <c r="L76" s="15" t="n">
        <v>1</v>
      </c>
      <c r="M76" s="15" t="s">
        <v>5161</v>
      </c>
      <c r="N76" s="18" t="str">
        <f aca="false">IFERROR(IF(ISNUMBER(SEARCH(D76,INDEX(Pages!$J$2:$J$824,MATCH(A76,Pages!$B$2:$B$824,0)))),"Yes","No"),"Page not found")</f>
        <v>No</v>
      </c>
      <c r="O76" s="3" t="s">
        <v>5226</v>
      </c>
      <c r="P76" s="3"/>
    </row>
    <row r="77" customFormat="false" ht="15" hidden="false" customHeight="false" outlineLevel="0" collapsed="false">
      <c r="A77" s="15" t="s">
        <v>1343</v>
      </c>
      <c r="B77" s="15" t="s">
        <v>656</v>
      </c>
      <c r="C77" s="15" t="s">
        <v>84</v>
      </c>
      <c r="D77" s="15" t="s">
        <v>5322</v>
      </c>
      <c r="E77" s="15" t="s">
        <v>662</v>
      </c>
      <c r="F77" s="15" t="s">
        <v>715</v>
      </c>
      <c r="G77" s="15"/>
      <c r="H77" s="16" t="n">
        <v>590</v>
      </c>
      <c r="I77" s="15" t="n">
        <v>30</v>
      </c>
      <c r="J77" s="15" t="s">
        <v>5177</v>
      </c>
      <c r="K77" s="15" t="s">
        <v>5285</v>
      </c>
      <c r="L77" s="15" t="n">
        <v>2</v>
      </c>
      <c r="M77" s="15" t="s">
        <v>5165</v>
      </c>
      <c r="N77" s="18" t="str">
        <f aca="false">IFERROR(IF(ISNUMBER(SEARCH(D77,INDEX(Pages!$J$2:$J$824,MATCH(A77,Pages!$B$2:$B$824,0)))),"Yes","No"),"Page not found")</f>
        <v>No</v>
      </c>
      <c r="O77" s="3" t="s">
        <v>5323</v>
      </c>
      <c r="P77" s="3"/>
    </row>
    <row r="78" customFormat="false" ht="15" hidden="false" customHeight="false" outlineLevel="0" collapsed="false">
      <c r="A78" s="15" t="s">
        <v>327</v>
      </c>
      <c r="B78" s="15" t="s">
        <v>257</v>
      </c>
      <c r="C78" s="15" t="s">
        <v>75</v>
      </c>
      <c r="D78" s="15" t="s">
        <v>332</v>
      </c>
      <c r="E78" s="15" t="s">
        <v>147</v>
      </c>
      <c r="F78" s="15"/>
      <c r="G78" s="15"/>
      <c r="H78" s="16" t="n">
        <v>2400</v>
      </c>
      <c r="I78" s="15" t="n">
        <v>55</v>
      </c>
      <c r="J78" s="15" t="s">
        <v>5159</v>
      </c>
      <c r="K78" s="15" t="s">
        <v>5324</v>
      </c>
      <c r="L78" s="15" t="n">
        <v>1</v>
      </c>
      <c r="M78" s="15" t="s">
        <v>5161</v>
      </c>
      <c r="N78" s="18" t="str">
        <f aca="false">IFERROR(IF(ISNUMBER(SEARCH(D78,INDEX(Pages!$J$2:$J$824,MATCH(A78,Pages!$B$2:$B$824,0)))),"Yes","No"),"Page not found")</f>
        <v>Yes</v>
      </c>
      <c r="O78" s="3" t="s">
        <v>5325</v>
      </c>
      <c r="P78" s="3" t="s">
        <v>5326</v>
      </c>
    </row>
    <row r="79" customFormat="false" ht="15" hidden="false" customHeight="false" outlineLevel="0" collapsed="false">
      <c r="A79" s="15" t="s">
        <v>327</v>
      </c>
      <c r="B79" s="15" t="s">
        <v>257</v>
      </c>
      <c r="C79" s="15" t="s">
        <v>75</v>
      </c>
      <c r="D79" s="15" t="s">
        <v>5327</v>
      </c>
      <c r="E79" s="15" t="s">
        <v>147</v>
      </c>
      <c r="F79" s="15"/>
      <c r="G79" s="15"/>
      <c r="H79" s="16" t="n">
        <v>1000</v>
      </c>
      <c r="I79" s="15" t="n">
        <v>45</v>
      </c>
      <c r="J79" s="15" t="s">
        <v>5159</v>
      </c>
      <c r="K79" s="15" t="s">
        <v>5324</v>
      </c>
      <c r="L79" s="15" t="n">
        <v>1</v>
      </c>
      <c r="M79" s="15" t="s">
        <v>5165</v>
      </c>
      <c r="N79" s="18" t="str">
        <f aca="false">IFERROR(IF(ISNUMBER(SEARCH(D79,INDEX(Pages!$J$2:$J$824,MATCH(A79,Pages!$B$2:$B$824,0)))),"Yes","No"),"Page not found")</f>
        <v>No</v>
      </c>
      <c r="O79" s="3" t="s">
        <v>5328</v>
      </c>
      <c r="P79" s="3"/>
    </row>
    <row r="80" customFormat="false" ht="15" hidden="false" customHeight="false" outlineLevel="0" collapsed="false">
      <c r="A80" s="15" t="s">
        <v>2495</v>
      </c>
      <c r="B80" s="15" t="s">
        <v>2076</v>
      </c>
      <c r="C80" s="15" t="s">
        <v>82</v>
      </c>
      <c r="D80" s="15" t="s">
        <v>2499</v>
      </c>
      <c r="E80" s="15" t="s">
        <v>104</v>
      </c>
      <c r="F80" s="15" t="s">
        <v>657</v>
      </c>
      <c r="G80" s="15" t="s">
        <v>2092</v>
      </c>
      <c r="H80" s="16" t="n">
        <v>2100</v>
      </c>
      <c r="I80" s="15" t="n">
        <v>76</v>
      </c>
      <c r="J80" s="15" t="s">
        <v>5227</v>
      </c>
      <c r="K80" s="15" t="s">
        <v>5228</v>
      </c>
      <c r="L80" s="15" t="n">
        <v>1</v>
      </c>
      <c r="M80" s="15" t="s">
        <v>5161</v>
      </c>
      <c r="N80" s="18" t="str">
        <f aca="false">IFERROR(IF(ISNUMBER(SEARCH(D80,INDEX(Pages!$J$2:$J$824,MATCH(A80,Pages!$B$2:$B$824,0)))),"Yes","No"),"Page not found")</f>
        <v>Yes</v>
      </c>
      <c r="O80" s="3" t="s">
        <v>5182</v>
      </c>
      <c r="P80" s="3"/>
    </row>
    <row r="81" customFormat="false" ht="15" hidden="false" customHeight="false" outlineLevel="0" collapsed="false">
      <c r="A81" s="15" t="s">
        <v>2495</v>
      </c>
      <c r="B81" s="15" t="s">
        <v>2076</v>
      </c>
      <c r="C81" s="15" t="s">
        <v>82</v>
      </c>
      <c r="D81" s="15" t="s">
        <v>5329</v>
      </c>
      <c r="E81" s="15" t="s">
        <v>104</v>
      </c>
      <c r="F81" s="15" t="s">
        <v>657</v>
      </c>
      <c r="G81" s="15" t="s">
        <v>2092</v>
      </c>
      <c r="H81" s="16" t="n">
        <v>730</v>
      </c>
      <c r="I81" s="15" t="n">
        <v>71</v>
      </c>
      <c r="J81" s="15" t="s">
        <v>5169</v>
      </c>
      <c r="K81" s="15" t="s">
        <v>5228</v>
      </c>
      <c r="L81" s="15" t="n">
        <v>2</v>
      </c>
      <c r="M81" s="15" t="s">
        <v>5165</v>
      </c>
      <c r="N81" s="18" t="str">
        <f aca="false">IFERROR(IF(ISNUMBER(SEARCH(D81,INDEX(Pages!$J$2:$J$824,MATCH(A81,Pages!$B$2:$B$824,0)))),"Yes","No"),"Page not found")</f>
        <v>No</v>
      </c>
      <c r="O81" s="3" t="s">
        <v>5182</v>
      </c>
      <c r="P81" s="3" t="s">
        <v>5232</v>
      </c>
    </row>
    <row r="82" customFormat="false" ht="23.85" hidden="false" customHeight="false" outlineLevel="0" collapsed="false">
      <c r="A82" s="15" t="s">
        <v>2495</v>
      </c>
      <c r="B82" s="15" t="s">
        <v>2076</v>
      </c>
      <c r="C82" s="15" t="s">
        <v>82</v>
      </c>
      <c r="D82" s="15" t="s">
        <v>5330</v>
      </c>
      <c r="E82" s="15" t="s">
        <v>104</v>
      </c>
      <c r="F82" s="15" t="s">
        <v>657</v>
      </c>
      <c r="G82" s="15" t="s">
        <v>2092</v>
      </c>
      <c r="H82" s="16" t="n">
        <v>420</v>
      </c>
      <c r="I82" s="15" t="n">
        <v>71</v>
      </c>
      <c r="J82" s="15" t="s">
        <v>5177</v>
      </c>
      <c r="K82" s="15" t="s">
        <v>5228</v>
      </c>
      <c r="L82" s="15" t="n">
        <v>3</v>
      </c>
      <c r="M82" s="15" t="s">
        <v>5165</v>
      </c>
      <c r="N82" s="18" t="str">
        <f aca="false">IFERROR(IF(ISNUMBER(SEARCH(D82,INDEX(Pages!$J$2:$J$824,MATCH(A82,Pages!$B$2:$B$824,0)))),"Yes","No"),"Page not found")</f>
        <v>No</v>
      </c>
      <c r="O82" s="3" t="s">
        <v>5182</v>
      </c>
      <c r="P82" s="3" t="s">
        <v>5234</v>
      </c>
    </row>
    <row r="83" customFormat="false" ht="15" hidden="false" customHeight="false" outlineLevel="0" collapsed="false">
      <c r="A83" s="15" t="s">
        <v>5037</v>
      </c>
      <c r="B83" s="15" t="s">
        <v>5000</v>
      </c>
      <c r="C83" s="15" t="s">
        <v>74</v>
      </c>
      <c r="D83" s="15" t="s">
        <v>5041</v>
      </c>
      <c r="E83" s="15" t="s">
        <v>147</v>
      </c>
      <c r="F83" s="15"/>
      <c r="G83" s="15"/>
      <c r="H83" s="16" t="n">
        <v>1600</v>
      </c>
      <c r="I83" s="15" t="n">
        <v>55</v>
      </c>
      <c r="J83" s="15" t="s">
        <v>5177</v>
      </c>
      <c r="K83" s="15" t="s">
        <v>5240</v>
      </c>
      <c r="L83" s="15" t="n">
        <v>1</v>
      </c>
      <c r="M83" s="15" t="s">
        <v>5161</v>
      </c>
      <c r="N83" s="18" t="str">
        <f aca="false">IFERROR(IF(ISNUMBER(SEARCH(D83,INDEX(Pages!$J$2:$J$824,MATCH(A83,Pages!$B$2:$B$824,0)))),"Yes","No"),"Page not found")</f>
        <v>Yes</v>
      </c>
      <c r="O83" s="3" t="s">
        <v>5331</v>
      </c>
      <c r="P83" s="3"/>
    </row>
    <row r="84" customFormat="false" ht="23.85" hidden="false" customHeight="false" outlineLevel="0" collapsed="false">
      <c r="A84" s="15" t="s">
        <v>5037</v>
      </c>
      <c r="B84" s="15" t="s">
        <v>5000</v>
      </c>
      <c r="C84" s="15" t="s">
        <v>74</v>
      </c>
      <c r="D84" s="15" t="s">
        <v>5332</v>
      </c>
      <c r="E84" s="15" t="s">
        <v>147</v>
      </c>
      <c r="F84" s="15"/>
      <c r="G84" s="15"/>
      <c r="H84" s="16" t="n">
        <v>880</v>
      </c>
      <c r="I84" s="15" t="n">
        <v>45</v>
      </c>
      <c r="J84" s="15" t="s">
        <v>5177</v>
      </c>
      <c r="K84" s="15" t="s">
        <v>5240</v>
      </c>
      <c r="L84" s="15" t="n">
        <v>1</v>
      </c>
      <c r="M84" s="15" t="s">
        <v>5165</v>
      </c>
      <c r="N84" s="18" t="str">
        <f aca="false">IFERROR(IF(ISNUMBER(SEARCH(D84,INDEX(Pages!$J$2:$J$824,MATCH(A84,Pages!$B$2:$B$824,0)))),"Yes","No"),"Page not found")</f>
        <v>No</v>
      </c>
      <c r="O84" s="3" t="s">
        <v>5333</v>
      </c>
      <c r="P84" s="3" t="s">
        <v>5334</v>
      </c>
    </row>
    <row r="85" customFormat="false" ht="15" hidden="false" customHeight="false" outlineLevel="0" collapsed="false">
      <c r="A85" s="15" t="s">
        <v>5037</v>
      </c>
      <c r="B85" s="15" t="s">
        <v>5000</v>
      </c>
      <c r="C85" s="15" t="s">
        <v>74</v>
      </c>
      <c r="D85" s="15" t="s">
        <v>5335</v>
      </c>
      <c r="E85" s="15" t="s">
        <v>147</v>
      </c>
      <c r="F85" s="15"/>
      <c r="G85" s="15"/>
      <c r="H85" s="16" t="n">
        <v>390</v>
      </c>
      <c r="I85" s="15" t="n">
        <v>35</v>
      </c>
      <c r="J85" s="15" t="s">
        <v>5177</v>
      </c>
      <c r="K85" s="15" t="s">
        <v>5240</v>
      </c>
      <c r="L85" s="15" t="n">
        <v>2</v>
      </c>
      <c r="M85" s="15" t="s">
        <v>5165</v>
      </c>
      <c r="N85" s="18" t="str">
        <f aca="false">IFERROR(IF(ISNUMBER(SEARCH(D85,INDEX(Pages!$J$2:$J$824,MATCH(A85,Pages!$B$2:$B$824,0)))),"Yes","No"),"Page not found")</f>
        <v>No</v>
      </c>
      <c r="O85" s="3" t="s">
        <v>5224</v>
      </c>
      <c r="P85" s="3"/>
    </row>
    <row r="86" customFormat="false" ht="15" hidden="false" customHeight="false" outlineLevel="0" collapsed="false">
      <c r="A86" s="15" t="s">
        <v>5037</v>
      </c>
      <c r="B86" s="15" t="s">
        <v>5000</v>
      </c>
      <c r="C86" s="15" t="s">
        <v>74</v>
      </c>
      <c r="D86" s="15" t="s">
        <v>5336</v>
      </c>
      <c r="E86" s="15" t="s">
        <v>147</v>
      </c>
      <c r="F86" s="15"/>
      <c r="G86" s="15"/>
      <c r="H86" s="16" t="n">
        <v>320</v>
      </c>
      <c r="I86" s="15" t="n">
        <v>35</v>
      </c>
      <c r="J86" s="15" t="s">
        <v>5177</v>
      </c>
      <c r="K86" s="15" t="s">
        <v>5240</v>
      </c>
      <c r="L86" s="15" t="n">
        <v>2</v>
      </c>
      <c r="M86" s="15" t="s">
        <v>5165</v>
      </c>
      <c r="N86" s="18" t="str">
        <f aca="false">IFERROR(IF(ISNUMBER(SEARCH(D86,INDEX(Pages!$J$2:$J$824,MATCH(A86,Pages!$B$2:$B$824,0)))),"Yes","No"),"Page not found")</f>
        <v>No</v>
      </c>
      <c r="O86" s="3" t="s">
        <v>5224</v>
      </c>
      <c r="P86" s="3"/>
    </row>
    <row r="87" customFormat="false" ht="23.85" hidden="false" customHeight="false" outlineLevel="0" collapsed="false">
      <c r="A87" s="15" t="s">
        <v>391</v>
      </c>
      <c r="B87" s="15" t="s">
        <v>384</v>
      </c>
      <c r="C87" s="15" t="s">
        <v>83</v>
      </c>
      <c r="D87" s="15" t="s">
        <v>395</v>
      </c>
      <c r="E87" s="15" t="s">
        <v>147</v>
      </c>
      <c r="F87" s="15"/>
      <c r="G87" s="15"/>
      <c r="H87" s="16" t="n">
        <v>2900</v>
      </c>
      <c r="I87" s="15" t="n">
        <v>50</v>
      </c>
      <c r="J87" s="15" t="s">
        <v>5159</v>
      </c>
      <c r="K87" s="15" t="s">
        <v>5276</v>
      </c>
      <c r="L87" s="15" t="n">
        <v>4</v>
      </c>
      <c r="M87" s="15" t="s">
        <v>5161</v>
      </c>
      <c r="N87" s="18" t="str">
        <f aca="false">IFERROR(IF(ISNUMBER(SEARCH(D87,INDEX(Pages!$J$2:$J$824,MATCH(A87,Pages!$B$2:$B$824,0)))),"Yes","No"),"Page not found")</f>
        <v>Yes</v>
      </c>
      <c r="O87" s="3" t="s">
        <v>5337</v>
      </c>
      <c r="P87" s="3" t="s">
        <v>5338</v>
      </c>
    </row>
    <row r="88" customFormat="false" ht="23.85" hidden="false" customHeight="false" outlineLevel="0" collapsed="false">
      <c r="A88" s="15" t="s">
        <v>451</v>
      </c>
      <c r="B88" s="15" t="s">
        <v>384</v>
      </c>
      <c r="C88" s="15" t="s">
        <v>82</v>
      </c>
      <c r="D88" s="15" t="s">
        <v>455</v>
      </c>
      <c r="E88" s="15" t="s">
        <v>147</v>
      </c>
      <c r="F88" s="15"/>
      <c r="G88" s="15"/>
      <c r="H88" s="16" t="n">
        <v>1600</v>
      </c>
      <c r="I88" s="15" t="n">
        <v>45</v>
      </c>
      <c r="J88" s="15" t="s">
        <v>5159</v>
      </c>
      <c r="K88" s="15" t="s">
        <v>5339</v>
      </c>
      <c r="L88" s="15" t="n">
        <v>1</v>
      </c>
      <c r="M88" s="15" t="s">
        <v>5161</v>
      </c>
      <c r="N88" s="18" t="str">
        <f aca="false">IFERROR(IF(ISNUMBER(SEARCH(D88,INDEX(Pages!$J$2:$J$824,MATCH(A88,Pages!$B$2:$B$824,0)))),"Yes","No"),"Page not found")</f>
        <v>No</v>
      </c>
      <c r="O88" s="3" t="s">
        <v>5340</v>
      </c>
      <c r="P88" s="3" t="s">
        <v>5341</v>
      </c>
    </row>
    <row r="89" customFormat="false" ht="15" hidden="false" customHeight="false" outlineLevel="0" collapsed="false">
      <c r="A89" s="15" t="s">
        <v>451</v>
      </c>
      <c r="B89" s="15" t="s">
        <v>384</v>
      </c>
      <c r="C89" s="15" t="s">
        <v>82</v>
      </c>
      <c r="D89" s="15" t="s">
        <v>5342</v>
      </c>
      <c r="E89" s="15" t="s">
        <v>147</v>
      </c>
      <c r="F89" s="15"/>
      <c r="G89" s="15"/>
      <c r="H89" s="16" t="n">
        <v>1300</v>
      </c>
      <c r="I89" s="15" t="n">
        <v>35</v>
      </c>
      <c r="J89" s="15" t="s">
        <v>5177</v>
      </c>
      <c r="K89" s="15" t="s">
        <v>5339</v>
      </c>
      <c r="L89" s="15" t="n">
        <v>3</v>
      </c>
      <c r="M89" s="15" t="s">
        <v>5165</v>
      </c>
      <c r="N89" s="18" t="str">
        <f aca="false">IFERROR(IF(ISNUMBER(SEARCH(D89,INDEX(Pages!$J$2:$J$824,MATCH(A89,Pages!$B$2:$B$824,0)))),"Yes","No"),"Page not found")</f>
        <v>No</v>
      </c>
      <c r="O89" s="3" t="s">
        <v>5212</v>
      </c>
      <c r="P89" s="3" t="s">
        <v>5343</v>
      </c>
    </row>
    <row r="90" customFormat="false" ht="23.85" hidden="false" customHeight="false" outlineLevel="0" collapsed="false">
      <c r="A90" s="15" t="s">
        <v>463</v>
      </c>
      <c r="B90" s="15" t="s">
        <v>384</v>
      </c>
      <c r="C90" s="15" t="s">
        <v>82</v>
      </c>
      <c r="D90" s="15" t="s">
        <v>467</v>
      </c>
      <c r="E90" s="15" t="s">
        <v>147</v>
      </c>
      <c r="F90" s="15"/>
      <c r="G90" s="15"/>
      <c r="H90" s="16" t="n">
        <v>1900</v>
      </c>
      <c r="I90" s="15" t="n">
        <v>50</v>
      </c>
      <c r="J90" s="15" t="s">
        <v>5159</v>
      </c>
      <c r="K90" s="15" t="s">
        <v>5339</v>
      </c>
      <c r="L90" s="15" t="n">
        <v>2</v>
      </c>
      <c r="M90" s="15" t="s">
        <v>5161</v>
      </c>
      <c r="N90" s="18" t="str">
        <f aca="false">IFERROR(IF(ISNUMBER(SEARCH(D90,INDEX(Pages!$J$2:$J$824,MATCH(A90,Pages!$B$2:$B$824,0)))),"Yes","No"),"Page not found")</f>
        <v>Yes</v>
      </c>
      <c r="O90" s="3" t="s">
        <v>5344</v>
      </c>
      <c r="P90" s="3" t="s">
        <v>5345</v>
      </c>
    </row>
    <row r="91" customFormat="false" ht="23.85" hidden="false" customHeight="false" outlineLevel="0" collapsed="false">
      <c r="A91" s="15" t="s">
        <v>463</v>
      </c>
      <c r="B91" s="15" t="s">
        <v>384</v>
      </c>
      <c r="C91" s="15" t="s">
        <v>82</v>
      </c>
      <c r="D91" s="15" t="s">
        <v>5346</v>
      </c>
      <c r="E91" s="15" t="s">
        <v>662</v>
      </c>
      <c r="F91" s="15" t="s">
        <v>715</v>
      </c>
      <c r="G91" s="15"/>
      <c r="H91" s="16" t="n">
        <v>880</v>
      </c>
      <c r="I91" s="15" t="n">
        <v>40</v>
      </c>
      <c r="J91" s="15" t="s">
        <v>5159</v>
      </c>
      <c r="K91" s="15" t="s">
        <v>5339</v>
      </c>
      <c r="L91" s="15" t="n">
        <v>2</v>
      </c>
      <c r="M91" s="15" t="s">
        <v>5165</v>
      </c>
      <c r="N91" s="18" t="str">
        <f aca="false">IFERROR(IF(ISNUMBER(SEARCH(D91,INDEX(Pages!$J$2:$J$824,MATCH(A91,Pages!$B$2:$B$824,0)))),"Yes","No"),"Page not found")</f>
        <v>No</v>
      </c>
      <c r="O91" s="3" t="s">
        <v>5347</v>
      </c>
      <c r="P91" s="3" t="s">
        <v>5348</v>
      </c>
    </row>
    <row r="92" customFormat="false" ht="15" hidden="false" customHeight="false" outlineLevel="0" collapsed="false">
      <c r="A92" s="15" t="s">
        <v>397</v>
      </c>
      <c r="B92" s="15" t="s">
        <v>384</v>
      </c>
      <c r="C92" s="15" t="s">
        <v>89</v>
      </c>
      <c r="D92" s="15" t="s">
        <v>401</v>
      </c>
      <c r="E92" s="15" t="s">
        <v>147</v>
      </c>
      <c r="F92" s="15"/>
      <c r="G92" s="15"/>
      <c r="H92" s="16" t="n">
        <v>1300</v>
      </c>
      <c r="I92" s="15" t="n">
        <v>50</v>
      </c>
      <c r="J92" s="15" t="s">
        <v>5159</v>
      </c>
      <c r="K92" s="15" t="s">
        <v>5193</v>
      </c>
      <c r="L92" s="15" t="n">
        <v>2</v>
      </c>
      <c r="M92" s="15" t="s">
        <v>5161</v>
      </c>
      <c r="N92" s="18" t="str">
        <f aca="false">IFERROR(IF(ISNUMBER(SEARCH(D92,INDEX(Pages!$J$2:$J$824,MATCH(A92,Pages!$B$2:$B$824,0)))),"Yes","No"),"Page not found")</f>
        <v>Yes</v>
      </c>
      <c r="O92" s="3" t="s">
        <v>5212</v>
      </c>
      <c r="P92" s="3" t="s">
        <v>5349</v>
      </c>
    </row>
    <row r="93" customFormat="false" ht="23.85" hidden="false" customHeight="false" outlineLevel="0" collapsed="false">
      <c r="A93" s="15" t="s">
        <v>397</v>
      </c>
      <c r="B93" s="15" t="s">
        <v>384</v>
      </c>
      <c r="C93" s="15" t="s">
        <v>89</v>
      </c>
      <c r="D93" s="15" t="s">
        <v>5350</v>
      </c>
      <c r="E93" s="15" t="s">
        <v>147</v>
      </c>
      <c r="F93" s="15"/>
      <c r="G93" s="15"/>
      <c r="H93" s="16" t="n">
        <v>1300</v>
      </c>
      <c r="I93" s="15" t="n">
        <v>50</v>
      </c>
      <c r="J93" s="15" t="s">
        <v>5159</v>
      </c>
      <c r="K93" s="15" t="s">
        <v>5351</v>
      </c>
      <c r="L93" s="15" t="n">
        <v>3</v>
      </c>
      <c r="M93" s="15" t="s">
        <v>5165</v>
      </c>
      <c r="N93" s="18" t="str">
        <f aca="false">IFERROR(IF(ISNUMBER(SEARCH(D93,INDEX(Pages!$J$2:$J$824,MATCH(A93,Pages!$B$2:$B$824,0)))),"Yes","No"),"Page not found")</f>
        <v>No</v>
      </c>
      <c r="O93" s="3" t="s">
        <v>5352</v>
      </c>
      <c r="P93" s="3" t="s">
        <v>5353</v>
      </c>
    </row>
    <row r="94" customFormat="false" ht="15" hidden="false" customHeight="false" outlineLevel="0" collapsed="false">
      <c r="A94" s="15" t="s">
        <v>341</v>
      </c>
      <c r="B94" s="15" t="s">
        <v>257</v>
      </c>
      <c r="C94" s="15" t="s">
        <v>91</v>
      </c>
      <c r="D94" s="15" t="s">
        <v>346</v>
      </c>
      <c r="E94" s="15" t="s">
        <v>147</v>
      </c>
      <c r="F94" s="15"/>
      <c r="G94" s="15"/>
      <c r="H94" s="16" t="n">
        <v>1600</v>
      </c>
      <c r="I94" s="15" t="n">
        <v>50</v>
      </c>
      <c r="J94" s="15" t="s">
        <v>5159</v>
      </c>
      <c r="K94" s="15" t="s">
        <v>5193</v>
      </c>
      <c r="L94" s="15" t="n">
        <v>1</v>
      </c>
      <c r="M94" s="15" t="s">
        <v>5161</v>
      </c>
      <c r="N94" s="18" t="str">
        <f aca="false">IFERROR(IF(ISNUMBER(SEARCH(D94,INDEX(Pages!$J$2:$J$824,MATCH(A94,Pages!$B$2:$B$824,0)))),"Yes","No"),"Page not found")</f>
        <v>No</v>
      </c>
      <c r="O94" s="3" t="s">
        <v>5182</v>
      </c>
      <c r="P94" s="3"/>
    </row>
    <row r="95" customFormat="false" ht="15" hidden="false" customHeight="false" outlineLevel="0" collapsed="false">
      <c r="A95" s="15" t="s">
        <v>341</v>
      </c>
      <c r="B95" s="15" t="s">
        <v>257</v>
      </c>
      <c r="C95" s="15" t="s">
        <v>91</v>
      </c>
      <c r="D95" s="15" t="s">
        <v>5354</v>
      </c>
      <c r="E95" s="15" t="s">
        <v>147</v>
      </c>
      <c r="F95" s="15"/>
      <c r="G95" s="15"/>
      <c r="H95" s="16" t="n">
        <v>1000</v>
      </c>
      <c r="I95" s="15" t="n">
        <v>50</v>
      </c>
      <c r="J95" s="15" t="s">
        <v>5159</v>
      </c>
      <c r="K95" s="15" t="s">
        <v>5193</v>
      </c>
      <c r="L95" s="15" t="n">
        <v>2</v>
      </c>
      <c r="M95" s="15" t="s">
        <v>5165</v>
      </c>
      <c r="N95" s="18" t="str">
        <f aca="false">IFERROR(IF(ISNUMBER(SEARCH(D95,INDEX(Pages!$J$2:$J$824,MATCH(A95,Pages!$B$2:$B$824,0)))),"Yes","No"),"Page not found")</f>
        <v>No</v>
      </c>
      <c r="O95" s="3" t="s">
        <v>5212</v>
      </c>
      <c r="P95" s="3"/>
    </row>
    <row r="96" customFormat="false" ht="15" hidden="false" customHeight="false" outlineLevel="0" collapsed="false">
      <c r="A96" s="15" t="s">
        <v>637</v>
      </c>
      <c r="B96" s="15" t="s">
        <v>384</v>
      </c>
      <c r="C96" s="15" t="s">
        <v>80</v>
      </c>
      <c r="D96" s="15" t="s">
        <v>641</v>
      </c>
      <c r="E96" s="15" t="s">
        <v>147</v>
      </c>
      <c r="F96" s="15"/>
      <c r="G96" s="15"/>
      <c r="H96" s="16" t="n">
        <v>1300</v>
      </c>
      <c r="I96" s="15" t="n">
        <v>45</v>
      </c>
      <c r="J96" s="15" t="s">
        <v>5159</v>
      </c>
      <c r="K96" s="15" t="s">
        <v>5173</v>
      </c>
      <c r="L96" s="15" t="n">
        <v>2</v>
      </c>
      <c r="M96" s="15" t="s">
        <v>5161</v>
      </c>
      <c r="N96" s="18" t="str">
        <f aca="false">IFERROR(IF(ISNUMBER(SEARCH(D96,INDEX(Pages!$J$2:$J$824,MATCH(A96,Pages!$B$2:$B$824,0)))),"Yes","No"),"Page not found")</f>
        <v>Yes</v>
      </c>
      <c r="O96" s="3" t="s">
        <v>5355</v>
      </c>
      <c r="P96" s="3" t="s">
        <v>5356</v>
      </c>
    </row>
    <row r="97" customFormat="false" ht="15" hidden="false" customHeight="false" outlineLevel="0" collapsed="false">
      <c r="A97" s="15" t="s">
        <v>637</v>
      </c>
      <c r="B97" s="15" t="s">
        <v>384</v>
      </c>
      <c r="C97" s="15" t="s">
        <v>80</v>
      </c>
      <c r="D97" s="15" t="s">
        <v>5357</v>
      </c>
      <c r="E97" s="15" t="s">
        <v>147</v>
      </c>
      <c r="F97" s="15"/>
      <c r="G97" s="15"/>
      <c r="H97" s="16" t="n">
        <v>1300</v>
      </c>
      <c r="I97" s="15" t="n">
        <v>50</v>
      </c>
      <c r="J97" s="15" t="s">
        <v>5159</v>
      </c>
      <c r="K97" s="15" t="s">
        <v>5173</v>
      </c>
      <c r="L97" s="15" t="n">
        <v>3</v>
      </c>
      <c r="M97" s="15" t="s">
        <v>5165</v>
      </c>
      <c r="N97" s="18" t="str">
        <f aca="false">IFERROR(IF(ISNUMBER(SEARCH(D97,INDEX(Pages!$J$2:$J$824,MATCH(A97,Pages!$B$2:$B$824,0)))),"Yes","No"),"Page not found")</f>
        <v>No</v>
      </c>
      <c r="O97" s="3" t="s">
        <v>5178</v>
      </c>
      <c r="P97" s="3" t="s">
        <v>5358</v>
      </c>
    </row>
    <row r="98" customFormat="false" ht="23.85" hidden="false" customHeight="false" outlineLevel="0" collapsed="false">
      <c r="A98" s="15" t="s">
        <v>2705</v>
      </c>
      <c r="B98" s="15" t="s">
        <v>2076</v>
      </c>
      <c r="C98" s="15" t="s">
        <v>82</v>
      </c>
      <c r="D98" s="15" t="s">
        <v>2709</v>
      </c>
      <c r="E98" s="15" t="s">
        <v>104</v>
      </c>
      <c r="F98" s="15" t="s">
        <v>715</v>
      </c>
      <c r="G98" s="15" t="s">
        <v>2337</v>
      </c>
      <c r="H98" s="16" t="n">
        <v>1600</v>
      </c>
      <c r="I98" s="15" t="n">
        <v>84</v>
      </c>
      <c r="J98" s="15" t="s">
        <v>5227</v>
      </c>
      <c r="K98" s="15" t="s">
        <v>5228</v>
      </c>
      <c r="L98" s="15" t="n">
        <v>1</v>
      </c>
      <c r="M98" s="15" t="s">
        <v>5161</v>
      </c>
      <c r="N98" s="18" t="str">
        <f aca="false">IFERROR(IF(ISNUMBER(SEARCH(D98,INDEX(Pages!$J$2:$J$824,MATCH(A98,Pages!$B$2:$B$824,0)))),"Yes","No"),"Page not found")</f>
        <v>Yes</v>
      </c>
      <c r="O98" s="3" t="s">
        <v>5229</v>
      </c>
      <c r="P98" s="3" t="s">
        <v>5230</v>
      </c>
    </row>
    <row r="99" customFormat="false" ht="15" hidden="false" customHeight="false" outlineLevel="0" collapsed="false">
      <c r="A99" s="15" t="s">
        <v>2705</v>
      </c>
      <c r="B99" s="15" t="s">
        <v>2076</v>
      </c>
      <c r="C99" s="15" t="s">
        <v>82</v>
      </c>
      <c r="D99" s="15" t="s">
        <v>5359</v>
      </c>
      <c r="E99" s="15" t="s">
        <v>104</v>
      </c>
      <c r="F99" s="15" t="s">
        <v>715</v>
      </c>
      <c r="G99" s="15" t="s">
        <v>2337</v>
      </c>
      <c r="H99" s="16" t="n">
        <v>580</v>
      </c>
      <c r="I99" s="15" t="n">
        <v>79</v>
      </c>
      <c r="J99" s="15" t="s">
        <v>5169</v>
      </c>
      <c r="K99" s="15" t="s">
        <v>5228</v>
      </c>
      <c r="L99" s="15" t="n">
        <v>3</v>
      </c>
      <c r="M99" s="15" t="s">
        <v>5165</v>
      </c>
      <c r="N99" s="18" t="str">
        <f aca="false">IFERROR(IF(ISNUMBER(SEARCH(D99,INDEX(Pages!$J$2:$J$824,MATCH(A99,Pages!$B$2:$B$824,0)))),"Yes","No"),"Page not found")</f>
        <v>No</v>
      </c>
      <c r="O99" s="3" t="s">
        <v>5229</v>
      </c>
      <c r="P99" s="3" t="s">
        <v>5232</v>
      </c>
    </row>
    <row r="100" customFormat="false" ht="23.85" hidden="false" customHeight="false" outlineLevel="0" collapsed="false">
      <c r="A100" s="15" t="s">
        <v>2705</v>
      </c>
      <c r="B100" s="15" t="s">
        <v>2076</v>
      </c>
      <c r="C100" s="15" t="s">
        <v>82</v>
      </c>
      <c r="D100" s="15" t="s">
        <v>5360</v>
      </c>
      <c r="E100" s="15" t="s">
        <v>104</v>
      </c>
      <c r="F100" s="15" t="s">
        <v>715</v>
      </c>
      <c r="G100" s="15" t="s">
        <v>2337</v>
      </c>
      <c r="H100" s="16" t="n">
        <v>330</v>
      </c>
      <c r="I100" s="15" t="n">
        <v>79</v>
      </c>
      <c r="J100" s="15" t="s">
        <v>5177</v>
      </c>
      <c r="K100" s="15" t="s">
        <v>5228</v>
      </c>
      <c r="L100" s="15" t="n">
        <v>3</v>
      </c>
      <c r="M100" s="15" t="s">
        <v>5165</v>
      </c>
      <c r="N100" s="18" t="str">
        <f aca="false">IFERROR(IF(ISNUMBER(SEARCH(D100,INDEX(Pages!$J$2:$J$824,MATCH(A100,Pages!$B$2:$B$824,0)))),"Yes","No"),"Page not found")</f>
        <v>No</v>
      </c>
      <c r="O100" s="3" t="s">
        <v>5229</v>
      </c>
      <c r="P100" s="3" t="s">
        <v>5234</v>
      </c>
    </row>
    <row r="101" customFormat="false" ht="15" hidden="false" customHeight="false" outlineLevel="0" collapsed="false">
      <c r="A101" s="15" t="s">
        <v>5084</v>
      </c>
      <c r="B101" s="15" t="s">
        <v>5000</v>
      </c>
      <c r="C101" s="15" t="s">
        <v>81</v>
      </c>
      <c r="D101" s="15" t="s">
        <v>5088</v>
      </c>
      <c r="E101" s="15" t="s">
        <v>147</v>
      </c>
      <c r="F101" s="15"/>
      <c r="G101" s="15"/>
      <c r="H101" s="16" t="n">
        <v>1600</v>
      </c>
      <c r="I101" s="15" t="n">
        <v>40</v>
      </c>
      <c r="J101" s="15" t="s">
        <v>5159</v>
      </c>
      <c r="K101" s="15" t="s">
        <v>5235</v>
      </c>
      <c r="L101" s="15" t="n">
        <v>1</v>
      </c>
      <c r="M101" s="15" t="s">
        <v>5161</v>
      </c>
      <c r="N101" s="18" t="str">
        <f aca="false">IFERROR(IF(ISNUMBER(SEARCH(D101,INDEX(Pages!$J$2:$J$824,MATCH(A101,Pages!$B$2:$B$824,0)))),"Yes","No"),"Page not found")</f>
        <v>No</v>
      </c>
      <c r="O101" s="3" t="s">
        <v>5361</v>
      </c>
      <c r="P101" s="3"/>
    </row>
    <row r="102" customFormat="false" ht="15" hidden="false" customHeight="false" outlineLevel="0" collapsed="false">
      <c r="A102" s="15" t="s">
        <v>5084</v>
      </c>
      <c r="B102" s="15" t="s">
        <v>5000</v>
      </c>
      <c r="C102" s="15" t="s">
        <v>81</v>
      </c>
      <c r="D102" s="15" t="s">
        <v>5362</v>
      </c>
      <c r="E102" s="15" t="s">
        <v>147</v>
      </c>
      <c r="F102" s="15"/>
      <c r="G102" s="15"/>
      <c r="H102" s="16" t="n">
        <v>880</v>
      </c>
      <c r="I102" s="15" t="n">
        <v>35</v>
      </c>
      <c r="J102" s="15" t="s">
        <v>5177</v>
      </c>
      <c r="K102" s="15" t="s">
        <v>5235</v>
      </c>
      <c r="L102" s="15" t="n">
        <v>1</v>
      </c>
      <c r="M102" s="15" t="s">
        <v>5165</v>
      </c>
      <c r="N102" s="18" t="str">
        <f aca="false">IFERROR(IF(ISNUMBER(SEARCH(D102,INDEX(Pages!$J$2:$J$824,MATCH(A102,Pages!$B$2:$B$824,0)))),"Yes","No"),"Page not found")</f>
        <v>Yes</v>
      </c>
      <c r="O102" s="3" t="s">
        <v>5363</v>
      </c>
      <c r="P102" s="3"/>
    </row>
    <row r="103" customFormat="false" ht="15" hidden="false" customHeight="false" outlineLevel="0" collapsed="false">
      <c r="A103" s="15" t="s">
        <v>334</v>
      </c>
      <c r="B103" s="15" t="s">
        <v>257</v>
      </c>
      <c r="C103" s="15" t="s">
        <v>74</v>
      </c>
      <c r="D103" s="15" t="s">
        <v>339</v>
      </c>
      <c r="E103" s="15" t="s">
        <v>147</v>
      </c>
      <c r="F103" s="15"/>
      <c r="G103" s="15"/>
      <c r="H103" s="16" t="n">
        <v>1300</v>
      </c>
      <c r="I103" s="15" t="n">
        <v>45</v>
      </c>
      <c r="J103" s="15" t="s">
        <v>5159</v>
      </c>
      <c r="K103" s="15" t="s">
        <v>5364</v>
      </c>
      <c r="L103" s="15" t="n">
        <v>1</v>
      </c>
      <c r="M103" s="15" t="s">
        <v>5161</v>
      </c>
      <c r="N103" s="18" t="str">
        <f aca="false">IFERROR(IF(ISNUMBER(SEARCH(D103,INDEX(Pages!$J$2:$J$824,MATCH(A103,Pages!$B$2:$B$824,0)))),"Yes","No"),"Page not found")</f>
        <v>No</v>
      </c>
      <c r="O103" s="3" t="s">
        <v>5365</v>
      </c>
      <c r="P103" s="3" t="s">
        <v>5366</v>
      </c>
    </row>
    <row r="104" customFormat="false" ht="15" hidden="false" customHeight="false" outlineLevel="0" collapsed="false">
      <c r="A104" s="15" t="s">
        <v>334</v>
      </c>
      <c r="B104" s="15" t="s">
        <v>257</v>
      </c>
      <c r="C104" s="15" t="s">
        <v>74</v>
      </c>
      <c r="D104" s="15" t="s">
        <v>5367</v>
      </c>
      <c r="E104" s="15" t="s">
        <v>147</v>
      </c>
      <c r="F104" s="15"/>
      <c r="G104" s="15"/>
      <c r="H104" s="16" t="n">
        <v>590</v>
      </c>
      <c r="I104" s="15" t="n">
        <v>40</v>
      </c>
      <c r="J104" s="15" t="s">
        <v>5169</v>
      </c>
      <c r="K104" s="15" t="s">
        <v>5364</v>
      </c>
      <c r="L104" s="15" t="n">
        <v>1</v>
      </c>
      <c r="M104" s="15" t="s">
        <v>5165</v>
      </c>
      <c r="N104" s="18" t="str">
        <f aca="false">IFERROR(IF(ISNUMBER(SEARCH(D104,INDEX(Pages!$J$2:$J$824,MATCH(A104,Pages!$B$2:$B$824,0)))),"Yes","No"),"Page not found")</f>
        <v>No</v>
      </c>
      <c r="O104" s="3" t="s">
        <v>5368</v>
      </c>
      <c r="P104" s="3" t="s">
        <v>5369</v>
      </c>
    </row>
    <row r="105" customFormat="false" ht="15" hidden="false" customHeight="false" outlineLevel="0" collapsed="false">
      <c r="A105" s="15" t="s">
        <v>334</v>
      </c>
      <c r="B105" s="15" t="s">
        <v>257</v>
      </c>
      <c r="C105" s="15" t="s">
        <v>74</v>
      </c>
      <c r="D105" s="15" t="s">
        <v>5370</v>
      </c>
      <c r="E105" s="15" t="s">
        <v>147</v>
      </c>
      <c r="F105" s="15"/>
      <c r="G105" s="15"/>
      <c r="H105" s="16" t="n">
        <v>590</v>
      </c>
      <c r="I105" s="15" t="n">
        <v>40</v>
      </c>
      <c r="J105" s="15" t="s">
        <v>5159</v>
      </c>
      <c r="K105" s="15" t="s">
        <v>5364</v>
      </c>
      <c r="L105" s="15" t="n">
        <v>2</v>
      </c>
      <c r="M105" s="15" t="s">
        <v>5165</v>
      </c>
      <c r="N105" s="18" t="str">
        <f aca="false">IFERROR(IF(ISNUMBER(SEARCH(D105,INDEX(Pages!$J$2:$J$824,MATCH(A105,Pages!$B$2:$B$824,0)))),"Yes","No"),"Page not found")</f>
        <v>No</v>
      </c>
      <c r="O105" s="3" t="s">
        <v>5371</v>
      </c>
      <c r="P105" s="3"/>
    </row>
    <row r="106" customFormat="false" ht="15" hidden="false" customHeight="false" outlineLevel="0" collapsed="false">
      <c r="A106" s="15" t="s">
        <v>553</v>
      </c>
      <c r="B106" s="15" t="s">
        <v>384</v>
      </c>
      <c r="C106" s="15" t="s">
        <v>87</v>
      </c>
      <c r="D106" s="15" t="s">
        <v>557</v>
      </c>
      <c r="E106" s="15" t="s">
        <v>147</v>
      </c>
      <c r="F106" s="15"/>
      <c r="G106" s="15"/>
      <c r="H106" s="16" t="n">
        <v>2400</v>
      </c>
      <c r="I106" s="15" t="n">
        <v>50</v>
      </c>
      <c r="J106" s="15" t="s">
        <v>5159</v>
      </c>
      <c r="K106" s="15" t="s">
        <v>5372</v>
      </c>
      <c r="L106" s="15" t="n">
        <v>2</v>
      </c>
      <c r="M106" s="15" t="s">
        <v>5161</v>
      </c>
      <c r="N106" s="18" t="str">
        <f aca="false">IFERROR(IF(ISNUMBER(SEARCH(D106,INDEX(Pages!$J$2:$J$824,MATCH(A106,Pages!$B$2:$B$824,0)))),"Yes","No"),"Page not found")</f>
        <v>Yes</v>
      </c>
      <c r="O106" s="3" t="s">
        <v>5182</v>
      </c>
      <c r="P106" s="3" t="s">
        <v>5373</v>
      </c>
    </row>
    <row r="107" customFormat="false" ht="23.85" hidden="false" customHeight="false" outlineLevel="0" collapsed="false">
      <c r="A107" s="15" t="s">
        <v>2651</v>
      </c>
      <c r="B107" s="15" t="s">
        <v>2076</v>
      </c>
      <c r="C107" s="15" t="s">
        <v>82</v>
      </c>
      <c r="D107" s="15" t="s">
        <v>2655</v>
      </c>
      <c r="E107" s="15" t="s">
        <v>104</v>
      </c>
      <c r="F107" s="15" t="s">
        <v>715</v>
      </c>
      <c r="G107" s="15" t="s">
        <v>2274</v>
      </c>
      <c r="H107" s="16" t="n">
        <v>1500</v>
      </c>
      <c r="I107" s="15" t="n">
        <v>70</v>
      </c>
      <c r="J107" s="15" t="s">
        <v>5227</v>
      </c>
      <c r="K107" s="15" t="s">
        <v>5228</v>
      </c>
      <c r="L107" s="15" t="n">
        <v>1</v>
      </c>
      <c r="M107" s="15" t="s">
        <v>5161</v>
      </c>
      <c r="N107" s="18" t="str">
        <f aca="false">IFERROR(IF(ISNUMBER(SEARCH(D107,INDEX(Pages!$J$2:$J$824,MATCH(A107,Pages!$B$2:$B$824,0)))),"Yes","No"),"Page not found")</f>
        <v>Yes</v>
      </c>
      <c r="O107" s="3" t="s">
        <v>5229</v>
      </c>
      <c r="P107" s="3" t="s">
        <v>5230</v>
      </c>
    </row>
    <row r="108" customFormat="false" ht="15" hidden="false" customHeight="false" outlineLevel="0" collapsed="false">
      <c r="A108" s="15" t="s">
        <v>2651</v>
      </c>
      <c r="B108" s="15" t="s">
        <v>2076</v>
      </c>
      <c r="C108" s="15" t="s">
        <v>82</v>
      </c>
      <c r="D108" s="15" t="s">
        <v>5374</v>
      </c>
      <c r="E108" s="15" t="s">
        <v>104</v>
      </c>
      <c r="F108" s="15" t="s">
        <v>715</v>
      </c>
      <c r="G108" s="15" t="s">
        <v>2274</v>
      </c>
      <c r="H108" s="16" t="n">
        <v>520</v>
      </c>
      <c r="I108" s="15" t="n">
        <v>65</v>
      </c>
      <c r="J108" s="15" t="s">
        <v>5169</v>
      </c>
      <c r="K108" s="15" t="s">
        <v>5228</v>
      </c>
      <c r="L108" s="15" t="n">
        <v>2</v>
      </c>
      <c r="M108" s="15" t="s">
        <v>5165</v>
      </c>
      <c r="N108" s="18" t="str">
        <f aca="false">IFERROR(IF(ISNUMBER(SEARCH(D108,INDEX(Pages!$J$2:$J$824,MATCH(A108,Pages!$B$2:$B$824,0)))),"Yes","No"),"Page not found")</f>
        <v>No</v>
      </c>
      <c r="O108" s="3" t="s">
        <v>5229</v>
      </c>
      <c r="P108" s="3" t="s">
        <v>5232</v>
      </c>
    </row>
    <row r="109" customFormat="false" ht="23.85" hidden="false" customHeight="false" outlineLevel="0" collapsed="false">
      <c r="A109" s="15" t="s">
        <v>2651</v>
      </c>
      <c r="B109" s="15" t="s">
        <v>2076</v>
      </c>
      <c r="C109" s="15" t="s">
        <v>82</v>
      </c>
      <c r="D109" s="15" t="s">
        <v>5375</v>
      </c>
      <c r="E109" s="15" t="s">
        <v>104</v>
      </c>
      <c r="F109" s="15" t="s">
        <v>715</v>
      </c>
      <c r="G109" s="15" t="s">
        <v>2274</v>
      </c>
      <c r="H109" s="16" t="n">
        <v>300</v>
      </c>
      <c r="I109" s="15" t="n">
        <v>65</v>
      </c>
      <c r="J109" s="15" t="s">
        <v>5177</v>
      </c>
      <c r="K109" s="15" t="s">
        <v>5228</v>
      </c>
      <c r="L109" s="15" t="n">
        <v>3</v>
      </c>
      <c r="M109" s="15" t="s">
        <v>5165</v>
      </c>
      <c r="N109" s="18" t="str">
        <f aca="false">IFERROR(IF(ISNUMBER(SEARCH(D109,INDEX(Pages!$J$2:$J$824,MATCH(A109,Pages!$B$2:$B$824,0)))),"Yes","No"),"Page not found")</f>
        <v>No</v>
      </c>
      <c r="O109" s="3" t="s">
        <v>5229</v>
      </c>
      <c r="P109" s="3" t="s">
        <v>5234</v>
      </c>
    </row>
    <row r="110" customFormat="false" ht="15" hidden="false" customHeight="false" outlineLevel="0" collapsed="false">
      <c r="A110" s="15" t="s">
        <v>755</v>
      </c>
      <c r="B110" s="15" t="s">
        <v>656</v>
      </c>
      <c r="C110" s="15" t="s">
        <v>82</v>
      </c>
      <c r="D110" s="15" t="s">
        <v>759</v>
      </c>
      <c r="E110" s="15" t="s">
        <v>662</v>
      </c>
      <c r="F110" s="15" t="s">
        <v>666</v>
      </c>
      <c r="G110" s="15"/>
      <c r="H110" s="16" t="n">
        <v>2200</v>
      </c>
      <c r="I110" s="15" t="n">
        <v>63</v>
      </c>
      <c r="J110" s="15" t="s">
        <v>5159</v>
      </c>
      <c r="K110" s="15" t="s">
        <v>5225</v>
      </c>
      <c r="L110" s="15" t="n">
        <v>2</v>
      </c>
      <c r="M110" s="15" t="s">
        <v>5161</v>
      </c>
      <c r="N110" s="18" t="str">
        <f aca="false">IFERROR(IF(ISNUMBER(SEARCH(D110,INDEX(Pages!$J$2:$J$824,MATCH(A110,Pages!$B$2:$B$824,0)))),"Yes","No"),"Page not found")</f>
        <v>No</v>
      </c>
      <c r="O110" s="3" t="s">
        <v>5376</v>
      </c>
      <c r="P110" s="3" t="s">
        <v>5377</v>
      </c>
    </row>
    <row r="111" customFormat="false" ht="15" hidden="false" customHeight="false" outlineLevel="0" collapsed="false">
      <c r="A111" s="15" t="s">
        <v>809</v>
      </c>
      <c r="B111" s="15" t="s">
        <v>656</v>
      </c>
      <c r="C111" s="15" t="s">
        <v>82</v>
      </c>
      <c r="D111" s="15" t="s">
        <v>813</v>
      </c>
      <c r="E111" s="15" t="s">
        <v>662</v>
      </c>
      <c r="F111" s="15" t="s">
        <v>729</v>
      </c>
      <c r="G111" s="15"/>
      <c r="H111" s="16" t="n">
        <v>2200</v>
      </c>
      <c r="I111" s="15" t="n">
        <v>71</v>
      </c>
      <c r="J111" s="15" t="s">
        <v>5159</v>
      </c>
      <c r="K111" s="15" t="s">
        <v>5225</v>
      </c>
      <c r="L111" s="15" t="n">
        <v>3</v>
      </c>
      <c r="M111" s="15" t="s">
        <v>5161</v>
      </c>
      <c r="N111" s="18" t="str">
        <f aca="false">IFERROR(IF(ISNUMBER(SEARCH(D111,INDEX(Pages!$J$2:$J$824,MATCH(A111,Pages!$B$2:$B$824,0)))),"Yes","No"),"Page not found")</f>
        <v>No</v>
      </c>
      <c r="O111" s="3" t="s">
        <v>5226</v>
      </c>
      <c r="P111" s="3" t="s">
        <v>5378</v>
      </c>
    </row>
    <row r="112" customFormat="false" ht="15" hidden="false" customHeight="false" outlineLevel="0" collapsed="false">
      <c r="A112" s="15" t="s">
        <v>278</v>
      </c>
      <c r="B112" s="15" t="s">
        <v>257</v>
      </c>
      <c r="C112" s="15" t="s">
        <v>90</v>
      </c>
      <c r="D112" s="15" t="s">
        <v>283</v>
      </c>
      <c r="E112" s="15" t="s">
        <v>147</v>
      </c>
      <c r="F112" s="15"/>
      <c r="G112" s="15"/>
      <c r="H112" s="16" t="n">
        <v>1300</v>
      </c>
      <c r="I112" s="15" t="n">
        <v>45</v>
      </c>
      <c r="J112" s="15" t="s">
        <v>5159</v>
      </c>
      <c r="K112" s="15" t="s">
        <v>5193</v>
      </c>
      <c r="L112" s="15" t="n">
        <v>1</v>
      </c>
      <c r="M112" s="15" t="s">
        <v>5161</v>
      </c>
      <c r="N112" s="18" t="str">
        <f aca="false">IFERROR(IF(ISNUMBER(SEARCH(D112,INDEX(Pages!$J$2:$J$824,MATCH(A112,Pages!$B$2:$B$824,0)))),"Yes","No"),"Page not found")</f>
        <v>Yes</v>
      </c>
      <c r="O112" s="3" t="s">
        <v>5379</v>
      </c>
      <c r="P112" s="3"/>
    </row>
    <row r="113" customFormat="false" ht="15" hidden="false" customHeight="false" outlineLevel="0" collapsed="false">
      <c r="A113" s="15" t="s">
        <v>278</v>
      </c>
      <c r="B113" s="15" t="s">
        <v>257</v>
      </c>
      <c r="C113" s="15" t="s">
        <v>90</v>
      </c>
      <c r="D113" s="15" t="s">
        <v>5380</v>
      </c>
      <c r="E113" s="15" t="s">
        <v>147</v>
      </c>
      <c r="F113" s="15"/>
      <c r="G113" s="15"/>
      <c r="H113" s="16" t="n">
        <v>480</v>
      </c>
      <c r="I113" s="15" t="n">
        <v>35</v>
      </c>
      <c r="J113" s="15" t="s">
        <v>5159</v>
      </c>
      <c r="K113" s="15" t="s">
        <v>5351</v>
      </c>
      <c r="L113" s="15" t="n">
        <v>2</v>
      </c>
      <c r="M113" s="15" t="s">
        <v>5165</v>
      </c>
      <c r="N113" s="18" t="str">
        <f aca="false">IFERROR(IF(ISNUMBER(SEARCH(D113,INDEX(Pages!$J$2:$J$824,MATCH(A113,Pages!$B$2:$B$824,0)))),"Yes","No"),"Page not found")</f>
        <v>No</v>
      </c>
      <c r="O113" s="3" t="s">
        <v>5182</v>
      </c>
      <c r="P113" s="3"/>
    </row>
    <row r="114" customFormat="false" ht="15" hidden="false" customHeight="false" outlineLevel="0" collapsed="false">
      <c r="A114" s="15" t="s">
        <v>278</v>
      </c>
      <c r="B114" s="15" t="s">
        <v>257</v>
      </c>
      <c r="C114" s="15" t="s">
        <v>90</v>
      </c>
      <c r="D114" s="15" t="s">
        <v>5381</v>
      </c>
      <c r="E114" s="15" t="s">
        <v>147</v>
      </c>
      <c r="F114" s="15"/>
      <c r="G114" s="15"/>
      <c r="H114" s="16" t="n">
        <v>260</v>
      </c>
      <c r="I114" s="15" t="n">
        <v>20</v>
      </c>
      <c r="J114" s="15" t="s">
        <v>5159</v>
      </c>
      <c r="K114" s="15" t="s">
        <v>5351</v>
      </c>
      <c r="L114" s="15" t="n">
        <v>3</v>
      </c>
      <c r="M114" s="15" t="s">
        <v>5165</v>
      </c>
      <c r="N114" s="18" t="str">
        <f aca="false">IFERROR(IF(ISNUMBER(SEARCH(D114,INDEX(Pages!$J$2:$J$824,MATCH(A114,Pages!$B$2:$B$824,0)))),"Yes","No"),"Page not found")</f>
        <v>No</v>
      </c>
      <c r="O114" s="3" t="s">
        <v>5355</v>
      </c>
      <c r="P114" s="3"/>
    </row>
    <row r="115" customFormat="false" ht="15" hidden="false" customHeight="false" outlineLevel="0" collapsed="false">
      <c r="A115" s="15" t="s">
        <v>2747</v>
      </c>
      <c r="B115" s="15" t="s">
        <v>2076</v>
      </c>
      <c r="C115" s="15" t="s">
        <v>82</v>
      </c>
      <c r="D115" s="15" t="s">
        <v>2751</v>
      </c>
      <c r="E115" s="15" t="s">
        <v>104</v>
      </c>
      <c r="F115" s="15" t="s">
        <v>715</v>
      </c>
      <c r="G115" s="15" t="s">
        <v>2386</v>
      </c>
      <c r="H115" s="16" t="n">
        <v>1300</v>
      </c>
      <c r="I115" s="15" t="n">
        <v>72</v>
      </c>
      <c r="J115" s="15" t="s">
        <v>5227</v>
      </c>
      <c r="K115" s="15" t="s">
        <v>5228</v>
      </c>
      <c r="L115" s="15" t="n">
        <v>2</v>
      </c>
      <c r="M115" s="15" t="s">
        <v>5161</v>
      </c>
      <c r="N115" s="18" t="str">
        <f aca="false">IFERROR(IF(ISNUMBER(SEARCH(D115,INDEX(Pages!$J$2:$J$824,MATCH(A115,Pages!$B$2:$B$824,0)))),"Yes","No"),"Page not found")</f>
        <v>Yes</v>
      </c>
      <c r="O115" s="3" t="s">
        <v>5212</v>
      </c>
      <c r="P115" s="3"/>
    </row>
    <row r="116" customFormat="false" ht="15" hidden="false" customHeight="false" outlineLevel="0" collapsed="false">
      <c r="A116" s="15" t="s">
        <v>2747</v>
      </c>
      <c r="B116" s="15" t="s">
        <v>2076</v>
      </c>
      <c r="C116" s="15" t="s">
        <v>82</v>
      </c>
      <c r="D116" s="15" t="s">
        <v>5382</v>
      </c>
      <c r="E116" s="15" t="s">
        <v>104</v>
      </c>
      <c r="F116" s="15" t="s">
        <v>715</v>
      </c>
      <c r="G116" s="15" t="s">
        <v>2386</v>
      </c>
      <c r="H116" s="16" t="n">
        <v>460</v>
      </c>
      <c r="I116" s="15" t="n">
        <v>67</v>
      </c>
      <c r="J116" s="15" t="s">
        <v>5169</v>
      </c>
      <c r="K116" s="15" t="s">
        <v>5228</v>
      </c>
      <c r="L116" s="15" t="n">
        <v>3</v>
      </c>
      <c r="M116" s="15" t="s">
        <v>5165</v>
      </c>
      <c r="N116" s="18" t="str">
        <f aca="false">IFERROR(IF(ISNUMBER(SEARCH(D116,INDEX(Pages!$J$2:$J$824,MATCH(A116,Pages!$B$2:$B$824,0)))),"Yes","No"),"Page not found")</f>
        <v>No</v>
      </c>
      <c r="O116" s="3" t="s">
        <v>5212</v>
      </c>
      <c r="P116" s="3" t="s">
        <v>5232</v>
      </c>
    </row>
    <row r="117" customFormat="false" ht="23.85" hidden="false" customHeight="false" outlineLevel="0" collapsed="false">
      <c r="A117" s="15" t="s">
        <v>2747</v>
      </c>
      <c r="B117" s="15" t="s">
        <v>2076</v>
      </c>
      <c r="C117" s="15" t="s">
        <v>82</v>
      </c>
      <c r="D117" s="15" t="s">
        <v>5383</v>
      </c>
      <c r="E117" s="15" t="s">
        <v>104</v>
      </c>
      <c r="F117" s="15" t="s">
        <v>715</v>
      </c>
      <c r="G117" s="15" t="s">
        <v>2386</v>
      </c>
      <c r="H117" s="16" t="n">
        <v>260</v>
      </c>
      <c r="I117" s="15" t="n">
        <v>67</v>
      </c>
      <c r="J117" s="15" t="s">
        <v>5177</v>
      </c>
      <c r="K117" s="15" t="s">
        <v>5228</v>
      </c>
      <c r="L117" s="15" t="n">
        <v>3</v>
      </c>
      <c r="M117" s="15" t="s">
        <v>5165</v>
      </c>
      <c r="N117" s="18" t="str">
        <f aca="false">IFERROR(IF(ISNUMBER(SEARCH(D117,INDEX(Pages!$J$2:$J$824,MATCH(A117,Pages!$B$2:$B$824,0)))),"Yes","No"),"Page not found")</f>
        <v>No</v>
      </c>
      <c r="O117" s="3" t="s">
        <v>5212</v>
      </c>
      <c r="P117" s="3" t="s">
        <v>5234</v>
      </c>
    </row>
    <row r="118" customFormat="false" ht="15" hidden="false" customHeight="false" outlineLevel="0" collapsed="false">
      <c r="A118" s="15" t="s">
        <v>299</v>
      </c>
      <c r="B118" s="15" t="s">
        <v>257</v>
      </c>
      <c r="C118" s="15" t="s">
        <v>79</v>
      </c>
      <c r="D118" s="15" t="s">
        <v>304</v>
      </c>
      <c r="E118" s="15" t="s">
        <v>147</v>
      </c>
      <c r="F118" s="15"/>
      <c r="G118" s="15"/>
      <c r="H118" s="16" t="n">
        <v>1300</v>
      </c>
      <c r="I118" s="15" t="n">
        <v>50</v>
      </c>
      <c r="J118" s="15" t="s">
        <v>5159</v>
      </c>
      <c r="K118" s="15" t="s">
        <v>5384</v>
      </c>
      <c r="L118" s="15" t="n">
        <v>1</v>
      </c>
      <c r="M118" s="15" t="s">
        <v>5161</v>
      </c>
      <c r="N118" s="18" t="str">
        <f aca="false">IFERROR(IF(ISNUMBER(SEARCH(D118,INDEX(Pages!$J$2:$J$824,MATCH(A118,Pages!$B$2:$B$824,0)))),"Yes","No"),"Page not found")</f>
        <v>Yes</v>
      </c>
      <c r="O118" s="3" t="s">
        <v>5385</v>
      </c>
      <c r="P118" s="3" t="s">
        <v>5386</v>
      </c>
    </row>
    <row r="119" customFormat="false" ht="15" hidden="false" customHeight="false" outlineLevel="0" collapsed="false">
      <c r="A119" s="15" t="s">
        <v>299</v>
      </c>
      <c r="B119" s="15" t="s">
        <v>257</v>
      </c>
      <c r="C119" s="15" t="s">
        <v>79</v>
      </c>
      <c r="D119" s="15" t="s">
        <v>5387</v>
      </c>
      <c r="E119" s="15" t="s">
        <v>147</v>
      </c>
      <c r="F119" s="15"/>
      <c r="G119" s="15"/>
      <c r="H119" s="16" t="n">
        <v>720</v>
      </c>
      <c r="I119" s="15" t="n">
        <v>45</v>
      </c>
      <c r="J119" s="15" t="s">
        <v>5159</v>
      </c>
      <c r="K119" s="15" t="s">
        <v>5384</v>
      </c>
      <c r="L119" s="15" t="n">
        <v>1</v>
      </c>
      <c r="M119" s="15" t="s">
        <v>5165</v>
      </c>
      <c r="N119" s="18" t="str">
        <f aca="false">IFERROR(IF(ISNUMBER(SEARCH(D119,INDEX(Pages!$J$2:$J$824,MATCH(A119,Pages!$B$2:$B$824,0)))),"Yes","No"),"Page not found")</f>
        <v>No</v>
      </c>
      <c r="O119" s="3" t="s">
        <v>5224</v>
      </c>
      <c r="P119" s="3"/>
    </row>
    <row r="120" customFormat="false" ht="15" hidden="false" customHeight="false" outlineLevel="0" collapsed="false">
      <c r="A120" s="15" t="s">
        <v>5090</v>
      </c>
      <c r="B120" s="15" t="s">
        <v>5000</v>
      </c>
      <c r="C120" s="15" t="s">
        <v>86</v>
      </c>
      <c r="D120" s="15" t="s">
        <v>5094</v>
      </c>
      <c r="E120" s="15" t="s">
        <v>147</v>
      </c>
      <c r="F120" s="15"/>
      <c r="G120" s="15"/>
      <c r="H120" s="16" t="n">
        <v>1000</v>
      </c>
      <c r="I120" s="15" t="n">
        <v>35</v>
      </c>
      <c r="J120" s="15" t="s">
        <v>5177</v>
      </c>
      <c r="K120" s="15" t="s">
        <v>5285</v>
      </c>
      <c r="L120" s="15" t="n">
        <v>1</v>
      </c>
      <c r="M120" s="15" t="s">
        <v>5161</v>
      </c>
      <c r="N120" s="18" t="str">
        <f aca="false">IFERROR(IF(ISNUMBER(SEARCH(D120,INDEX(Pages!$J$2:$J$824,MATCH(A120,Pages!$B$2:$B$824,0)))),"Yes","No"),"Page not found")</f>
        <v>No</v>
      </c>
      <c r="O120" s="3" t="s">
        <v>5388</v>
      </c>
      <c r="P120" s="3"/>
    </row>
    <row r="121" customFormat="false" ht="15" hidden="false" customHeight="false" outlineLevel="0" collapsed="false">
      <c r="A121" s="15" t="s">
        <v>5090</v>
      </c>
      <c r="B121" s="15" t="s">
        <v>5000</v>
      </c>
      <c r="C121" s="15" t="s">
        <v>86</v>
      </c>
      <c r="D121" s="15" t="s">
        <v>5389</v>
      </c>
      <c r="E121" s="15" t="s">
        <v>662</v>
      </c>
      <c r="F121" s="15" t="s">
        <v>715</v>
      </c>
      <c r="G121" s="15"/>
      <c r="H121" s="16" t="n">
        <v>1000</v>
      </c>
      <c r="I121" s="15" t="n">
        <v>35</v>
      </c>
      <c r="J121" s="15" t="s">
        <v>5177</v>
      </c>
      <c r="K121" s="15" t="s">
        <v>5285</v>
      </c>
      <c r="L121" s="15" t="n">
        <v>1</v>
      </c>
      <c r="M121" s="15" t="s">
        <v>5165</v>
      </c>
      <c r="N121" s="18" t="str">
        <f aca="false">IFERROR(IF(ISNUMBER(SEARCH(D121,INDEX(Pages!$J$2:$J$824,MATCH(A121,Pages!$B$2:$B$824,0)))),"Yes","No"),"Page not found")</f>
        <v>No</v>
      </c>
      <c r="O121" s="3" t="s">
        <v>5390</v>
      </c>
      <c r="P121" s="3"/>
    </row>
    <row r="122" customFormat="false" ht="15" hidden="false" customHeight="false" outlineLevel="0" collapsed="false">
      <c r="A122" s="15" t="s">
        <v>5096</v>
      </c>
      <c r="B122" s="15" t="s">
        <v>5000</v>
      </c>
      <c r="C122" s="15" t="s">
        <v>74</v>
      </c>
      <c r="D122" s="15" t="s">
        <v>5100</v>
      </c>
      <c r="E122" s="15" t="s">
        <v>147</v>
      </c>
      <c r="F122" s="15"/>
      <c r="G122" s="15"/>
      <c r="H122" s="16" t="n">
        <v>1900</v>
      </c>
      <c r="I122" s="15" t="n">
        <v>50</v>
      </c>
      <c r="J122" s="15" t="s">
        <v>5177</v>
      </c>
      <c r="K122" s="15" t="s">
        <v>5391</v>
      </c>
      <c r="L122" s="15" t="n">
        <v>1</v>
      </c>
      <c r="M122" s="15" t="s">
        <v>5161</v>
      </c>
      <c r="N122" s="18" t="str">
        <f aca="false">IFERROR(IF(ISNUMBER(SEARCH(D122,INDEX(Pages!$J$2:$J$824,MATCH(A122,Pages!$B$2:$B$824,0)))),"Yes","No"),"Page not found")</f>
        <v>Yes</v>
      </c>
      <c r="O122" s="3" t="s">
        <v>5279</v>
      </c>
      <c r="P122" s="3"/>
    </row>
    <row r="123" customFormat="false" ht="15" hidden="false" customHeight="false" outlineLevel="0" collapsed="false">
      <c r="A123" s="15" t="s">
        <v>3437</v>
      </c>
      <c r="B123" s="15" t="s">
        <v>2076</v>
      </c>
      <c r="C123" s="15" t="s">
        <v>84</v>
      </c>
      <c r="D123" s="15" t="s">
        <v>3441</v>
      </c>
      <c r="E123" s="15" t="s">
        <v>104</v>
      </c>
      <c r="F123" s="15" t="s">
        <v>715</v>
      </c>
      <c r="G123" s="15" t="s">
        <v>2379</v>
      </c>
      <c r="H123" s="16" t="n">
        <v>1900</v>
      </c>
      <c r="I123" s="15" t="n">
        <v>68</v>
      </c>
      <c r="J123" s="15" t="s">
        <v>5227</v>
      </c>
      <c r="K123" s="15" t="s">
        <v>5392</v>
      </c>
      <c r="L123" s="15" t="n">
        <v>1</v>
      </c>
      <c r="M123" s="15" t="s">
        <v>5161</v>
      </c>
      <c r="N123" s="18" t="str">
        <f aca="false">IFERROR(IF(ISNUMBER(SEARCH(D123,INDEX(Pages!$J$2:$J$824,MATCH(A123,Pages!$B$2:$B$824,0)))),"Yes","No"),"Page not found")</f>
        <v>Yes</v>
      </c>
      <c r="O123" s="3" t="s">
        <v>5393</v>
      </c>
      <c r="P123" s="3"/>
    </row>
    <row r="124" customFormat="false" ht="15" hidden="false" customHeight="false" outlineLevel="0" collapsed="false">
      <c r="A124" s="15" t="s">
        <v>619</v>
      </c>
      <c r="B124" s="15" t="s">
        <v>384</v>
      </c>
      <c r="C124" s="15" t="s">
        <v>83</v>
      </c>
      <c r="D124" s="15" t="s">
        <v>623</v>
      </c>
      <c r="E124" s="15" t="s">
        <v>147</v>
      </c>
      <c r="F124" s="15"/>
      <c r="G124" s="15"/>
      <c r="H124" s="16" t="n">
        <v>1900</v>
      </c>
      <c r="I124" s="15" t="n">
        <v>45</v>
      </c>
      <c r="J124" s="15" t="s">
        <v>5159</v>
      </c>
      <c r="K124" s="15" t="s">
        <v>5276</v>
      </c>
      <c r="L124" s="15" t="n">
        <v>4</v>
      </c>
      <c r="M124" s="15" t="s">
        <v>5161</v>
      </c>
      <c r="N124" s="18" t="str">
        <f aca="false">IFERROR(IF(ISNUMBER(SEARCH(D124,INDEX(Pages!$J$2:$J$824,MATCH(A124,Pages!$B$2:$B$824,0)))),"Yes","No"),"Page not found")</f>
        <v>No</v>
      </c>
      <c r="O124" s="3" t="s">
        <v>5394</v>
      </c>
      <c r="P124" s="3"/>
    </row>
    <row r="125" customFormat="false" ht="15" hidden="false" customHeight="false" outlineLevel="0" collapsed="false">
      <c r="A125" s="15" t="s">
        <v>383</v>
      </c>
      <c r="B125" s="15" t="s">
        <v>384</v>
      </c>
      <c r="C125" s="15" t="s">
        <v>83</v>
      </c>
      <c r="D125" s="15" t="s">
        <v>388</v>
      </c>
      <c r="E125" s="15" t="s">
        <v>147</v>
      </c>
      <c r="F125" s="15"/>
      <c r="G125" s="15"/>
      <c r="H125" s="16" t="n">
        <v>1000</v>
      </c>
      <c r="I125" s="15" t="n">
        <v>35</v>
      </c>
      <c r="J125" s="15" t="s">
        <v>5159</v>
      </c>
      <c r="K125" s="15" t="s">
        <v>5276</v>
      </c>
      <c r="L125" s="15" t="n">
        <v>4</v>
      </c>
      <c r="M125" s="15" t="s">
        <v>5161</v>
      </c>
      <c r="N125" s="18" t="str">
        <f aca="false">IFERROR(IF(ISNUMBER(SEARCH(D125,INDEX(Pages!$J$2:$J$824,MATCH(A125,Pages!$B$2:$B$824,0)))),"Yes","No"),"Page not found")</f>
        <v>Yes</v>
      </c>
      <c r="O125" s="3" t="s">
        <v>5376</v>
      </c>
      <c r="P125" s="3"/>
    </row>
    <row r="126" customFormat="false" ht="15" hidden="false" customHeight="false" outlineLevel="0" collapsed="false">
      <c r="A126" s="15" t="s">
        <v>383</v>
      </c>
      <c r="B126" s="15" t="s">
        <v>384</v>
      </c>
      <c r="C126" s="15" t="s">
        <v>83</v>
      </c>
      <c r="D126" s="15" t="s">
        <v>5395</v>
      </c>
      <c r="E126" s="15" t="s">
        <v>147</v>
      </c>
      <c r="F126" s="15"/>
      <c r="G126" s="15"/>
      <c r="H126" s="16" t="n">
        <v>880</v>
      </c>
      <c r="I126" s="15" t="n">
        <v>35</v>
      </c>
      <c r="J126" s="15" t="s">
        <v>5159</v>
      </c>
      <c r="K126" s="15" t="s">
        <v>5276</v>
      </c>
      <c r="L126" s="15" t="n">
        <v>4</v>
      </c>
      <c r="M126" s="15" t="s">
        <v>5165</v>
      </c>
      <c r="N126" s="18" t="str">
        <f aca="false">IFERROR(IF(ISNUMBER(SEARCH(D126,INDEX(Pages!$J$2:$J$824,MATCH(A126,Pages!$B$2:$B$824,0)))),"Yes","No"),"Page not found")</f>
        <v>No</v>
      </c>
      <c r="O126" s="3" t="s">
        <v>5376</v>
      </c>
      <c r="P126" s="3"/>
    </row>
    <row r="127" customFormat="false" ht="15" hidden="false" customHeight="false" outlineLevel="0" collapsed="false">
      <c r="A127" s="15" t="s">
        <v>2609</v>
      </c>
      <c r="B127" s="15" t="s">
        <v>2076</v>
      </c>
      <c r="C127" s="15" t="s">
        <v>82</v>
      </c>
      <c r="D127" s="15" t="s">
        <v>2613</v>
      </c>
      <c r="E127" s="15" t="s">
        <v>104</v>
      </c>
      <c r="F127" s="15" t="s">
        <v>701</v>
      </c>
      <c r="G127" s="15" t="s">
        <v>2225</v>
      </c>
      <c r="H127" s="16" t="n">
        <v>1200</v>
      </c>
      <c r="I127" s="15" t="n">
        <v>64</v>
      </c>
      <c r="J127" s="15" t="s">
        <v>5227</v>
      </c>
      <c r="K127" s="15" t="s">
        <v>5228</v>
      </c>
      <c r="L127" s="15" t="n">
        <v>2</v>
      </c>
      <c r="M127" s="15" t="s">
        <v>5161</v>
      </c>
      <c r="N127" s="18" t="str">
        <f aca="false">IFERROR(IF(ISNUMBER(SEARCH(D127,INDEX(Pages!$J$2:$J$824,MATCH(A127,Pages!$B$2:$B$824,0)))),"Yes","No"),"Page not found")</f>
        <v>Yes</v>
      </c>
      <c r="O127" s="3" t="s">
        <v>5376</v>
      </c>
      <c r="P127" s="3"/>
    </row>
    <row r="128" customFormat="false" ht="15" hidden="false" customHeight="false" outlineLevel="0" collapsed="false">
      <c r="A128" s="15" t="s">
        <v>2609</v>
      </c>
      <c r="B128" s="15" t="s">
        <v>2076</v>
      </c>
      <c r="C128" s="15" t="s">
        <v>82</v>
      </c>
      <c r="D128" s="15" t="s">
        <v>5396</v>
      </c>
      <c r="E128" s="15" t="s">
        <v>104</v>
      </c>
      <c r="F128" s="15" t="s">
        <v>701</v>
      </c>
      <c r="G128" s="15" t="s">
        <v>2225</v>
      </c>
      <c r="H128" s="16" t="n">
        <v>430</v>
      </c>
      <c r="I128" s="15" t="n">
        <v>59</v>
      </c>
      <c r="J128" s="15" t="s">
        <v>5169</v>
      </c>
      <c r="K128" s="15" t="s">
        <v>5228</v>
      </c>
      <c r="L128" s="15" t="n">
        <v>3</v>
      </c>
      <c r="M128" s="15" t="s">
        <v>5165</v>
      </c>
      <c r="N128" s="18" t="str">
        <f aca="false">IFERROR(IF(ISNUMBER(SEARCH(D128,INDEX(Pages!$J$2:$J$824,MATCH(A128,Pages!$B$2:$B$824,0)))),"Yes","No"),"Page not found")</f>
        <v>No</v>
      </c>
      <c r="O128" s="3" t="s">
        <v>5376</v>
      </c>
      <c r="P128" s="3" t="s">
        <v>5232</v>
      </c>
    </row>
    <row r="129" customFormat="false" ht="23.85" hidden="false" customHeight="false" outlineLevel="0" collapsed="false">
      <c r="A129" s="15" t="s">
        <v>2609</v>
      </c>
      <c r="B129" s="15" t="s">
        <v>2076</v>
      </c>
      <c r="C129" s="15" t="s">
        <v>82</v>
      </c>
      <c r="D129" s="15" t="s">
        <v>5397</v>
      </c>
      <c r="E129" s="15" t="s">
        <v>104</v>
      </c>
      <c r="F129" s="15" t="s">
        <v>701</v>
      </c>
      <c r="G129" s="15" t="s">
        <v>2225</v>
      </c>
      <c r="H129" s="16" t="n">
        <v>250</v>
      </c>
      <c r="I129" s="15" t="n">
        <v>59</v>
      </c>
      <c r="J129" s="15" t="s">
        <v>5177</v>
      </c>
      <c r="K129" s="15" t="s">
        <v>5228</v>
      </c>
      <c r="L129" s="15" t="n">
        <v>3</v>
      </c>
      <c r="M129" s="15" t="s">
        <v>5165</v>
      </c>
      <c r="N129" s="18" t="str">
        <f aca="false">IFERROR(IF(ISNUMBER(SEARCH(D129,INDEX(Pages!$J$2:$J$824,MATCH(A129,Pages!$B$2:$B$824,0)))),"Yes","No"),"Page not found")</f>
        <v>No</v>
      </c>
      <c r="O129" s="3" t="s">
        <v>5376</v>
      </c>
      <c r="P129" s="3" t="s">
        <v>5234</v>
      </c>
    </row>
    <row r="130" customFormat="false" ht="15" hidden="false" customHeight="false" outlineLevel="0" collapsed="false">
      <c r="A130" s="15" t="s">
        <v>2675</v>
      </c>
      <c r="B130" s="15" t="s">
        <v>2076</v>
      </c>
      <c r="C130" s="15" t="s">
        <v>82</v>
      </c>
      <c r="D130" s="15" t="s">
        <v>2679</v>
      </c>
      <c r="E130" s="15" t="s">
        <v>104</v>
      </c>
      <c r="F130" s="15" t="s">
        <v>715</v>
      </c>
      <c r="G130" s="15" t="s">
        <v>2302</v>
      </c>
      <c r="H130" s="16" t="n">
        <v>1200</v>
      </c>
      <c r="I130" s="15" t="n">
        <v>76</v>
      </c>
      <c r="J130" s="15" t="s">
        <v>5227</v>
      </c>
      <c r="K130" s="15" t="s">
        <v>5228</v>
      </c>
      <c r="L130" s="15" t="n">
        <v>2</v>
      </c>
      <c r="M130" s="15" t="s">
        <v>5161</v>
      </c>
      <c r="N130" s="18" t="str">
        <f aca="false">IFERROR(IF(ISNUMBER(SEARCH(D130,INDEX(Pages!$J$2:$J$824,MATCH(A130,Pages!$B$2:$B$824,0)))),"Yes","No"),"Page not found")</f>
        <v>Yes</v>
      </c>
      <c r="O130" s="3" t="s">
        <v>5182</v>
      </c>
      <c r="P130" s="3"/>
    </row>
    <row r="131" customFormat="false" ht="15" hidden="false" customHeight="false" outlineLevel="0" collapsed="false">
      <c r="A131" s="15" t="s">
        <v>2675</v>
      </c>
      <c r="B131" s="15" t="s">
        <v>2076</v>
      </c>
      <c r="C131" s="15" t="s">
        <v>82</v>
      </c>
      <c r="D131" s="15" t="s">
        <v>5398</v>
      </c>
      <c r="E131" s="15" t="s">
        <v>104</v>
      </c>
      <c r="F131" s="15" t="s">
        <v>715</v>
      </c>
      <c r="G131" s="15" t="s">
        <v>2302</v>
      </c>
      <c r="H131" s="16" t="n">
        <v>430</v>
      </c>
      <c r="I131" s="15" t="n">
        <v>71</v>
      </c>
      <c r="J131" s="15" t="s">
        <v>5169</v>
      </c>
      <c r="K131" s="15" t="s">
        <v>5228</v>
      </c>
      <c r="L131" s="15" t="n">
        <v>3</v>
      </c>
      <c r="M131" s="15" t="s">
        <v>5165</v>
      </c>
      <c r="N131" s="18" t="str">
        <f aca="false">IFERROR(IF(ISNUMBER(SEARCH(D131,INDEX(Pages!$J$2:$J$824,MATCH(A131,Pages!$B$2:$B$824,0)))),"Yes","No"),"Page not found")</f>
        <v>No</v>
      </c>
      <c r="O131" s="3" t="s">
        <v>5182</v>
      </c>
      <c r="P131" s="3" t="s">
        <v>5232</v>
      </c>
    </row>
    <row r="132" customFormat="false" ht="23.85" hidden="false" customHeight="false" outlineLevel="0" collapsed="false">
      <c r="A132" s="15" t="s">
        <v>2675</v>
      </c>
      <c r="B132" s="15" t="s">
        <v>2076</v>
      </c>
      <c r="C132" s="15" t="s">
        <v>82</v>
      </c>
      <c r="D132" s="15" t="s">
        <v>5399</v>
      </c>
      <c r="E132" s="15" t="s">
        <v>104</v>
      </c>
      <c r="F132" s="15" t="s">
        <v>715</v>
      </c>
      <c r="G132" s="15" t="s">
        <v>2302</v>
      </c>
      <c r="H132" s="16" t="n">
        <v>240</v>
      </c>
      <c r="I132" s="15" t="n">
        <v>71</v>
      </c>
      <c r="J132" s="15" t="s">
        <v>5177</v>
      </c>
      <c r="K132" s="15" t="s">
        <v>5228</v>
      </c>
      <c r="L132" s="15" t="n">
        <v>4</v>
      </c>
      <c r="M132" s="15" t="s">
        <v>5165</v>
      </c>
      <c r="N132" s="18" t="str">
        <f aca="false">IFERROR(IF(ISNUMBER(SEARCH(D132,INDEX(Pages!$J$2:$J$824,MATCH(A132,Pages!$B$2:$B$824,0)))),"Yes","No"),"Page not found")</f>
        <v>No</v>
      </c>
      <c r="O132" s="3" t="s">
        <v>5182</v>
      </c>
      <c r="P132" s="3" t="s">
        <v>5234</v>
      </c>
    </row>
    <row r="133" customFormat="false" ht="15" hidden="false" customHeight="false" outlineLevel="0" collapsed="false">
      <c r="A133" s="15" t="s">
        <v>5049</v>
      </c>
      <c r="B133" s="15" t="s">
        <v>5000</v>
      </c>
      <c r="C133" s="15" t="s">
        <v>82</v>
      </c>
      <c r="D133" s="15" t="s">
        <v>5053</v>
      </c>
      <c r="E133" s="15" t="s">
        <v>662</v>
      </c>
      <c r="F133" s="15" t="s">
        <v>666</v>
      </c>
      <c r="G133" s="15"/>
      <c r="H133" s="16" t="n">
        <v>1300</v>
      </c>
      <c r="I133" s="15" t="n">
        <v>40</v>
      </c>
      <c r="J133" s="15" t="s">
        <v>5177</v>
      </c>
      <c r="K133" s="15" t="s">
        <v>5268</v>
      </c>
      <c r="L133" s="15" t="n">
        <v>2</v>
      </c>
      <c r="M133" s="15" t="s">
        <v>5161</v>
      </c>
      <c r="N133" s="18" t="str">
        <f aca="false">IFERROR(IF(ISNUMBER(SEARCH(D133,INDEX(Pages!$J$2:$J$824,MATCH(A133,Pages!$B$2:$B$824,0)))),"Yes","No"),"Page not found")</f>
        <v>Yes</v>
      </c>
      <c r="O133" s="3" t="s">
        <v>5400</v>
      </c>
      <c r="P133" s="3" t="s">
        <v>5401</v>
      </c>
    </row>
    <row r="134" customFormat="false" ht="15" hidden="false" customHeight="false" outlineLevel="0" collapsed="false">
      <c r="A134" s="15" t="s">
        <v>5049</v>
      </c>
      <c r="B134" s="15" t="s">
        <v>5000</v>
      </c>
      <c r="C134" s="15" t="s">
        <v>82</v>
      </c>
      <c r="D134" s="15" t="s">
        <v>5402</v>
      </c>
      <c r="E134" s="15" t="s">
        <v>662</v>
      </c>
      <c r="F134" s="15" t="s">
        <v>666</v>
      </c>
      <c r="G134" s="15"/>
      <c r="H134" s="16" t="n">
        <v>480</v>
      </c>
      <c r="I134" s="15" t="n">
        <v>30</v>
      </c>
      <c r="J134" s="15" t="s">
        <v>5177</v>
      </c>
      <c r="K134" s="15" t="s">
        <v>5268</v>
      </c>
      <c r="L134" s="15" t="n">
        <v>3</v>
      </c>
      <c r="M134" s="15" t="s">
        <v>5165</v>
      </c>
      <c r="N134" s="18" t="str">
        <f aca="false">IFERROR(IF(ISNUMBER(SEARCH(D134,INDEX(Pages!$J$2:$J$824,MATCH(A134,Pages!$B$2:$B$824,0)))),"Yes","No"),"Page not found")</f>
        <v>No</v>
      </c>
      <c r="O134" s="3" t="s">
        <v>5403</v>
      </c>
      <c r="P134" s="3"/>
    </row>
    <row r="135" customFormat="false" ht="15" hidden="false" customHeight="false" outlineLevel="0" collapsed="false">
      <c r="A135" s="15" t="s">
        <v>5102</v>
      </c>
      <c r="B135" s="15" t="s">
        <v>5000</v>
      </c>
      <c r="C135" s="15" t="s">
        <v>82</v>
      </c>
      <c r="D135" s="15" t="s">
        <v>5106</v>
      </c>
      <c r="E135" s="15" t="s">
        <v>147</v>
      </c>
      <c r="F135" s="15"/>
      <c r="G135" s="15"/>
      <c r="H135" s="16" t="n">
        <v>1600</v>
      </c>
      <c r="I135" s="15" t="n">
        <v>35</v>
      </c>
      <c r="J135" s="15" t="s">
        <v>5177</v>
      </c>
      <c r="K135" s="15" t="s">
        <v>5268</v>
      </c>
      <c r="L135" s="15" t="n">
        <v>1</v>
      </c>
      <c r="M135" s="15" t="s">
        <v>5161</v>
      </c>
      <c r="N135" s="18" t="str">
        <f aca="false">IFERROR(IF(ISNUMBER(SEARCH(D135,INDEX(Pages!$J$2:$J$824,MATCH(A135,Pages!$B$2:$B$824,0)))),"Yes","No"),"Page not found")</f>
        <v>Yes</v>
      </c>
      <c r="O135" s="3" t="s">
        <v>5404</v>
      </c>
      <c r="P135" s="3" t="s">
        <v>5405</v>
      </c>
    </row>
    <row r="136" customFormat="false" ht="23.85" hidden="false" customHeight="false" outlineLevel="0" collapsed="false">
      <c r="A136" s="15" t="s">
        <v>589</v>
      </c>
      <c r="B136" s="15" t="s">
        <v>384</v>
      </c>
      <c r="C136" s="15" t="s">
        <v>74</v>
      </c>
      <c r="D136" s="15" t="s">
        <v>593</v>
      </c>
      <c r="E136" s="15" t="s">
        <v>147</v>
      </c>
      <c r="F136" s="15"/>
      <c r="G136" s="15"/>
      <c r="H136" s="16" t="n">
        <v>1600</v>
      </c>
      <c r="I136" s="15" t="n">
        <v>50</v>
      </c>
      <c r="J136" s="15" t="s">
        <v>5159</v>
      </c>
      <c r="K136" s="15" t="s">
        <v>5406</v>
      </c>
      <c r="L136" s="15" t="n">
        <v>2</v>
      </c>
      <c r="M136" s="15" t="s">
        <v>5161</v>
      </c>
      <c r="N136" s="18" t="str">
        <f aca="false">IFERROR(IF(ISNUMBER(SEARCH(D136,INDEX(Pages!$J$2:$J$824,MATCH(A136,Pages!$B$2:$B$824,0)))),"Yes","No"),"Page not found")</f>
        <v>Yes</v>
      </c>
      <c r="O136" s="3" t="s">
        <v>5260</v>
      </c>
      <c r="P136" s="3" t="s">
        <v>5407</v>
      </c>
    </row>
    <row r="137" customFormat="false" ht="15" hidden="false" customHeight="false" outlineLevel="0" collapsed="false">
      <c r="A137" s="15" t="s">
        <v>1811</v>
      </c>
      <c r="B137" s="15" t="s">
        <v>656</v>
      </c>
      <c r="C137" s="15" t="s">
        <v>86</v>
      </c>
      <c r="D137" s="15" t="s">
        <v>1815</v>
      </c>
      <c r="E137" s="15" t="s">
        <v>662</v>
      </c>
      <c r="F137" s="15" t="s">
        <v>715</v>
      </c>
      <c r="G137" s="15"/>
      <c r="H137" s="16" t="n">
        <v>1600</v>
      </c>
      <c r="I137" s="15" t="n">
        <v>62</v>
      </c>
      <c r="J137" s="15" t="s">
        <v>5159</v>
      </c>
      <c r="K137" s="15" t="s">
        <v>5321</v>
      </c>
      <c r="L137" s="15" t="n">
        <v>3</v>
      </c>
      <c r="M137" s="15" t="s">
        <v>5161</v>
      </c>
      <c r="N137" s="18" t="str">
        <f aca="false">IFERROR(IF(ISNUMBER(SEARCH(D137,INDEX(Pages!$J$2:$J$824,MATCH(A137,Pages!$B$2:$B$824,0)))),"Yes","No"),"Page not found")</f>
        <v>No</v>
      </c>
      <c r="O137" s="3" t="s">
        <v>5226</v>
      </c>
      <c r="P137" s="3"/>
    </row>
    <row r="138" customFormat="false" ht="15" hidden="false" customHeight="false" outlineLevel="0" collapsed="false">
      <c r="A138" s="15" t="s">
        <v>1301</v>
      </c>
      <c r="B138" s="15" t="s">
        <v>656</v>
      </c>
      <c r="C138" s="15" t="s">
        <v>84</v>
      </c>
      <c r="D138" s="15" t="s">
        <v>1305</v>
      </c>
      <c r="E138" s="15" t="s">
        <v>662</v>
      </c>
      <c r="F138" s="15" t="s">
        <v>666</v>
      </c>
      <c r="G138" s="15"/>
      <c r="H138" s="16" t="n">
        <v>1000</v>
      </c>
      <c r="I138" s="15" t="n">
        <v>53</v>
      </c>
      <c r="J138" s="15" t="s">
        <v>5159</v>
      </c>
      <c r="K138" s="15" t="s">
        <v>5321</v>
      </c>
      <c r="L138" s="15" t="n">
        <v>1</v>
      </c>
      <c r="M138" s="15" t="s">
        <v>5161</v>
      </c>
      <c r="N138" s="18" t="str">
        <f aca="false">IFERROR(IF(ISNUMBER(SEARCH(D138,INDEX(Pages!$J$2:$J$824,MATCH(A138,Pages!$B$2:$B$824,0)))),"Yes","No"),"Page not found")</f>
        <v>No</v>
      </c>
      <c r="O138" s="3" t="s">
        <v>5408</v>
      </c>
      <c r="P138" s="3"/>
    </row>
    <row r="139" customFormat="false" ht="15" hidden="false" customHeight="false" outlineLevel="0" collapsed="false">
      <c r="A139" s="15" t="s">
        <v>1301</v>
      </c>
      <c r="B139" s="15" t="s">
        <v>656</v>
      </c>
      <c r="C139" s="15" t="s">
        <v>84</v>
      </c>
      <c r="D139" s="15" t="s">
        <v>5409</v>
      </c>
      <c r="E139" s="15" t="s">
        <v>662</v>
      </c>
      <c r="F139" s="15" t="s">
        <v>666</v>
      </c>
      <c r="G139" s="15"/>
      <c r="H139" s="16" t="n">
        <v>590</v>
      </c>
      <c r="I139" s="15" t="n">
        <v>35</v>
      </c>
      <c r="J139" s="15" t="s">
        <v>5177</v>
      </c>
      <c r="K139" s="15" t="s">
        <v>5285</v>
      </c>
      <c r="L139" s="15" t="n">
        <v>2</v>
      </c>
      <c r="M139" s="15" t="s">
        <v>5165</v>
      </c>
      <c r="N139" s="18" t="str">
        <f aca="false">IFERROR(IF(ISNUMBER(SEARCH(D139,INDEX(Pages!$J$2:$J$824,MATCH(A139,Pages!$B$2:$B$824,0)))),"Yes","No"),"Page not found")</f>
        <v>No</v>
      </c>
      <c r="O139" s="3" t="s">
        <v>5410</v>
      </c>
      <c r="P139" s="3"/>
    </row>
    <row r="140" customFormat="false" ht="15" hidden="false" customHeight="false" outlineLevel="0" collapsed="false">
      <c r="A140" s="15" t="s">
        <v>475</v>
      </c>
      <c r="B140" s="15" t="s">
        <v>384</v>
      </c>
      <c r="C140" s="15" t="s">
        <v>82</v>
      </c>
      <c r="D140" s="15" t="s">
        <v>479</v>
      </c>
      <c r="E140" s="15" t="s">
        <v>147</v>
      </c>
      <c r="F140" s="15"/>
      <c r="G140" s="15"/>
      <c r="H140" s="16" t="n">
        <v>1000</v>
      </c>
      <c r="I140" s="15" t="n">
        <v>40</v>
      </c>
      <c r="J140" s="15" t="s">
        <v>5159</v>
      </c>
      <c r="K140" s="15" t="s">
        <v>5339</v>
      </c>
      <c r="L140" s="15" t="n">
        <v>2</v>
      </c>
      <c r="M140" s="15" t="s">
        <v>5161</v>
      </c>
      <c r="N140" s="18" t="str">
        <f aca="false">IFERROR(IF(ISNUMBER(SEARCH(D140,INDEX(Pages!$J$2:$J$824,MATCH(A140,Pages!$B$2:$B$824,0)))),"Yes","No"),"Page not found")</f>
        <v>No</v>
      </c>
      <c r="O140" s="3" t="s">
        <v>5411</v>
      </c>
      <c r="P140" s="3" t="s">
        <v>5412</v>
      </c>
    </row>
    <row r="141" customFormat="false" ht="23.85" hidden="false" customHeight="false" outlineLevel="0" collapsed="false">
      <c r="A141" s="15" t="s">
        <v>475</v>
      </c>
      <c r="B141" s="15" t="s">
        <v>384</v>
      </c>
      <c r="C141" s="15" t="s">
        <v>82</v>
      </c>
      <c r="D141" s="15" t="s">
        <v>5413</v>
      </c>
      <c r="E141" s="15" t="s">
        <v>147</v>
      </c>
      <c r="F141" s="15"/>
      <c r="G141" s="15"/>
      <c r="H141" s="16" t="n">
        <v>480</v>
      </c>
      <c r="I141" s="15" t="n">
        <v>25</v>
      </c>
      <c r="J141" s="15" t="s">
        <v>5159</v>
      </c>
      <c r="K141" s="15" t="s">
        <v>5339</v>
      </c>
      <c r="L141" s="15" t="n">
        <v>2</v>
      </c>
      <c r="M141" s="15" t="s">
        <v>5165</v>
      </c>
      <c r="N141" s="18" t="str">
        <f aca="false">IFERROR(IF(ISNUMBER(SEARCH(D141,INDEX(Pages!$J$2:$J$824,MATCH(A141,Pages!$B$2:$B$824,0)))),"Yes","No"),"Page not found")</f>
        <v>No</v>
      </c>
      <c r="O141" s="3" t="s">
        <v>5414</v>
      </c>
      <c r="P141" s="3" t="s">
        <v>5415</v>
      </c>
    </row>
    <row r="142" customFormat="false" ht="15" hidden="false" customHeight="false" outlineLevel="0" collapsed="false">
      <c r="A142" s="15" t="s">
        <v>439</v>
      </c>
      <c r="B142" s="15" t="s">
        <v>384</v>
      </c>
      <c r="C142" s="15" t="s">
        <v>82</v>
      </c>
      <c r="D142" s="15" t="s">
        <v>443</v>
      </c>
      <c r="E142" s="15" t="s">
        <v>147</v>
      </c>
      <c r="F142" s="15"/>
      <c r="G142" s="15"/>
      <c r="H142" s="16" t="n">
        <v>1300</v>
      </c>
      <c r="I142" s="15" t="n">
        <v>50</v>
      </c>
      <c r="J142" s="15" t="s">
        <v>5159</v>
      </c>
      <c r="K142" s="15" t="s">
        <v>5339</v>
      </c>
      <c r="L142" s="15" t="n">
        <v>4</v>
      </c>
      <c r="M142" s="15" t="s">
        <v>5161</v>
      </c>
      <c r="N142" s="18" t="str">
        <f aca="false">IFERROR(IF(ISNUMBER(SEARCH(D142,INDEX(Pages!$J$2:$J$824,MATCH(A142,Pages!$B$2:$B$824,0)))),"Yes","No"),"Page not found")</f>
        <v>No</v>
      </c>
      <c r="O142" s="3" t="s">
        <v>5376</v>
      </c>
      <c r="P142" s="3" t="s">
        <v>5416</v>
      </c>
    </row>
    <row r="143" customFormat="false" ht="15" hidden="false" customHeight="false" outlineLevel="0" collapsed="false">
      <c r="A143" s="15" t="s">
        <v>5060</v>
      </c>
      <c r="B143" s="15" t="s">
        <v>5000</v>
      </c>
      <c r="C143" s="15" t="s">
        <v>75</v>
      </c>
      <c r="D143" s="15" t="s">
        <v>5064</v>
      </c>
      <c r="E143" s="15" t="s">
        <v>147</v>
      </c>
      <c r="F143" s="15"/>
      <c r="G143" s="15"/>
      <c r="H143" s="16" t="n">
        <v>1300</v>
      </c>
      <c r="I143" s="15" t="n">
        <v>50</v>
      </c>
      <c r="J143" s="15" t="s">
        <v>5177</v>
      </c>
      <c r="K143" s="15" t="s">
        <v>5324</v>
      </c>
      <c r="L143" s="15" t="n">
        <v>1</v>
      </c>
      <c r="M143" s="15" t="s">
        <v>5161</v>
      </c>
      <c r="N143" s="18" t="str">
        <f aca="false">IFERROR(IF(ISNUMBER(SEARCH(D143,INDEX(Pages!$J$2:$J$824,MATCH(A143,Pages!$B$2:$B$824,0)))),"Yes","No"),"Page not found")</f>
        <v>No</v>
      </c>
      <c r="O143" s="3" t="s">
        <v>5417</v>
      </c>
      <c r="P143" s="3"/>
    </row>
    <row r="144" customFormat="false" ht="15" hidden="false" customHeight="false" outlineLevel="0" collapsed="false">
      <c r="A144" s="15" t="s">
        <v>1265</v>
      </c>
      <c r="B144" s="15" t="s">
        <v>656</v>
      </c>
      <c r="C144" s="15" t="s">
        <v>78</v>
      </c>
      <c r="D144" s="15" t="s">
        <v>1269</v>
      </c>
      <c r="E144" s="15" t="s">
        <v>662</v>
      </c>
      <c r="F144" s="15" t="s">
        <v>715</v>
      </c>
      <c r="G144" s="15"/>
      <c r="H144" s="16" t="n">
        <v>1300</v>
      </c>
      <c r="I144" s="15" t="n">
        <v>61</v>
      </c>
      <c r="J144" s="15" t="s">
        <v>5159</v>
      </c>
      <c r="K144" s="15" t="s">
        <v>5418</v>
      </c>
      <c r="L144" s="15" t="n">
        <v>1</v>
      </c>
      <c r="M144" s="15" t="s">
        <v>5161</v>
      </c>
      <c r="N144" s="18" t="str">
        <f aca="false">IFERROR(IF(ISNUMBER(SEARCH(D144,INDEX(Pages!$J$2:$J$824,MATCH(A144,Pages!$B$2:$B$824,0)))),"Yes","No"),"Page not found")</f>
        <v>No</v>
      </c>
      <c r="O144" s="3" t="s">
        <v>5224</v>
      </c>
      <c r="P144" s="3"/>
    </row>
    <row r="145" customFormat="false" ht="15" hidden="false" customHeight="false" outlineLevel="0" collapsed="false">
      <c r="A145" s="15" t="s">
        <v>595</v>
      </c>
      <c r="B145" s="15" t="s">
        <v>384</v>
      </c>
      <c r="C145" s="15" t="s">
        <v>74</v>
      </c>
      <c r="D145" s="15" t="s">
        <v>599</v>
      </c>
      <c r="E145" s="15" t="s">
        <v>147</v>
      </c>
      <c r="F145" s="15"/>
      <c r="G145" s="15"/>
      <c r="H145" s="16" t="n">
        <v>1300</v>
      </c>
      <c r="I145" s="15" t="n">
        <v>55</v>
      </c>
      <c r="J145" s="15" t="s">
        <v>5159</v>
      </c>
      <c r="K145" s="15" t="s">
        <v>5183</v>
      </c>
      <c r="L145" s="15" t="n">
        <v>3</v>
      </c>
      <c r="M145" s="15" t="s">
        <v>5161</v>
      </c>
      <c r="N145" s="18" t="str">
        <f aca="false">IFERROR(IF(ISNUMBER(SEARCH(D145,INDEX(Pages!$J$2:$J$824,MATCH(A145,Pages!$B$2:$B$824,0)))),"Yes","No"),"Page not found")</f>
        <v>Yes</v>
      </c>
      <c r="O145" s="3" t="s">
        <v>5279</v>
      </c>
      <c r="P145" s="3" t="s">
        <v>5419</v>
      </c>
    </row>
    <row r="146" customFormat="false" ht="15" hidden="false" customHeight="false" outlineLevel="0" collapsed="false">
      <c r="A146" s="15" t="s">
        <v>601</v>
      </c>
      <c r="B146" s="15" t="s">
        <v>384</v>
      </c>
      <c r="C146" s="15" t="s">
        <v>78</v>
      </c>
      <c r="D146" s="15" t="s">
        <v>605</v>
      </c>
      <c r="E146" s="15" t="s">
        <v>147</v>
      </c>
      <c r="F146" s="15"/>
      <c r="G146" s="15"/>
      <c r="H146" s="16" t="n">
        <v>1300</v>
      </c>
      <c r="I146" s="15" t="n">
        <v>45</v>
      </c>
      <c r="J146" s="15" t="s">
        <v>5159</v>
      </c>
      <c r="K146" s="15" t="s">
        <v>5216</v>
      </c>
      <c r="L146" s="15" t="n">
        <v>3</v>
      </c>
      <c r="M146" s="15" t="s">
        <v>5161</v>
      </c>
      <c r="N146" s="18" t="str">
        <f aca="false">IFERROR(IF(ISNUMBER(SEARCH(D146,INDEX(Pages!$J$2:$J$824,MATCH(A146,Pages!$B$2:$B$824,0)))),"Yes","No"),"Page not found")</f>
        <v>No</v>
      </c>
      <c r="O146" s="3" t="s">
        <v>5420</v>
      </c>
      <c r="P146" s="3" t="s">
        <v>5421</v>
      </c>
    </row>
    <row r="147" customFormat="false" ht="15" hidden="false" customHeight="false" outlineLevel="0" collapsed="false">
      <c r="A147" s="15" t="s">
        <v>4481</v>
      </c>
      <c r="B147" s="15" t="s">
        <v>2076</v>
      </c>
      <c r="C147" s="15" t="s">
        <v>86</v>
      </c>
      <c r="D147" s="15" t="s">
        <v>4485</v>
      </c>
      <c r="E147" s="15" t="s">
        <v>104</v>
      </c>
      <c r="F147" s="15" t="s">
        <v>715</v>
      </c>
      <c r="G147" s="15" t="s">
        <v>2379</v>
      </c>
      <c r="H147" s="16" t="n">
        <v>1300</v>
      </c>
      <c r="I147" s="15" t="n">
        <v>60</v>
      </c>
      <c r="J147" s="15" t="s">
        <v>5227</v>
      </c>
      <c r="K147" s="15" t="s">
        <v>5392</v>
      </c>
      <c r="L147" s="15" t="n">
        <v>3</v>
      </c>
      <c r="M147" s="15" t="s">
        <v>5161</v>
      </c>
      <c r="N147" s="18" t="str">
        <f aca="false">IFERROR(IF(ISNUMBER(SEARCH(D147,INDEX(Pages!$J$2:$J$824,MATCH(A147,Pages!$B$2:$B$824,0)))),"Yes","No"),"Page not found")</f>
        <v>Yes</v>
      </c>
      <c r="O147" s="3" t="s">
        <v>5226</v>
      </c>
      <c r="P147" s="3"/>
    </row>
    <row r="148" customFormat="false" ht="15" hidden="false" customHeight="false" outlineLevel="0" collapsed="false">
      <c r="A148" s="15" t="s">
        <v>649</v>
      </c>
      <c r="B148" s="15" t="s">
        <v>384</v>
      </c>
      <c r="C148" s="15" t="s">
        <v>84</v>
      </c>
      <c r="D148" s="15" t="s">
        <v>653</v>
      </c>
      <c r="E148" s="15" t="s">
        <v>147</v>
      </c>
      <c r="F148" s="15"/>
      <c r="G148" s="15"/>
      <c r="H148" s="16" t="n">
        <v>1300</v>
      </c>
      <c r="I148" s="15" t="n">
        <v>40</v>
      </c>
      <c r="J148" s="15" t="s">
        <v>5159</v>
      </c>
      <c r="K148" s="15" t="s">
        <v>5372</v>
      </c>
      <c r="L148" s="15" t="n">
        <v>3</v>
      </c>
      <c r="M148" s="15" t="s">
        <v>5161</v>
      </c>
      <c r="N148" s="18" t="str">
        <f aca="false">IFERROR(IF(ISNUMBER(SEARCH(D148,INDEX(Pages!$J$2:$J$824,MATCH(A148,Pages!$B$2:$B$824,0)))),"Yes","No"),"Page not found")</f>
        <v>No</v>
      </c>
      <c r="O148" s="3" t="s">
        <v>5376</v>
      </c>
      <c r="P148" s="3" t="s">
        <v>5422</v>
      </c>
    </row>
    <row r="149" customFormat="false" ht="15" hidden="false" customHeight="false" outlineLevel="0" collapsed="false">
      <c r="A149" s="15" t="s">
        <v>2669</v>
      </c>
      <c r="B149" s="15" t="s">
        <v>2076</v>
      </c>
      <c r="C149" s="15" t="s">
        <v>82</v>
      </c>
      <c r="D149" s="15" t="s">
        <v>2673</v>
      </c>
      <c r="E149" s="15" t="s">
        <v>104</v>
      </c>
      <c r="F149" s="15" t="s">
        <v>715</v>
      </c>
      <c r="G149" s="15" t="s">
        <v>2295</v>
      </c>
      <c r="H149" s="16" t="n">
        <v>830</v>
      </c>
      <c r="I149" s="15" t="n">
        <v>76</v>
      </c>
      <c r="J149" s="15" t="s">
        <v>5227</v>
      </c>
      <c r="K149" s="15" t="s">
        <v>5228</v>
      </c>
      <c r="L149" s="15" t="n">
        <v>2</v>
      </c>
      <c r="M149" s="15" t="s">
        <v>5161</v>
      </c>
      <c r="N149" s="18" t="str">
        <f aca="false">IFERROR(IF(ISNUMBER(SEARCH(D149,INDEX(Pages!$J$2:$J$824,MATCH(A149,Pages!$B$2:$B$824,0)))),"Yes","No"),"Page not found")</f>
        <v>No</v>
      </c>
      <c r="O149" s="3" t="s">
        <v>5182</v>
      </c>
      <c r="P149" s="3"/>
    </row>
    <row r="150" customFormat="false" ht="15" hidden="false" customHeight="false" outlineLevel="0" collapsed="false">
      <c r="A150" s="15" t="s">
        <v>2669</v>
      </c>
      <c r="B150" s="15" t="s">
        <v>2076</v>
      </c>
      <c r="C150" s="15" t="s">
        <v>82</v>
      </c>
      <c r="D150" s="15" t="s">
        <v>5423</v>
      </c>
      <c r="E150" s="15" t="s">
        <v>104</v>
      </c>
      <c r="F150" s="15" t="s">
        <v>715</v>
      </c>
      <c r="G150" s="15" t="s">
        <v>2295</v>
      </c>
      <c r="H150" s="16" t="n">
        <v>290</v>
      </c>
      <c r="I150" s="15" t="n">
        <v>71</v>
      </c>
      <c r="J150" s="15" t="s">
        <v>5169</v>
      </c>
      <c r="K150" s="15" t="s">
        <v>5228</v>
      </c>
      <c r="L150" s="15" t="n">
        <v>3</v>
      </c>
      <c r="M150" s="15" t="s">
        <v>5165</v>
      </c>
      <c r="N150" s="18" t="str">
        <f aca="false">IFERROR(IF(ISNUMBER(SEARCH(D150,INDEX(Pages!$J$2:$J$824,MATCH(A150,Pages!$B$2:$B$824,0)))),"Yes","No"),"Page not found")</f>
        <v>No</v>
      </c>
      <c r="O150" s="3" t="s">
        <v>5182</v>
      </c>
      <c r="P150" s="3" t="s">
        <v>5232</v>
      </c>
    </row>
    <row r="151" customFormat="false" ht="23.85" hidden="false" customHeight="false" outlineLevel="0" collapsed="false">
      <c r="A151" s="15" t="s">
        <v>2669</v>
      </c>
      <c r="B151" s="15" t="s">
        <v>2076</v>
      </c>
      <c r="C151" s="15" t="s">
        <v>82</v>
      </c>
      <c r="D151" s="15" t="s">
        <v>5424</v>
      </c>
      <c r="E151" s="15" t="s">
        <v>104</v>
      </c>
      <c r="F151" s="15" t="s">
        <v>715</v>
      </c>
      <c r="G151" s="15" t="s">
        <v>2295</v>
      </c>
      <c r="H151" s="16" t="n">
        <v>170</v>
      </c>
      <c r="I151" s="15" t="n">
        <v>71</v>
      </c>
      <c r="J151" s="15" t="s">
        <v>5177</v>
      </c>
      <c r="K151" s="15" t="s">
        <v>5228</v>
      </c>
      <c r="L151" s="15" t="n">
        <v>4</v>
      </c>
      <c r="M151" s="15" t="s">
        <v>5165</v>
      </c>
      <c r="N151" s="18" t="str">
        <f aca="false">IFERROR(IF(ISNUMBER(SEARCH(D151,INDEX(Pages!$J$2:$J$824,MATCH(A151,Pages!$B$2:$B$824,0)))),"Yes","No"),"Page not found")</f>
        <v>No</v>
      </c>
      <c r="O151" s="3" t="s">
        <v>5182</v>
      </c>
      <c r="P151" s="3" t="s">
        <v>5234</v>
      </c>
    </row>
    <row r="152" customFormat="false" ht="15" hidden="false" customHeight="false" outlineLevel="0" collapsed="false">
      <c r="A152" s="15" t="s">
        <v>714</v>
      </c>
      <c r="B152" s="15" t="s">
        <v>656</v>
      </c>
      <c r="C152" s="15" t="s">
        <v>89</v>
      </c>
      <c r="D152" s="15" t="s">
        <v>719</v>
      </c>
      <c r="E152" s="15" t="s">
        <v>662</v>
      </c>
      <c r="F152" s="15" t="s">
        <v>715</v>
      </c>
      <c r="G152" s="15"/>
      <c r="H152" s="16" t="n">
        <v>1200</v>
      </c>
      <c r="I152" s="15" t="n">
        <v>52</v>
      </c>
      <c r="J152" s="15" t="s">
        <v>5159</v>
      </c>
      <c r="K152" s="15" t="s">
        <v>5425</v>
      </c>
      <c r="L152" s="15" t="n">
        <v>1</v>
      </c>
      <c r="M152" s="15" t="s">
        <v>5161</v>
      </c>
      <c r="N152" s="18" t="str">
        <f aca="false">IFERROR(IF(ISNUMBER(SEARCH(D152,INDEX(Pages!$J$2:$J$824,MATCH(A152,Pages!$B$2:$B$824,0)))),"Yes","No"),"Page not found")</f>
        <v>No</v>
      </c>
      <c r="O152" s="3" t="s">
        <v>5426</v>
      </c>
      <c r="P152" s="3"/>
    </row>
    <row r="153" customFormat="false" ht="15" hidden="false" customHeight="false" outlineLevel="0" collapsed="false">
      <c r="A153" s="15" t="s">
        <v>2795</v>
      </c>
      <c r="B153" s="15" t="s">
        <v>2076</v>
      </c>
      <c r="C153" s="15" t="s">
        <v>82</v>
      </c>
      <c r="D153" s="15" t="s">
        <v>2799</v>
      </c>
      <c r="E153" s="15" t="s">
        <v>104</v>
      </c>
      <c r="F153" s="15" t="s">
        <v>729</v>
      </c>
      <c r="G153" s="15" t="s">
        <v>2442</v>
      </c>
      <c r="H153" s="16" t="n">
        <v>1200</v>
      </c>
      <c r="I153" s="15" t="n">
        <v>68</v>
      </c>
      <c r="J153" s="15" t="s">
        <v>5227</v>
      </c>
      <c r="K153" s="15" t="s">
        <v>5228</v>
      </c>
      <c r="L153" s="15" t="n">
        <v>3</v>
      </c>
      <c r="M153" s="15" t="s">
        <v>5161</v>
      </c>
      <c r="N153" s="18" t="str">
        <f aca="false">IFERROR(IF(ISNUMBER(SEARCH(D153,INDEX(Pages!$J$2:$J$824,MATCH(A153,Pages!$B$2:$B$824,0)))),"Yes","No"),"Page not found")</f>
        <v>Yes</v>
      </c>
      <c r="O153" s="3" t="s">
        <v>5192</v>
      </c>
      <c r="P153" s="3" t="s">
        <v>5427</v>
      </c>
    </row>
    <row r="154" customFormat="false" ht="15" hidden="false" customHeight="false" outlineLevel="0" collapsed="false">
      <c r="A154" s="15" t="s">
        <v>194</v>
      </c>
      <c r="B154" s="15" t="s">
        <v>125</v>
      </c>
      <c r="C154" s="15" t="s">
        <v>82</v>
      </c>
      <c r="D154" s="15" t="s">
        <v>198</v>
      </c>
      <c r="E154" s="15" t="s">
        <v>147</v>
      </c>
      <c r="F154" s="15"/>
      <c r="G154" s="15"/>
      <c r="H154" s="16" t="n">
        <v>880</v>
      </c>
      <c r="I154" s="15" t="n">
        <v>35</v>
      </c>
      <c r="J154" s="15" t="s">
        <v>5177</v>
      </c>
      <c r="K154" s="15" t="s">
        <v>5428</v>
      </c>
      <c r="L154" s="15" t="n">
        <v>4</v>
      </c>
      <c r="M154" s="15" t="s">
        <v>5161</v>
      </c>
      <c r="N154" s="18" t="str">
        <f aca="false">IFERROR(IF(ISNUMBER(SEARCH(D154,INDEX(Pages!$J$2:$J$824,MATCH(A154,Pages!$B$2:$B$824,0)))),"Yes","No"),"Page not found")</f>
        <v>No</v>
      </c>
      <c r="O154" s="3" t="s">
        <v>5408</v>
      </c>
      <c r="P154" s="3"/>
    </row>
    <row r="155" customFormat="false" ht="15" hidden="false" customHeight="false" outlineLevel="0" collapsed="false">
      <c r="A155" s="15" t="s">
        <v>194</v>
      </c>
      <c r="B155" s="15" t="s">
        <v>125</v>
      </c>
      <c r="C155" s="15" t="s">
        <v>93</v>
      </c>
      <c r="D155" s="15" t="s">
        <v>5429</v>
      </c>
      <c r="E155" s="15" t="s">
        <v>147</v>
      </c>
      <c r="F155" s="15"/>
      <c r="G155" s="15"/>
      <c r="H155" s="16" t="n">
        <v>260</v>
      </c>
      <c r="I155" s="15" t="n">
        <v>25</v>
      </c>
      <c r="J155" s="15" t="s">
        <v>5177</v>
      </c>
      <c r="K155" s="15" t="s">
        <v>5263</v>
      </c>
      <c r="L155" s="15" t="n">
        <v>4</v>
      </c>
      <c r="M155" s="15" t="s">
        <v>5165</v>
      </c>
      <c r="N155" s="18" t="str">
        <f aca="false">IFERROR(IF(ISNUMBER(SEARCH(D155,INDEX(Pages!$J$2:$J$824,MATCH(A155,Pages!$B$2:$B$824,0)))),"Yes","No"),"Page not found")</f>
        <v>Yes</v>
      </c>
      <c r="O155" s="3" t="s">
        <v>5430</v>
      </c>
      <c r="P155" s="3"/>
    </row>
    <row r="156" customFormat="false" ht="15" hidden="false" customHeight="false" outlineLevel="0" collapsed="false">
      <c r="A156" s="15" t="s">
        <v>5007</v>
      </c>
      <c r="B156" s="15" t="s">
        <v>5000</v>
      </c>
      <c r="C156" s="15" t="s">
        <v>84</v>
      </c>
      <c r="D156" s="15" t="s">
        <v>5011</v>
      </c>
      <c r="E156" s="15" t="s">
        <v>147</v>
      </c>
      <c r="F156" s="15"/>
      <c r="G156" s="15"/>
      <c r="H156" s="16" t="n">
        <v>590</v>
      </c>
      <c r="I156" s="15" t="n">
        <v>30</v>
      </c>
      <c r="J156" s="15" t="s">
        <v>5177</v>
      </c>
      <c r="K156" s="15" t="s">
        <v>5285</v>
      </c>
      <c r="L156" s="15" t="n">
        <v>2</v>
      </c>
      <c r="M156" s="15" t="s">
        <v>5161</v>
      </c>
      <c r="N156" s="18" t="str">
        <f aca="false">IFERROR(IF(ISNUMBER(SEARCH(D156,INDEX(Pages!$J$2:$J$824,MATCH(A156,Pages!$B$2:$B$824,0)))),"Yes","No"),"Page not found")</f>
        <v>No</v>
      </c>
      <c r="O156" s="3" t="s">
        <v>5431</v>
      </c>
      <c r="P156" s="3"/>
    </row>
    <row r="157" customFormat="false" ht="15" hidden="false" customHeight="false" outlineLevel="0" collapsed="false">
      <c r="A157" s="15" t="s">
        <v>5007</v>
      </c>
      <c r="B157" s="15" t="s">
        <v>5000</v>
      </c>
      <c r="C157" s="15" t="s">
        <v>84</v>
      </c>
      <c r="D157" s="15" t="s">
        <v>5432</v>
      </c>
      <c r="E157" s="15" t="s">
        <v>104</v>
      </c>
      <c r="F157" s="15" t="s">
        <v>657</v>
      </c>
      <c r="G157" s="15" t="s">
        <v>2084</v>
      </c>
      <c r="H157" s="16" t="n">
        <v>390</v>
      </c>
      <c r="I157" s="15" t="n">
        <v>25</v>
      </c>
      <c r="J157" s="15" t="s">
        <v>5227</v>
      </c>
      <c r="K157" s="15" t="s">
        <v>5285</v>
      </c>
      <c r="L157" s="15" t="n">
        <v>1</v>
      </c>
      <c r="M157" s="15" t="s">
        <v>5165</v>
      </c>
      <c r="N157" s="18" t="str">
        <f aca="false">IFERROR(IF(ISNUMBER(SEARCH(D157,INDEX(Pages!$J$2:$J$824,MATCH(A157,Pages!$B$2:$B$824,0)))),"Yes","No"),"Page not found")</f>
        <v>No</v>
      </c>
      <c r="O157" s="3" t="s">
        <v>5431</v>
      </c>
      <c r="P157" s="3" t="s">
        <v>5433</v>
      </c>
    </row>
    <row r="158" customFormat="false" ht="15" hidden="false" customHeight="false" outlineLevel="0" collapsed="false">
      <c r="A158" s="15" t="s">
        <v>5007</v>
      </c>
      <c r="B158" s="15" t="s">
        <v>5000</v>
      </c>
      <c r="C158" s="15" t="s">
        <v>84</v>
      </c>
      <c r="D158" s="15" t="s">
        <v>5434</v>
      </c>
      <c r="E158" s="15" t="s">
        <v>104</v>
      </c>
      <c r="F158" s="15" t="s">
        <v>657</v>
      </c>
      <c r="G158" s="15" t="s">
        <v>2106</v>
      </c>
      <c r="H158" s="16" t="n">
        <v>90</v>
      </c>
      <c r="I158" s="15" t="n">
        <v>15</v>
      </c>
      <c r="J158" s="15" t="s">
        <v>5227</v>
      </c>
      <c r="K158" s="15" t="s">
        <v>5285</v>
      </c>
      <c r="L158" s="15" t="n">
        <v>3</v>
      </c>
      <c r="M158" s="15" t="s">
        <v>5165</v>
      </c>
      <c r="N158" s="18" t="str">
        <f aca="false">IFERROR(IF(ISNUMBER(SEARCH(D158,INDEX(Pages!$J$2:$J$824,MATCH(A158,Pages!$B$2:$B$824,0)))),"Yes","No"),"Page not found")</f>
        <v>No</v>
      </c>
      <c r="O158" s="3" t="s">
        <v>5426</v>
      </c>
      <c r="P158" s="3"/>
    </row>
    <row r="159" customFormat="false" ht="23.85" hidden="false" customHeight="false" outlineLevel="0" collapsed="false">
      <c r="A159" s="15" t="s">
        <v>469</v>
      </c>
      <c r="B159" s="15" t="s">
        <v>384</v>
      </c>
      <c r="C159" s="15" t="s">
        <v>82</v>
      </c>
      <c r="D159" s="15" t="s">
        <v>473</v>
      </c>
      <c r="E159" s="15" t="s">
        <v>147</v>
      </c>
      <c r="F159" s="15"/>
      <c r="G159" s="15"/>
      <c r="H159" s="16" t="n">
        <v>1000</v>
      </c>
      <c r="I159" s="15" t="n">
        <v>35</v>
      </c>
      <c r="J159" s="15" t="s">
        <v>5159</v>
      </c>
      <c r="K159" s="15" t="s">
        <v>5339</v>
      </c>
      <c r="L159" s="15" t="n">
        <v>1</v>
      </c>
      <c r="M159" s="15" t="s">
        <v>5161</v>
      </c>
      <c r="N159" s="18" t="str">
        <f aca="false">IFERROR(IF(ISNUMBER(SEARCH(D159,INDEX(Pages!$J$2:$J$824,MATCH(A159,Pages!$B$2:$B$824,0)))),"Yes","No"),"Page not found")</f>
        <v>Yes</v>
      </c>
      <c r="O159" s="3" t="s">
        <v>5435</v>
      </c>
      <c r="P159" s="3" t="s">
        <v>5436</v>
      </c>
    </row>
    <row r="160" customFormat="false" ht="15" hidden="false" customHeight="false" outlineLevel="0" collapsed="false">
      <c r="A160" s="15" t="s">
        <v>178</v>
      </c>
      <c r="B160" s="15" t="s">
        <v>125</v>
      </c>
      <c r="C160" s="15" t="s">
        <v>93</v>
      </c>
      <c r="D160" s="15" t="s">
        <v>182</v>
      </c>
      <c r="E160" s="15" t="s">
        <v>147</v>
      </c>
      <c r="F160" s="15"/>
      <c r="G160" s="15"/>
      <c r="H160" s="16" t="n">
        <v>1000</v>
      </c>
      <c r="I160" s="15" t="n">
        <v>55</v>
      </c>
      <c r="J160" s="15" t="s">
        <v>5159</v>
      </c>
      <c r="K160" s="15" t="s">
        <v>5263</v>
      </c>
      <c r="L160" s="15" t="n">
        <v>2</v>
      </c>
      <c r="M160" s="15" t="s">
        <v>5161</v>
      </c>
      <c r="N160" s="18" t="str">
        <f aca="false">IFERROR(IF(ISNUMBER(SEARCH(D160,INDEX(Pages!$J$2:$J$824,MATCH(A160,Pages!$B$2:$B$824,0)))),"Yes","No"),"Page not found")</f>
        <v>No</v>
      </c>
      <c r="O160" s="3" t="s">
        <v>5182</v>
      </c>
      <c r="P160" s="3"/>
    </row>
    <row r="161" customFormat="false" ht="15" hidden="false" customHeight="false" outlineLevel="0" collapsed="false">
      <c r="A161" s="15" t="s">
        <v>3185</v>
      </c>
      <c r="B161" s="15" t="s">
        <v>2076</v>
      </c>
      <c r="C161" s="15" t="s">
        <v>84</v>
      </c>
      <c r="D161" s="15" t="s">
        <v>3189</v>
      </c>
      <c r="E161" s="15" t="s">
        <v>104</v>
      </c>
      <c r="F161" s="15" t="s">
        <v>657</v>
      </c>
      <c r="G161" s="15" t="s">
        <v>2084</v>
      </c>
      <c r="H161" s="16" t="n">
        <v>1000</v>
      </c>
      <c r="I161" s="15" t="n">
        <v>68</v>
      </c>
      <c r="J161" s="15" t="s">
        <v>5227</v>
      </c>
      <c r="K161" s="15" t="s">
        <v>5392</v>
      </c>
      <c r="L161" s="15" t="n">
        <v>2</v>
      </c>
      <c r="M161" s="15" t="s">
        <v>5161</v>
      </c>
      <c r="N161" s="18" t="str">
        <f aca="false">IFERROR(IF(ISNUMBER(SEARCH(D161,INDEX(Pages!$J$2:$J$824,MATCH(A161,Pages!$B$2:$B$824,0)))),"Yes","No"),"Page not found")</f>
        <v>Yes</v>
      </c>
      <c r="O161" s="3" t="s">
        <v>5226</v>
      </c>
      <c r="P161" s="3"/>
    </row>
    <row r="162" customFormat="false" ht="15" hidden="false" customHeight="false" outlineLevel="0" collapsed="false">
      <c r="A162" s="15" t="s">
        <v>219</v>
      </c>
      <c r="B162" s="15" t="s">
        <v>125</v>
      </c>
      <c r="C162" s="15" t="s">
        <v>93</v>
      </c>
      <c r="D162" s="15" t="s">
        <v>223</v>
      </c>
      <c r="E162" s="15" t="s">
        <v>147</v>
      </c>
      <c r="F162" s="15"/>
      <c r="G162" s="15"/>
      <c r="H162" s="16" t="n">
        <v>1000</v>
      </c>
      <c r="I162" s="15" t="n">
        <v>40</v>
      </c>
      <c r="J162" s="15" t="s">
        <v>5177</v>
      </c>
      <c r="K162" s="15" t="s">
        <v>5263</v>
      </c>
      <c r="L162" s="15" t="n">
        <v>3</v>
      </c>
      <c r="M162" s="15" t="s">
        <v>5161</v>
      </c>
      <c r="N162" s="18" t="str">
        <f aca="false">IFERROR(IF(ISNUMBER(SEARCH(D162,INDEX(Pages!$J$2:$J$824,MATCH(A162,Pages!$B$2:$B$824,0)))),"Yes","No"),"Page not found")</f>
        <v>No</v>
      </c>
      <c r="O162" s="3" t="s">
        <v>5166</v>
      </c>
      <c r="P162" s="3" t="s">
        <v>5437</v>
      </c>
    </row>
    <row r="163" customFormat="false" ht="15" hidden="false" customHeight="false" outlineLevel="0" collapsed="false">
      <c r="A163" s="15" t="s">
        <v>565</v>
      </c>
      <c r="B163" s="15" t="s">
        <v>384</v>
      </c>
      <c r="C163" s="15" t="s">
        <v>74</v>
      </c>
      <c r="D163" s="15" t="s">
        <v>569</v>
      </c>
      <c r="E163" s="15" t="s">
        <v>147</v>
      </c>
      <c r="F163" s="15"/>
      <c r="G163" s="15"/>
      <c r="H163" s="16" t="n">
        <v>1000</v>
      </c>
      <c r="I163" s="15" t="n">
        <v>40</v>
      </c>
      <c r="J163" s="15" t="s">
        <v>5159</v>
      </c>
      <c r="K163" s="15" t="s">
        <v>5406</v>
      </c>
      <c r="L163" s="15" t="n">
        <v>2</v>
      </c>
      <c r="M163" s="15" t="s">
        <v>5161</v>
      </c>
      <c r="N163" s="18" t="str">
        <f aca="false">IFERROR(IF(ISNUMBER(SEARCH(D163,INDEX(Pages!$J$2:$J$824,MATCH(A163,Pages!$B$2:$B$824,0)))),"Yes","No"),"Page not found")</f>
        <v>No</v>
      </c>
      <c r="O163" s="3" t="s">
        <v>5224</v>
      </c>
      <c r="P163" s="3" t="s">
        <v>5373</v>
      </c>
    </row>
    <row r="164" customFormat="false" ht="15" hidden="false" customHeight="false" outlineLevel="0" collapsed="false">
      <c r="A164" s="15" t="s">
        <v>785</v>
      </c>
      <c r="B164" s="15" t="s">
        <v>656</v>
      </c>
      <c r="C164" s="15" t="s">
        <v>82</v>
      </c>
      <c r="D164" s="15" t="s">
        <v>789</v>
      </c>
      <c r="E164" s="15" t="s">
        <v>662</v>
      </c>
      <c r="F164" s="15" t="s">
        <v>701</v>
      </c>
      <c r="G164" s="15"/>
      <c r="H164" s="16" t="n">
        <v>990</v>
      </c>
      <c r="I164" s="15" t="n">
        <v>57</v>
      </c>
      <c r="J164" s="15" t="s">
        <v>5159</v>
      </c>
      <c r="K164" s="15" t="s">
        <v>5225</v>
      </c>
      <c r="L164" s="15" t="n">
        <v>2</v>
      </c>
      <c r="M164" s="15" t="s">
        <v>5161</v>
      </c>
      <c r="N164" s="18" t="str">
        <f aca="false">IFERROR(IF(ISNUMBER(SEARCH(D164,INDEX(Pages!$J$2:$J$824,MATCH(A164,Pages!$B$2:$B$824,0)))),"Yes","No"),"Page not found")</f>
        <v>No</v>
      </c>
      <c r="O164" s="3" t="s">
        <v>5192</v>
      </c>
      <c r="P164" s="3"/>
    </row>
    <row r="165" customFormat="false" ht="15" hidden="false" customHeight="false" outlineLevel="0" collapsed="false">
      <c r="A165" s="15" t="s">
        <v>2765</v>
      </c>
      <c r="B165" s="15" t="s">
        <v>2076</v>
      </c>
      <c r="C165" s="15" t="s">
        <v>82</v>
      </c>
      <c r="D165" s="15" t="s">
        <v>2769</v>
      </c>
      <c r="E165" s="15" t="s">
        <v>104</v>
      </c>
      <c r="F165" s="15" t="s">
        <v>715</v>
      </c>
      <c r="G165" s="15" t="s">
        <v>2407</v>
      </c>
      <c r="H165" s="16" t="n">
        <v>640</v>
      </c>
      <c r="I165" s="15" t="n">
        <v>76</v>
      </c>
      <c r="J165" s="15" t="s">
        <v>5227</v>
      </c>
      <c r="K165" s="15" t="s">
        <v>5228</v>
      </c>
      <c r="L165" s="15" t="n">
        <v>3</v>
      </c>
      <c r="M165" s="15" t="s">
        <v>5161</v>
      </c>
      <c r="N165" s="18" t="str">
        <f aca="false">IFERROR(IF(ISNUMBER(SEARCH(D165,INDEX(Pages!$J$2:$J$824,MATCH(A165,Pages!$B$2:$B$824,0)))),"Yes","No"),"Page not found")</f>
        <v>Yes</v>
      </c>
      <c r="O165" s="3" t="s">
        <v>5182</v>
      </c>
      <c r="P165" s="3"/>
    </row>
    <row r="166" customFormat="false" ht="15" hidden="false" customHeight="false" outlineLevel="0" collapsed="false">
      <c r="A166" s="15" t="s">
        <v>2765</v>
      </c>
      <c r="B166" s="15" t="s">
        <v>2076</v>
      </c>
      <c r="C166" s="15" t="s">
        <v>82</v>
      </c>
      <c r="D166" s="15" t="s">
        <v>5438</v>
      </c>
      <c r="E166" s="15" t="s">
        <v>104</v>
      </c>
      <c r="F166" s="15" t="s">
        <v>715</v>
      </c>
      <c r="G166" s="15" t="s">
        <v>2407</v>
      </c>
      <c r="H166" s="16" t="n">
        <v>220</v>
      </c>
      <c r="I166" s="15" t="n">
        <v>71</v>
      </c>
      <c r="J166" s="15" t="s">
        <v>5169</v>
      </c>
      <c r="K166" s="15" t="s">
        <v>5228</v>
      </c>
      <c r="L166" s="15" t="n">
        <v>4</v>
      </c>
      <c r="M166" s="15" t="s">
        <v>5165</v>
      </c>
      <c r="N166" s="18" t="str">
        <f aca="false">IFERROR(IF(ISNUMBER(SEARCH(D166,INDEX(Pages!$J$2:$J$824,MATCH(A166,Pages!$B$2:$B$824,0)))),"Yes","No"),"Page not found")</f>
        <v>No</v>
      </c>
      <c r="O166" s="3" t="s">
        <v>5182</v>
      </c>
      <c r="P166" s="3" t="s">
        <v>5232</v>
      </c>
    </row>
    <row r="167" customFormat="false" ht="23.85" hidden="false" customHeight="false" outlineLevel="0" collapsed="false">
      <c r="A167" s="15" t="s">
        <v>2765</v>
      </c>
      <c r="B167" s="15" t="s">
        <v>2076</v>
      </c>
      <c r="C167" s="15" t="s">
        <v>82</v>
      </c>
      <c r="D167" s="15" t="s">
        <v>5439</v>
      </c>
      <c r="E167" s="15" t="s">
        <v>104</v>
      </c>
      <c r="F167" s="15" t="s">
        <v>715</v>
      </c>
      <c r="G167" s="15" t="s">
        <v>2407</v>
      </c>
      <c r="H167" s="16" t="n">
        <v>130</v>
      </c>
      <c r="I167" s="15" t="n">
        <v>71</v>
      </c>
      <c r="J167" s="15" t="s">
        <v>5177</v>
      </c>
      <c r="K167" s="15" t="s">
        <v>5228</v>
      </c>
      <c r="L167" s="15" t="n">
        <v>4</v>
      </c>
      <c r="M167" s="15" t="s">
        <v>5165</v>
      </c>
      <c r="N167" s="18" t="str">
        <f aca="false">IFERROR(IF(ISNUMBER(SEARCH(D167,INDEX(Pages!$J$2:$J$824,MATCH(A167,Pages!$B$2:$B$824,0)))),"Yes","No"),"Page not found")</f>
        <v>No</v>
      </c>
      <c r="O167" s="3" t="s">
        <v>5182</v>
      </c>
      <c r="P167" s="3" t="s">
        <v>5234</v>
      </c>
    </row>
    <row r="168" customFormat="false" ht="15" hidden="false" customHeight="false" outlineLevel="0" collapsed="false">
      <c r="A168" s="15" t="s">
        <v>1421</v>
      </c>
      <c r="B168" s="15" t="s">
        <v>656</v>
      </c>
      <c r="C168" s="15" t="s">
        <v>74</v>
      </c>
      <c r="D168" s="15" t="s">
        <v>1425</v>
      </c>
      <c r="E168" s="15" t="s">
        <v>662</v>
      </c>
      <c r="F168" s="15" t="s">
        <v>715</v>
      </c>
      <c r="G168" s="15"/>
      <c r="H168" s="16" t="n">
        <v>910</v>
      </c>
      <c r="I168" s="15" t="n">
        <v>56</v>
      </c>
      <c r="J168" s="15" t="s">
        <v>5159</v>
      </c>
      <c r="K168" s="15" t="s">
        <v>5440</v>
      </c>
      <c r="L168" s="15" t="n">
        <v>1</v>
      </c>
      <c r="M168" s="15" t="s">
        <v>5161</v>
      </c>
      <c r="N168" s="18" t="str">
        <f aca="false">IFERROR(IF(ISNUMBER(SEARCH(D168,INDEX(Pages!$J$2:$J$824,MATCH(A168,Pages!$B$2:$B$824,0)))),"Yes","No"),"Page not found")</f>
        <v>No</v>
      </c>
      <c r="O168" s="3" t="s">
        <v>5224</v>
      </c>
      <c r="P168" s="3"/>
    </row>
    <row r="169" customFormat="false" ht="15" hidden="false" customHeight="false" outlineLevel="0" collapsed="false">
      <c r="A169" s="15" t="s">
        <v>1295</v>
      </c>
      <c r="B169" s="15" t="s">
        <v>656</v>
      </c>
      <c r="C169" s="15" t="s">
        <v>84</v>
      </c>
      <c r="D169" s="15" t="s">
        <v>1299</v>
      </c>
      <c r="E169" s="15" t="s">
        <v>662</v>
      </c>
      <c r="F169" s="15" t="s">
        <v>657</v>
      </c>
      <c r="G169" s="15"/>
      <c r="H169" s="16" t="n">
        <v>900</v>
      </c>
      <c r="I169" s="15" t="n">
        <v>57</v>
      </c>
      <c r="J169" s="15" t="s">
        <v>5159</v>
      </c>
      <c r="K169" s="15" t="s">
        <v>5321</v>
      </c>
      <c r="L169" s="15" t="n">
        <v>2</v>
      </c>
      <c r="M169" s="15" t="s">
        <v>5161</v>
      </c>
      <c r="N169" s="18" t="str">
        <f aca="false">IFERROR(IF(ISNUMBER(SEARCH(D169,INDEX(Pages!$J$2:$J$824,MATCH(A169,Pages!$B$2:$B$824,0)))),"Yes","No"),"Page not found")</f>
        <v>No</v>
      </c>
      <c r="O169" s="3" t="s">
        <v>5192</v>
      </c>
      <c r="P169" s="3"/>
    </row>
    <row r="170" customFormat="false" ht="15" hidden="false" customHeight="false" outlineLevel="0" collapsed="false">
      <c r="A170" s="15" t="s">
        <v>409</v>
      </c>
      <c r="B170" s="15" t="s">
        <v>384</v>
      </c>
      <c r="C170" s="15" t="s">
        <v>89</v>
      </c>
      <c r="D170" s="15" t="s">
        <v>413</v>
      </c>
      <c r="E170" s="15" t="s">
        <v>147</v>
      </c>
      <c r="F170" s="15"/>
      <c r="G170" s="15"/>
      <c r="H170" s="16" t="n">
        <v>880</v>
      </c>
      <c r="I170" s="15" t="n">
        <v>45</v>
      </c>
      <c r="J170" s="15" t="s">
        <v>5159</v>
      </c>
      <c r="K170" s="15" t="s">
        <v>5193</v>
      </c>
      <c r="L170" s="15" t="n">
        <v>3</v>
      </c>
      <c r="M170" s="15" t="s">
        <v>5161</v>
      </c>
      <c r="N170" s="18" t="str">
        <f aca="false">IFERROR(IF(ISNUMBER(SEARCH(D170,INDEX(Pages!$J$2:$J$824,MATCH(A170,Pages!$B$2:$B$824,0)))),"Yes","No"),"Page not found")</f>
        <v>No</v>
      </c>
      <c r="O170" s="3" t="s">
        <v>5420</v>
      </c>
      <c r="P170" s="3" t="s">
        <v>5441</v>
      </c>
    </row>
    <row r="171" customFormat="false" ht="15" hidden="false" customHeight="false" outlineLevel="0" collapsed="false">
      <c r="A171" s="15" t="s">
        <v>445</v>
      </c>
      <c r="B171" s="15" t="s">
        <v>384</v>
      </c>
      <c r="C171" s="15" t="s">
        <v>82</v>
      </c>
      <c r="D171" s="15" t="s">
        <v>449</v>
      </c>
      <c r="E171" s="15" t="s">
        <v>147</v>
      </c>
      <c r="F171" s="15"/>
      <c r="G171" s="15"/>
      <c r="H171" s="16" t="n">
        <v>880</v>
      </c>
      <c r="I171" s="15" t="n">
        <v>35</v>
      </c>
      <c r="J171" s="15" t="s">
        <v>5159</v>
      </c>
      <c r="K171" s="15" t="s">
        <v>5339</v>
      </c>
      <c r="L171" s="15" t="n">
        <v>3</v>
      </c>
      <c r="M171" s="15" t="s">
        <v>5161</v>
      </c>
      <c r="N171" s="18" t="str">
        <f aca="false">IFERROR(IF(ISNUMBER(SEARCH(D171,INDEX(Pages!$J$2:$J$824,MATCH(A171,Pages!$B$2:$B$824,0)))),"Yes","No"),"Page not found")</f>
        <v>No</v>
      </c>
      <c r="O171" s="3" t="s">
        <v>5182</v>
      </c>
      <c r="P171" s="3"/>
    </row>
    <row r="172" customFormat="false" ht="15" hidden="false" customHeight="false" outlineLevel="0" collapsed="false">
      <c r="A172" s="15" t="s">
        <v>457</v>
      </c>
      <c r="B172" s="15" t="s">
        <v>384</v>
      </c>
      <c r="C172" s="15" t="s">
        <v>82</v>
      </c>
      <c r="D172" s="15" t="s">
        <v>461</v>
      </c>
      <c r="E172" s="15" t="s">
        <v>147</v>
      </c>
      <c r="F172" s="15"/>
      <c r="G172" s="15"/>
      <c r="H172" s="16" t="n">
        <v>880</v>
      </c>
      <c r="I172" s="15" t="n">
        <v>45</v>
      </c>
      <c r="J172" s="15" t="s">
        <v>5159</v>
      </c>
      <c r="K172" s="15" t="s">
        <v>5160</v>
      </c>
      <c r="L172" s="15" t="n">
        <v>3</v>
      </c>
      <c r="M172" s="15" t="s">
        <v>5161</v>
      </c>
      <c r="N172" s="18" t="str">
        <f aca="false">IFERROR(IF(ISNUMBER(SEARCH(D172,INDEX(Pages!$J$2:$J$824,MATCH(A172,Pages!$B$2:$B$824,0)))),"Yes","No"),"Page not found")</f>
        <v>No</v>
      </c>
      <c r="O172" s="3" t="s">
        <v>5182</v>
      </c>
      <c r="P172" s="3" t="s">
        <v>5373</v>
      </c>
    </row>
    <row r="173" customFormat="false" ht="15" hidden="false" customHeight="false" outlineLevel="0" collapsed="false">
      <c r="A173" s="15" t="s">
        <v>529</v>
      </c>
      <c r="B173" s="15" t="s">
        <v>384</v>
      </c>
      <c r="C173" s="15" t="s">
        <v>84</v>
      </c>
      <c r="D173" s="15" t="s">
        <v>533</v>
      </c>
      <c r="E173" s="15" t="s">
        <v>147</v>
      </c>
      <c r="F173" s="15"/>
      <c r="G173" s="15"/>
      <c r="H173" s="16" t="n">
        <v>880</v>
      </c>
      <c r="I173" s="15" t="n">
        <v>40</v>
      </c>
      <c r="J173" s="15" t="s">
        <v>5159</v>
      </c>
      <c r="K173" s="15" t="s">
        <v>5372</v>
      </c>
      <c r="L173" s="15" t="n">
        <v>2</v>
      </c>
      <c r="M173" s="15" t="s">
        <v>5161</v>
      </c>
      <c r="N173" s="18" t="str">
        <f aca="false">IFERROR(IF(ISNUMBER(SEARCH(D173,INDEX(Pages!$J$2:$J$824,MATCH(A173,Pages!$B$2:$B$824,0)))),"Yes","No"),"Page not found")</f>
        <v>No</v>
      </c>
      <c r="O173" s="3" t="s">
        <v>5442</v>
      </c>
      <c r="P173" s="3" t="s">
        <v>5443</v>
      </c>
    </row>
    <row r="174" customFormat="false" ht="23.85" hidden="false" customHeight="false" outlineLevel="0" collapsed="false">
      <c r="A174" s="15" t="s">
        <v>3785</v>
      </c>
      <c r="B174" s="15" t="s">
        <v>2076</v>
      </c>
      <c r="C174" s="15" t="s">
        <v>74</v>
      </c>
      <c r="D174" s="15" t="s">
        <v>3789</v>
      </c>
      <c r="E174" s="15" t="s">
        <v>104</v>
      </c>
      <c r="F174" s="15" t="s">
        <v>715</v>
      </c>
      <c r="G174" s="15" t="s">
        <v>2379</v>
      </c>
      <c r="H174" s="16" t="n">
        <v>880</v>
      </c>
      <c r="I174" s="15" t="n">
        <v>51</v>
      </c>
      <c r="J174" s="15" t="s">
        <v>5227</v>
      </c>
      <c r="K174" s="15" t="s">
        <v>5444</v>
      </c>
      <c r="L174" s="15" t="n">
        <v>1</v>
      </c>
      <c r="M174" s="15" t="s">
        <v>5161</v>
      </c>
      <c r="N174" s="18" t="str">
        <f aca="false">IFERROR(IF(ISNUMBER(SEARCH(D174,INDEX(Pages!$J$2:$J$824,MATCH(A174,Pages!$B$2:$B$824,0)))),"Yes","No"),"Page not found")</f>
        <v>Yes</v>
      </c>
      <c r="O174" s="3" t="s">
        <v>5445</v>
      </c>
      <c r="P174" s="3" t="s">
        <v>5230</v>
      </c>
    </row>
    <row r="175" customFormat="false" ht="15" hidden="false" customHeight="false" outlineLevel="0" collapsed="false">
      <c r="A175" s="15" t="s">
        <v>5013</v>
      </c>
      <c r="B175" s="15" t="s">
        <v>5000</v>
      </c>
      <c r="C175" s="15" t="s">
        <v>85</v>
      </c>
      <c r="D175" s="15" t="s">
        <v>5017</v>
      </c>
      <c r="E175" s="15" t="s">
        <v>662</v>
      </c>
      <c r="F175" s="15" t="s">
        <v>666</v>
      </c>
      <c r="G175" s="15"/>
      <c r="H175" s="16" t="n">
        <v>480</v>
      </c>
      <c r="I175" s="15" t="n">
        <v>30</v>
      </c>
      <c r="J175" s="15" t="s">
        <v>5177</v>
      </c>
      <c r="K175" s="15" t="s">
        <v>5285</v>
      </c>
      <c r="L175" s="15" t="n">
        <v>2</v>
      </c>
      <c r="M175" s="15" t="s">
        <v>5161</v>
      </c>
      <c r="N175" s="18" t="str">
        <f aca="false">IFERROR(IF(ISNUMBER(SEARCH(D175,INDEX(Pages!$J$2:$J$824,MATCH(A175,Pages!$B$2:$B$824,0)))),"Yes","No"),"Page not found")</f>
        <v>No</v>
      </c>
      <c r="O175" s="3" t="s">
        <v>5446</v>
      </c>
      <c r="P175" s="3" t="s">
        <v>5447</v>
      </c>
    </row>
    <row r="176" customFormat="false" ht="15" hidden="false" customHeight="false" outlineLevel="0" collapsed="false">
      <c r="A176" s="15" t="s">
        <v>5013</v>
      </c>
      <c r="B176" s="15" t="s">
        <v>5000</v>
      </c>
      <c r="C176" s="15" t="s">
        <v>85</v>
      </c>
      <c r="D176" s="15" t="s">
        <v>5448</v>
      </c>
      <c r="E176" s="15" t="s">
        <v>147</v>
      </c>
      <c r="F176" s="15"/>
      <c r="G176" s="15"/>
      <c r="H176" s="16" t="n">
        <v>390</v>
      </c>
      <c r="I176" s="15" t="n">
        <v>25</v>
      </c>
      <c r="J176" s="15" t="s">
        <v>5177</v>
      </c>
      <c r="K176" s="15" t="s">
        <v>5285</v>
      </c>
      <c r="L176" s="15" t="n">
        <v>1</v>
      </c>
      <c r="M176" s="15" t="s">
        <v>5165</v>
      </c>
      <c r="N176" s="18" t="str">
        <f aca="false">IFERROR(IF(ISNUMBER(SEARCH(D176,INDEX(Pages!$J$2:$J$824,MATCH(A176,Pages!$B$2:$B$824,0)))),"Yes","No"),"Page not found")</f>
        <v>No</v>
      </c>
      <c r="O176" s="3" t="s">
        <v>5408</v>
      </c>
      <c r="P176" s="3"/>
    </row>
    <row r="177" customFormat="false" ht="23.85" hidden="false" customHeight="false" outlineLevel="0" collapsed="false">
      <c r="A177" s="15" t="s">
        <v>535</v>
      </c>
      <c r="B177" s="15" t="s">
        <v>384</v>
      </c>
      <c r="C177" s="15" t="s">
        <v>84</v>
      </c>
      <c r="D177" s="15" t="s">
        <v>539</v>
      </c>
      <c r="E177" s="15" t="s">
        <v>147</v>
      </c>
      <c r="F177" s="15"/>
      <c r="G177" s="15"/>
      <c r="H177" s="16" t="n">
        <v>480</v>
      </c>
      <c r="I177" s="15" t="n">
        <v>25</v>
      </c>
      <c r="J177" s="15" t="s">
        <v>5159</v>
      </c>
      <c r="K177" s="15" t="s">
        <v>5372</v>
      </c>
      <c r="L177" s="15" t="n">
        <v>2</v>
      </c>
      <c r="M177" s="15" t="s">
        <v>5161</v>
      </c>
      <c r="N177" s="18" t="str">
        <f aca="false">IFERROR(IF(ISNUMBER(SEARCH(D177,INDEX(Pages!$J$2:$J$824,MATCH(A177,Pages!$B$2:$B$824,0)))),"Yes","No"),"Page not found")</f>
        <v>No</v>
      </c>
      <c r="O177" s="3" t="s">
        <v>5449</v>
      </c>
      <c r="P177" s="3" t="s">
        <v>5450</v>
      </c>
    </row>
    <row r="178" customFormat="false" ht="15" hidden="false" customHeight="false" outlineLevel="0" collapsed="false">
      <c r="A178" s="15" t="s">
        <v>535</v>
      </c>
      <c r="B178" s="15" t="s">
        <v>384</v>
      </c>
      <c r="C178" s="15" t="s">
        <v>84</v>
      </c>
      <c r="D178" s="15" t="s">
        <v>5451</v>
      </c>
      <c r="E178" s="15" t="s">
        <v>147</v>
      </c>
      <c r="F178" s="15"/>
      <c r="G178" s="15"/>
      <c r="H178" s="16" t="n">
        <v>390</v>
      </c>
      <c r="I178" s="15" t="n">
        <v>30</v>
      </c>
      <c r="J178" s="15" t="s">
        <v>5159</v>
      </c>
      <c r="K178" s="15" t="s">
        <v>5372</v>
      </c>
      <c r="L178" s="15" t="n">
        <v>2</v>
      </c>
      <c r="M178" s="15" t="s">
        <v>5165</v>
      </c>
      <c r="N178" s="18" t="str">
        <f aca="false">IFERROR(IF(ISNUMBER(SEARCH(D178,INDEX(Pages!$J$2:$J$824,MATCH(A178,Pages!$B$2:$B$824,0)))),"Yes","No"),"Page not found")</f>
        <v>No</v>
      </c>
      <c r="O178" s="3" t="s">
        <v>5452</v>
      </c>
      <c r="P178" s="3" t="s">
        <v>5453</v>
      </c>
    </row>
    <row r="179" customFormat="false" ht="15" hidden="false" customHeight="false" outlineLevel="0" collapsed="false">
      <c r="A179" s="15" t="s">
        <v>2555</v>
      </c>
      <c r="B179" s="15" t="s">
        <v>2076</v>
      </c>
      <c r="C179" s="15" t="s">
        <v>82</v>
      </c>
      <c r="D179" s="15" t="s">
        <v>2559</v>
      </c>
      <c r="E179" s="15" t="s">
        <v>104</v>
      </c>
      <c r="F179" s="15" t="s">
        <v>666</v>
      </c>
      <c r="G179" s="15" t="s">
        <v>2162</v>
      </c>
      <c r="H179" s="16" t="n">
        <v>860</v>
      </c>
      <c r="I179" s="15" t="n">
        <v>76</v>
      </c>
      <c r="J179" s="15" t="s">
        <v>5227</v>
      </c>
      <c r="K179" s="15" t="s">
        <v>5228</v>
      </c>
      <c r="L179" s="15" t="n">
        <v>4</v>
      </c>
      <c r="M179" s="15" t="s">
        <v>5161</v>
      </c>
      <c r="N179" s="18" t="str">
        <f aca="false">IFERROR(IF(ISNUMBER(SEARCH(D179,INDEX(Pages!$J$2:$J$824,MATCH(A179,Pages!$B$2:$B$824,0)))),"Yes","No"),"Page not found")</f>
        <v>Yes</v>
      </c>
      <c r="O179" s="3" t="s">
        <v>5182</v>
      </c>
      <c r="P179" s="3" t="s">
        <v>5377</v>
      </c>
    </row>
    <row r="180" customFormat="false" ht="15" hidden="false" customHeight="false" outlineLevel="0" collapsed="false">
      <c r="A180" s="15" t="s">
        <v>2663</v>
      </c>
      <c r="B180" s="15" t="s">
        <v>2076</v>
      </c>
      <c r="C180" s="15" t="s">
        <v>82</v>
      </c>
      <c r="D180" s="15" t="s">
        <v>2667</v>
      </c>
      <c r="E180" s="15" t="s">
        <v>104</v>
      </c>
      <c r="F180" s="15" t="s">
        <v>715</v>
      </c>
      <c r="G180" s="15" t="s">
        <v>2288</v>
      </c>
      <c r="H180" s="16" t="n">
        <v>560</v>
      </c>
      <c r="I180" s="15" t="n">
        <v>76</v>
      </c>
      <c r="J180" s="15" t="s">
        <v>5227</v>
      </c>
      <c r="K180" s="15" t="s">
        <v>5228</v>
      </c>
      <c r="L180" s="15" t="n">
        <v>3</v>
      </c>
      <c r="M180" s="15" t="s">
        <v>5161</v>
      </c>
      <c r="N180" s="18" t="str">
        <f aca="false">IFERROR(IF(ISNUMBER(SEARCH(D180,INDEX(Pages!$J$2:$J$824,MATCH(A180,Pages!$B$2:$B$824,0)))),"Yes","No"),"Page not found")</f>
        <v>Yes</v>
      </c>
      <c r="O180" s="3" t="s">
        <v>5182</v>
      </c>
      <c r="P180" s="3"/>
    </row>
    <row r="181" customFormat="false" ht="15" hidden="false" customHeight="false" outlineLevel="0" collapsed="false">
      <c r="A181" s="15" t="s">
        <v>2663</v>
      </c>
      <c r="B181" s="15" t="s">
        <v>2076</v>
      </c>
      <c r="C181" s="15" t="s">
        <v>82</v>
      </c>
      <c r="D181" s="15" t="s">
        <v>5454</v>
      </c>
      <c r="E181" s="15" t="s">
        <v>104</v>
      </c>
      <c r="F181" s="15" t="s">
        <v>715</v>
      </c>
      <c r="G181" s="15" t="s">
        <v>2288</v>
      </c>
      <c r="H181" s="16" t="n">
        <v>190</v>
      </c>
      <c r="I181" s="15" t="n">
        <v>71</v>
      </c>
      <c r="J181" s="15" t="s">
        <v>5169</v>
      </c>
      <c r="K181" s="15" t="s">
        <v>5228</v>
      </c>
      <c r="L181" s="15" t="n">
        <v>4</v>
      </c>
      <c r="M181" s="15" t="s">
        <v>5165</v>
      </c>
      <c r="N181" s="18" t="str">
        <f aca="false">IFERROR(IF(ISNUMBER(SEARCH(D181,INDEX(Pages!$J$2:$J$824,MATCH(A181,Pages!$B$2:$B$824,0)))),"Yes","No"),"Page not found")</f>
        <v>No</v>
      </c>
      <c r="O181" s="3" t="s">
        <v>5182</v>
      </c>
      <c r="P181" s="3" t="s">
        <v>5232</v>
      </c>
    </row>
    <row r="182" customFormat="false" ht="23.85" hidden="false" customHeight="false" outlineLevel="0" collapsed="false">
      <c r="A182" s="15" t="s">
        <v>2663</v>
      </c>
      <c r="B182" s="15" t="s">
        <v>2076</v>
      </c>
      <c r="C182" s="15" t="s">
        <v>82</v>
      </c>
      <c r="D182" s="15" t="s">
        <v>5455</v>
      </c>
      <c r="E182" s="15" t="s">
        <v>104</v>
      </c>
      <c r="F182" s="15" t="s">
        <v>715</v>
      </c>
      <c r="G182" s="15" t="s">
        <v>2288</v>
      </c>
      <c r="H182" s="16" t="n">
        <v>110</v>
      </c>
      <c r="I182" s="15" t="n">
        <v>71</v>
      </c>
      <c r="J182" s="15" t="s">
        <v>5177</v>
      </c>
      <c r="K182" s="15" t="s">
        <v>5228</v>
      </c>
      <c r="L182" s="15" t="n">
        <v>5</v>
      </c>
      <c r="M182" s="15" t="s">
        <v>5165</v>
      </c>
      <c r="N182" s="18" t="str">
        <f aca="false">IFERROR(IF(ISNUMBER(SEARCH(D182,INDEX(Pages!$J$2:$J$824,MATCH(A182,Pages!$B$2:$B$824,0)))),"Yes","No"),"Page not found")</f>
        <v>No</v>
      </c>
      <c r="O182" s="3" t="s">
        <v>5182</v>
      </c>
      <c r="P182" s="3" t="s">
        <v>5234</v>
      </c>
    </row>
    <row r="183" customFormat="false" ht="15" hidden="false" customHeight="false" outlineLevel="0" collapsed="false">
      <c r="A183" s="15" t="s">
        <v>2717</v>
      </c>
      <c r="B183" s="15" t="s">
        <v>2076</v>
      </c>
      <c r="C183" s="15" t="s">
        <v>82</v>
      </c>
      <c r="D183" s="15" t="s">
        <v>2721</v>
      </c>
      <c r="E183" s="15" t="s">
        <v>104</v>
      </c>
      <c r="F183" s="15" t="s">
        <v>715</v>
      </c>
      <c r="G183" s="15" t="s">
        <v>2351</v>
      </c>
      <c r="H183" s="16" t="n">
        <v>850</v>
      </c>
      <c r="I183" s="15" t="n">
        <v>64</v>
      </c>
      <c r="J183" s="15" t="s">
        <v>5227</v>
      </c>
      <c r="K183" s="15" t="s">
        <v>5228</v>
      </c>
      <c r="L183" s="15" t="n">
        <v>2</v>
      </c>
      <c r="M183" s="15" t="s">
        <v>5161</v>
      </c>
      <c r="N183" s="18" t="str">
        <f aca="false">IFERROR(IF(ISNUMBER(SEARCH(D183,INDEX(Pages!$J$2:$J$824,MATCH(A183,Pages!$B$2:$B$824,0)))),"Yes","No"),"Page not found")</f>
        <v>Yes</v>
      </c>
      <c r="O183" s="3" t="s">
        <v>5212</v>
      </c>
      <c r="P183" s="3"/>
    </row>
    <row r="184" customFormat="false" ht="15" hidden="false" customHeight="false" outlineLevel="0" collapsed="false">
      <c r="A184" s="15" t="s">
        <v>3401</v>
      </c>
      <c r="B184" s="15" t="s">
        <v>2076</v>
      </c>
      <c r="C184" s="15" t="s">
        <v>84</v>
      </c>
      <c r="D184" s="15" t="s">
        <v>3405</v>
      </c>
      <c r="E184" s="15" t="s">
        <v>104</v>
      </c>
      <c r="F184" s="15" t="s">
        <v>715</v>
      </c>
      <c r="G184" s="15" t="s">
        <v>2337</v>
      </c>
      <c r="H184" s="16" t="n">
        <v>850</v>
      </c>
      <c r="I184" s="15" t="n">
        <v>56</v>
      </c>
      <c r="J184" s="15" t="s">
        <v>5227</v>
      </c>
      <c r="K184" s="15" t="s">
        <v>5392</v>
      </c>
      <c r="L184" s="15" t="n">
        <v>2</v>
      </c>
      <c r="M184" s="15" t="s">
        <v>5161</v>
      </c>
      <c r="N184" s="18" t="str">
        <f aca="false">IFERROR(IF(ISNUMBER(SEARCH(D184,INDEX(Pages!$J$2:$J$824,MATCH(A184,Pages!$B$2:$B$824,0)))),"Yes","No"),"Page not found")</f>
        <v>Yes</v>
      </c>
      <c r="O184" s="3" t="s">
        <v>5456</v>
      </c>
      <c r="P184" s="3"/>
    </row>
    <row r="185" customFormat="false" ht="15" hidden="false" customHeight="false" outlineLevel="0" collapsed="false">
      <c r="A185" s="15" t="s">
        <v>3191</v>
      </c>
      <c r="B185" s="15" t="s">
        <v>2076</v>
      </c>
      <c r="C185" s="15" t="s">
        <v>84</v>
      </c>
      <c r="D185" s="15" t="s">
        <v>3195</v>
      </c>
      <c r="E185" s="15" t="s">
        <v>104</v>
      </c>
      <c r="F185" s="15" t="s">
        <v>657</v>
      </c>
      <c r="G185" s="15" t="s">
        <v>2092</v>
      </c>
      <c r="H185" s="16" t="n">
        <v>840</v>
      </c>
      <c r="I185" s="15" t="n">
        <v>68</v>
      </c>
      <c r="J185" s="15" t="s">
        <v>5227</v>
      </c>
      <c r="K185" s="15" t="s">
        <v>5392</v>
      </c>
      <c r="L185" s="15" t="n">
        <v>2</v>
      </c>
      <c r="M185" s="15" t="s">
        <v>5161</v>
      </c>
      <c r="N185" s="18" t="str">
        <f aca="false">IFERROR(IF(ISNUMBER(SEARCH(D185,INDEX(Pages!$J$2:$J$824,MATCH(A185,Pages!$B$2:$B$824,0)))),"Yes","No"),"Page not found")</f>
        <v>Yes</v>
      </c>
      <c r="O185" s="3" t="s">
        <v>5226</v>
      </c>
      <c r="P185" s="3"/>
    </row>
    <row r="186" customFormat="false" ht="15" hidden="false" customHeight="false" outlineLevel="0" collapsed="false">
      <c r="A186" s="15" t="s">
        <v>2573</v>
      </c>
      <c r="B186" s="15" t="s">
        <v>2076</v>
      </c>
      <c r="C186" s="15" t="s">
        <v>82</v>
      </c>
      <c r="D186" s="15" t="s">
        <v>2577</v>
      </c>
      <c r="E186" s="15" t="s">
        <v>104</v>
      </c>
      <c r="F186" s="15" t="s">
        <v>673</v>
      </c>
      <c r="G186" s="15" t="s">
        <v>2183</v>
      </c>
      <c r="H186" s="16" t="n">
        <v>820</v>
      </c>
      <c r="I186" s="15" t="n">
        <v>64</v>
      </c>
      <c r="J186" s="15" t="s">
        <v>5227</v>
      </c>
      <c r="K186" s="15" t="s">
        <v>5228</v>
      </c>
      <c r="L186" s="15" t="n">
        <v>3</v>
      </c>
      <c r="M186" s="15" t="s">
        <v>5161</v>
      </c>
      <c r="N186" s="18" t="str">
        <f aca="false">IFERROR(IF(ISNUMBER(SEARCH(D186,INDEX(Pages!$J$2:$J$824,MATCH(A186,Pages!$B$2:$B$824,0)))),"Yes","No"),"Page not found")</f>
        <v>Yes</v>
      </c>
      <c r="O186" s="3" t="s">
        <v>5376</v>
      </c>
      <c r="P186" s="3" t="s">
        <v>5457</v>
      </c>
    </row>
    <row r="187" customFormat="false" ht="15" hidden="false" customHeight="false" outlineLevel="0" collapsed="false">
      <c r="A187" s="15" t="s">
        <v>767</v>
      </c>
      <c r="B187" s="15" t="s">
        <v>656</v>
      </c>
      <c r="C187" s="15" t="s">
        <v>82</v>
      </c>
      <c r="D187" s="15" t="s">
        <v>771</v>
      </c>
      <c r="E187" s="15" t="s">
        <v>662</v>
      </c>
      <c r="F187" s="15" t="s">
        <v>680</v>
      </c>
      <c r="G187" s="15"/>
      <c r="H187" s="16" t="n">
        <v>810</v>
      </c>
      <c r="I187" s="15" t="n">
        <v>57</v>
      </c>
      <c r="J187" s="15" t="s">
        <v>5159</v>
      </c>
      <c r="K187" s="15" t="s">
        <v>5225</v>
      </c>
      <c r="L187" s="15" t="n">
        <v>2</v>
      </c>
      <c r="M187" s="15" t="s">
        <v>5161</v>
      </c>
      <c r="N187" s="18" t="str">
        <f aca="false">IFERROR(IF(ISNUMBER(SEARCH(D187,INDEX(Pages!$J$2:$J$824,MATCH(A187,Pages!$B$2:$B$824,0)))),"Yes","No"),"Page not found")</f>
        <v>No</v>
      </c>
      <c r="O187" s="3" t="s">
        <v>5192</v>
      </c>
      <c r="P187" s="3"/>
    </row>
    <row r="188" customFormat="false" ht="15" hidden="false" customHeight="false" outlineLevel="0" collapsed="false">
      <c r="A188" s="15" t="s">
        <v>1763</v>
      </c>
      <c r="B188" s="15" t="s">
        <v>656</v>
      </c>
      <c r="C188" s="15" t="s">
        <v>86</v>
      </c>
      <c r="D188" s="15" t="s">
        <v>1767</v>
      </c>
      <c r="E188" s="15" t="s">
        <v>662</v>
      </c>
      <c r="F188" s="15" t="s">
        <v>657</v>
      </c>
      <c r="G188" s="15"/>
      <c r="H188" s="16" t="n">
        <v>500</v>
      </c>
      <c r="I188" s="15" t="n">
        <v>50</v>
      </c>
      <c r="J188" s="15" t="s">
        <v>5159</v>
      </c>
      <c r="K188" s="15" t="s">
        <v>5321</v>
      </c>
      <c r="L188" s="15" t="n">
        <v>4</v>
      </c>
      <c r="M188" s="15" t="s">
        <v>5161</v>
      </c>
      <c r="N188" s="18" t="str">
        <f aca="false">IFERROR(IF(ISNUMBER(SEARCH(D188,INDEX(Pages!$J$2:$J$824,MATCH(A188,Pages!$B$2:$B$824,0)))),"Yes","No"),"Page not found")</f>
        <v>No</v>
      </c>
      <c r="O188" s="3" t="s">
        <v>5192</v>
      </c>
      <c r="P188" s="3"/>
    </row>
    <row r="189" customFormat="false" ht="15" hidden="false" customHeight="false" outlineLevel="0" collapsed="false">
      <c r="A189" s="15" t="s">
        <v>1763</v>
      </c>
      <c r="B189" s="15" t="s">
        <v>656</v>
      </c>
      <c r="C189" s="15" t="s">
        <v>86</v>
      </c>
      <c r="D189" s="15" t="s">
        <v>5458</v>
      </c>
      <c r="E189" s="15" t="s">
        <v>662</v>
      </c>
      <c r="F189" s="15" t="s">
        <v>657</v>
      </c>
      <c r="G189" s="15"/>
      <c r="H189" s="16" t="n">
        <v>260</v>
      </c>
      <c r="I189" s="15" t="n">
        <v>25</v>
      </c>
      <c r="J189" s="15" t="s">
        <v>5177</v>
      </c>
      <c r="K189" s="15" t="s">
        <v>5285</v>
      </c>
      <c r="L189" s="15" t="n">
        <v>3</v>
      </c>
      <c r="M189" s="15" t="s">
        <v>5165</v>
      </c>
      <c r="N189" s="18" t="str">
        <f aca="false">IFERROR(IF(ISNUMBER(SEARCH(D189,INDEX(Pages!$J$2:$J$824,MATCH(A189,Pages!$B$2:$B$824,0)))),"Yes","No"),"Page not found")</f>
        <v>No</v>
      </c>
      <c r="O189" s="3" t="s">
        <v>5323</v>
      </c>
      <c r="P189" s="3"/>
    </row>
    <row r="190" customFormat="false" ht="15" hidden="false" customHeight="false" outlineLevel="0" collapsed="false">
      <c r="A190" s="15" t="s">
        <v>5055</v>
      </c>
      <c r="B190" s="15" t="s">
        <v>5000</v>
      </c>
      <c r="C190" s="15" t="s">
        <v>74</v>
      </c>
      <c r="D190" s="15" t="s">
        <v>587</v>
      </c>
      <c r="E190" s="15" t="s">
        <v>147</v>
      </c>
      <c r="F190" s="15"/>
      <c r="G190" s="15"/>
      <c r="H190" s="16" t="n">
        <v>480</v>
      </c>
      <c r="I190" s="15" t="n">
        <v>30</v>
      </c>
      <c r="J190" s="15" t="s">
        <v>5159</v>
      </c>
      <c r="K190" s="15" t="s">
        <v>5406</v>
      </c>
      <c r="L190" s="15" t="n">
        <v>1</v>
      </c>
      <c r="M190" s="15" t="s">
        <v>5161</v>
      </c>
      <c r="N190" s="18" t="str">
        <f aca="false">IFERROR(IF(ISNUMBER(SEARCH(D190,INDEX(Pages!$J$2:$J$824,MATCH(A190,Pages!$B$2:$B$824,0)))),"Yes","No"),"Page not found")</f>
        <v>Yes</v>
      </c>
      <c r="O190" s="3" t="s">
        <v>5459</v>
      </c>
      <c r="P190" s="3" t="s">
        <v>5460</v>
      </c>
    </row>
    <row r="191" customFormat="false" ht="15" hidden="false" customHeight="false" outlineLevel="0" collapsed="false">
      <c r="A191" s="15" t="s">
        <v>5055</v>
      </c>
      <c r="B191" s="15" t="s">
        <v>5000</v>
      </c>
      <c r="C191" s="15" t="s">
        <v>74</v>
      </c>
      <c r="D191" s="15" t="s">
        <v>5461</v>
      </c>
      <c r="E191" s="15" t="s">
        <v>147</v>
      </c>
      <c r="F191" s="15"/>
      <c r="G191" s="15"/>
      <c r="H191" s="16" t="n">
        <v>260</v>
      </c>
      <c r="I191" s="15" t="n">
        <v>20</v>
      </c>
      <c r="J191" s="15" t="s">
        <v>5159</v>
      </c>
      <c r="K191" s="15" t="s">
        <v>5406</v>
      </c>
      <c r="L191" s="15" t="n">
        <v>1</v>
      </c>
      <c r="M191" s="15" t="s">
        <v>5165</v>
      </c>
      <c r="N191" s="18" t="str">
        <f aca="false">IFERROR(IF(ISNUMBER(SEARCH(D191,INDEX(Pages!$J$2:$J$824,MATCH(A191,Pages!$B$2:$B$824,0)))),"Yes","No"),"Page not found")</f>
        <v>No</v>
      </c>
      <c r="O191" s="3" t="s">
        <v>5462</v>
      </c>
      <c r="P191" s="3"/>
    </row>
    <row r="192" customFormat="false" ht="15" hidden="false" customHeight="false" outlineLevel="0" collapsed="false">
      <c r="A192" s="15" t="s">
        <v>875</v>
      </c>
      <c r="B192" s="15" t="s">
        <v>656</v>
      </c>
      <c r="C192" s="15" t="s">
        <v>85</v>
      </c>
      <c r="D192" s="15" t="s">
        <v>879</v>
      </c>
      <c r="E192" s="15" t="s">
        <v>662</v>
      </c>
      <c r="F192" s="15" t="s">
        <v>715</v>
      </c>
      <c r="G192" s="15"/>
      <c r="H192" s="16" t="n">
        <v>730</v>
      </c>
      <c r="I192" s="15" t="n">
        <v>59</v>
      </c>
      <c r="J192" s="15" t="s">
        <v>5159</v>
      </c>
      <c r="K192" s="15" t="s">
        <v>5321</v>
      </c>
      <c r="L192" s="15" t="n">
        <v>3</v>
      </c>
      <c r="M192" s="15" t="s">
        <v>5161</v>
      </c>
      <c r="N192" s="18" t="str">
        <f aca="false">IFERROR(IF(ISNUMBER(SEARCH(D192,INDEX(Pages!$J$2:$J$824,MATCH(A192,Pages!$B$2:$B$824,0)))),"Yes","No"),"Page not found")</f>
        <v>No</v>
      </c>
      <c r="O192" s="3" t="s">
        <v>5226</v>
      </c>
      <c r="P192" s="3"/>
    </row>
    <row r="193" customFormat="false" ht="15" hidden="false" customHeight="false" outlineLevel="0" collapsed="false">
      <c r="A193" s="15" t="s">
        <v>5072</v>
      </c>
      <c r="B193" s="15" t="s">
        <v>5000</v>
      </c>
      <c r="C193" s="15" t="s">
        <v>78</v>
      </c>
      <c r="D193" s="15" t="s">
        <v>5076</v>
      </c>
      <c r="E193" s="15" t="s">
        <v>147</v>
      </c>
      <c r="F193" s="15"/>
      <c r="G193" s="15"/>
      <c r="H193" s="16" t="n">
        <v>720</v>
      </c>
      <c r="I193" s="15" t="n">
        <v>25</v>
      </c>
      <c r="J193" s="15" t="s">
        <v>5177</v>
      </c>
      <c r="K193" s="15" t="s">
        <v>5216</v>
      </c>
      <c r="L193" s="15" t="n">
        <v>1</v>
      </c>
      <c r="M193" s="15" t="s">
        <v>5161</v>
      </c>
      <c r="N193" s="18" t="str">
        <f aca="false">IFERROR(IF(ISNUMBER(SEARCH(D193,INDEX(Pages!$J$2:$J$824,MATCH(A193,Pages!$B$2:$B$824,0)))),"Yes","No"),"Page not found")</f>
        <v>No</v>
      </c>
      <c r="O193" s="3" t="s">
        <v>5463</v>
      </c>
      <c r="P193" s="3" t="s">
        <v>5464</v>
      </c>
    </row>
    <row r="194" customFormat="false" ht="15" hidden="false" customHeight="false" outlineLevel="0" collapsed="false">
      <c r="A194" s="15" t="s">
        <v>5078</v>
      </c>
      <c r="B194" s="15" t="s">
        <v>5000</v>
      </c>
      <c r="C194" s="15" t="s">
        <v>89</v>
      </c>
      <c r="D194" s="15" t="s">
        <v>5082</v>
      </c>
      <c r="E194" s="15" t="s">
        <v>147</v>
      </c>
      <c r="F194" s="15"/>
      <c r="G194" s="15"/>
      <c r="H194" s="16" t="n">
        <v>720</v>
      </c>
      <c r="I194" s="15" t="n">
        <v>40</v>
      </c>
      <c r="J194" s="15" t="s">
        <v>5177</v>
      </c>
      <c r="K194" s="15" t="s">
        <v>5193</v>
      </c>
      <c r="L194" s="15" t="n">
        <v>1</v>
      </c>
      <c r="M194" s="15" t="s">
        <v>5161</v>
      </c>
      <c r="N194" s="18" t="str">
        <f aca="false">IFERROR(IF(ISNUMBER(SEARCH(D194,INDEX(Pages!$J$2:$J$824,MATCH(A194,Pages!$B$2:$B$824,0)))),"Yes","No"),"Page not found")</f>
        <v>Yes</v>
      </c>
      <c r="O194" s="3" t="s">
        <v>5465</v>
      </c>
      <c r="P194" s="3"/>
    </row>
    <row r="195" customFormat="false" ht="15" hidden="false" customHeight="false" outlineLevel="0" collapsed="false">
      <c r="A195" s="15" t="s">
        <v>541</v>
      </c>
      <c r="B195" s="15" t="s">
        <v>384</v>
      </c>
      <c r="C195" s="15" t="s">
        <v>84</v>
      </c>
      <c r="D195" s="15" t="s">
        <v>545</v>
      </c>
      <c r="E195" s="15" t="s">
        <v>147</v>
      </c>
      <c r="F195" s="15"/>
      <c r="G195" s="15"/>
      <c r="H195" s="16" t="n">
        <v>720</v>
      </c>
      <c r="I195" s="15" t="n">
        <v>30</v>
      </c>
      <c r="J195" s="15" t="s">
        <v>5159</v>
      </c>
      <c r="K195" s="15" t="s">
        <v>5372</v>
      </c>
      <c r="L195" s="15" t="n">
        <v>3</v>
      </c>
      <c r="M195" s="15" t="s">
        <v>5161</v>
      </c>
      <c r="N195" s="18" t="str">
        <f aca="false">IFERROR(IF(ISNUMBER(SEARCH(D195,INDEX(Pages!$J$2:$J$824,MATCH(A195,Pages!$B$2:$B$824,0)))),"Yes","No"),"Page not found")</f>
        <v>No</v>
      </c>
      <c r="O195" s="3" t="s">
        <v>5376</v>
      </c>
      <c r="P195" s="3"/>
    </row>
    <row r="196" customFormat="false" ht="15" hidden="false" customHeight="false" outlineLevel="0" collapsed="false">
      <c r="A196" s="15" t="s">
        <v>547</v>
      </c>
      <c r="B196" s="15" t="s">
        <v>384</v>
      </c>
      <c r="C196" s="15" t="s">
        <v>87</v>
      </c>
      <c r="D196" s="15" t="s">
        <v>551</v>
      </c>
      <c r="E196" s="15" t="s">
        <v>147</v>
      </c>
      <c r="F196" s="15"/>
      <c r="G196" s="15"/>
      <c r="H196" s="16" t="n">
        <v>720</v>
      </c>
      <c r="I196" s="15" t="n">
        <v>35</v>
      </c>
      <c r="J196" s="15" t="s">
        <v>5159</v>
      </c>
      <c r="K196" s="15" t="s">
        <v>5372</v>
      </c>
      <c r="L196" s="15" t="n">
        <v>2</v>
      </c>
      <c r="M196" s="15" t="s">
        <v>5161</v>
      </c>
      <c r="N196" s="18" t="str">
        <f aca="false">IFERROR(IF(ISNUMBER(SEARCH(D196,INDEX(Pages!$J$2:$J$824,MATCH(A196,Pages!$B$2:$B$824,0)))),"Yes","No"),"Page not found")</f>
        <v>No</v>
      </c>
      <c r="O196" s="3" t="s">
        <v>5355</v>
      </c>
      <c r="P196" s="3" t="s">
        <v>5466</v>
      </c>
    </row>
    <row r="197" customFormat="false" ht="15" hidden="false" customHeight="false" outlineLevel="0" collapsed="false">
      <c r="A197" s="15" t="s">
        <v>631</v>
      </c>
      <c r="B197" s="15" t="s">
        <v>384</v>
      </c>
      <c r="C197" s="15" t="s">
        <v>80</v>
      </c>
      <c r="D197" s="15" t="s">
        <v>635</v>
      </c>
      <c r="E197" s="15" t="s">
        <v>147</v>
      </c>
      <c r="F197" s="15"/>
      <c r="G197" s="15"/>
      <c r="H197" s="16" t="n">
        <v>720</v>
      </c>
      <c r="I197" s="15" t="n">
        <v>40</v>
      </c>
      <c r="J197" s="15" t="s">
        <v>5159</v>
      </c>
      <c r="K197" s="15" t="s">
        <v>5235</v>
      </c>
      <c r="L197" s="15" t="n">
        <v>3</v>
      </c>
      <c r="M197" s="15" t="s">
        <v>5161</v>
      </c>
      <c r="N197" s="18" t="str">
        <f aca="false">IFERROR(IF(ISNUMBER(SEARCH(D197,INDEX(Pages!$J$2:$J$824,MATCH(A197,Pages!$B$2:$B$824,0)))),"Yes","No"),"Page not found")</f>
        <v>No</v>
      </c>
      <c r="O197" s="3" t="s">
        <v>5224</v>
      </c>
      <c r="P197" s="3" t="s">
        <v>5373</v>
      </c>
    </row>
    <row r="198" customFormat="false" ht="15" hidden="false" customHeight="false" outlineLevel="0" collapsed="false">
      <c r="A198" s="15" t="s">
        <v>2549</v>
      </c>
      <c r="B198" s="15" t="s">
        <v>2076</v>
      </c>
      <c r="C198" s="15" t="s">
        <v>82</v>
      </c>
      <c r="D198" s="15" t="s">
        <v>2553</v>
      </c>
      <c r="E198" s="15" t="s">
        <v>104</v>
      </c>
      <c r="F198" s="15" t="s">
        <v>666</v>
      </c>
      <c r="G198" s="15" t="s">
        <v>2155</v>
      </c>
      <c r="H198" s="16" t="n">
        <v>710</v>
      </c>
      <c r="I198" s="15" t="n">
        <v>60</v>
      </c>
      <c r="J198" s="15" t="s">
        <v>5227</v>
      </c>
      <c r="K198" s="15" t="s">
        <v>5228</v>
      </c>
      <c r="L198" s="15" t="n">
        <v>3</v>
      </c>
      <c r="M198" s="15" t="s">
        <v>5161</v>
      </c>
      <c r="N198" s="18" t="str">
        <f aca="false">IFERROR(IF(ISNUMBER(SEARCH(D198,INDEX(Pages!$J$2:$J$824,MATCH(A198,Pages!$B$2:$B$824,0)))),"Yes","No"),"Page not found")</f>
        <v>Yes</v>
      </c>
      <c r="O198" s="3" t="s">
        <v>5426</v>
      </c>
      <c r="P198" s="3" t="s">
        <v>5377</v>
      </c>
    </row>
    <row r="199" customFormat="false" ht="23.85" hidden="false" customHeight="false" outlineLevel="0" collapsed="false">
      <c r="A199" s="15" t="s">
        <v>577</v>
      </c>
      <c r="B199" s="15" t="s">
        <v>384</v>
      </c>
      <c r="C199" s="15" t="s">
        <v>74</v>
      </c>
      <c r="D199" s="15" t="s">
        <v>581</v>
      </c>
      <c r="E199" s="15" t="s">
        <v>147</v>
      </c>
      <c r="F199" s="15"/>
      <c r="G199" s="15"/>
      <c r="H199" s="16" t="n">
        <v>390</v>
      </c>
      <c r="I199" s="15" t="n">
        <v>35</v>
      </c>
      <c r="J199" s="15" t="s">
        <v>5159</v>
      </c>
      <c r="K199" s="15" t="s">
        <v>5467</v>
      </c>
      <c r="L199" s="15" t="n">
        <v>3</v>
      </c>
      <c r="M199" s="15" t="s">
        <v>5161</v>
      </c>
      <c r="N199" s="18" t="str">
        <f aca="false">IFERROR(IF(ISNUMBER(SEARCH(D199,INDEX(Pages!$J$2:$J$824,MATCH(A199,Pages!$B$2:$B$824,0)))),"Yes","No"),"Page not found")</f>
        <v>No</v>
      </c>
      <c r="O199" s="3" t="s">
        <v>5224</v>
      </c>
      <c r="P199" s="3" t="s">
        <v>5468</v>
      </c>
    </row>
    <row r="200" customFormat="false" ht="23.85" hidden="false" customHeight="false" outlineLevel="0" collapsed="false">
      <c r="A200" s="15" t="s">
        <v>577</v>
      </c>
      <c r="B200" s="15" t="s">
        <v>384</v>
      </c>
      <c r="C200" s="15" t="s">
        <v>74</v>
      </c>
      <c r="D200" s="15" t="s">
        <v>5469</v>
      </c>
      <c r="E200" s="15" t="s">
        <v>147</v>
      </c>
      <c r="F200" s="15"/>
      <c r="G200" s="15"/>
      <c r="H200" s="16" t="n">
        <v>320</v>
      </c>
      <c r="I200" s="15" t="n">
        <v>30</v>
      </c>
      <c r="J200" s="15" t="s">
        <v>5159</v>
      </c>
      <c r="K200" s="15" t="s">
        <v>5467</v>
      </c>
      <c r="L200" s="15" t="n">
        <v>3</v>
      </c>
      <c r="M200" s="15" t="s">
        <v>5165</v>
      </c>
      <c r="N200" s="18" t="str">
        <f aca="false">IFERROR(IF(ISNUMBER(SEARCH(D200,INDEX(Pages!$J$2:$J$824,MATCH(A200,Pages!$B$2:$B$824,0)))),"Yes","No"),"Page not found")</f>
        <v>No</v>
      </c>
      <c r="O200" s="3" t="s">
        <v>5224</v>
      </c>
      <c r="P200" s="3" t="s">
        <v>5470</v>
      </c>
    </row>
    <row r="201" customFormat="false" ht="15" hidden="false" customHeight="false" outlineLevel="0" collapsed="false">
      <c r="A201" s="15" t="s">
        <v>4229</v>
      </c>
      <c r="B201" s="15" t="s">
        <v>2076</v>
      </c>
      <c r="C201" s="15" t="s">
        <v>86</v>
      </c>
      <c r="D201" s="15" t="s">
        <v>4233</v>
      </c>
      <c r="E201" s="15" t="s">
        <v>104</v>
      </c>
      <c r="F201" s="15" t="s">
        <v>657</v>
      </c>
      <c r="G201" s="15" t="s">
        <v>2084</v>
      </c>
      <c r="H201" s="16" t="n">
        <v>710</v>
      </c>
      <c r="I201" s="15" t="n">
        <v>60</v>
      </c>
      <c r="J201" s="15" t="s">
        <v>5227</v>
      </c>
      <c r="K201" s="15" t="s">
        <v>5392</v>
      </c>
      <c r="L201" s="15" t="n">
        <v>4</v>
      </c>
      <c r="M201" s="15" t="s">
        <v>5161</v>
      </c>
      <c r="N201" s="18" t="str">
        <f aca="false">IFERROR(IF(ISNUMBER(SEARCH(D201,INDEX(Pages!$J$2:$J$824,MATCH(A201,Pages!$B$2:$B$824,0)))),"Yes","No"),"Page not found")</f>
        <v>Yes</v>
      </c>
      <c r="O201" s="3" t="s">
        <v>5226</v>
      </c>
      <c r="P201" s="3"/>
    </row>
    <row r="202" customFormat="false" ht="15" hidden="false" customHeight="false" outlineLevel="0" collapsed="false">
      <c r="A202" s="15" t="s">
        <v>4885</v>
      </c>
      <c r="B202" s="15" t="s">
        <v>4572</v>
      </c>
      <c r="C202" s="15" t="s">
        <v>94</v>
      </c>
      <c r="D202" s="15" t="s">
        <v>4889</v>
      </c>
      <c r="E202" s="15" t="s">
        <v>104</v>
      </c>
      <c r="F202" s="15" t="s">
        <v>715</v>
      </c>
      <c r="G202" s="15" t="s">
        <v>2379</v>
      </c>
      <c r="H202" s="16" t="n">
        <v>680</v>
      </c>
      <c r="I202" s="15" t="n">
        <v>30</v>
      </c>
      <c r="J202" s="15" t="s">
        <v>5227</v>
      </c>
      <c r="K202" s="15" t="s">
        <v>5243</v>
      </c>
      <c r="L202" s="15" t="n">
        <v>1</v>
      </c>
      <c r="M202" s="15" t="s">
        <v>5161</v>
      </c>
      <c r="N202" s="18" t="str">
        <f aca="false">IFERROR(IF(ISNUMBER(SEARCH(D202,INDEX(Pages!$J$2:$J$824,MATCH(A202,Pages!$B$2:$B$824,0)))),"Yes","No"),"Page not found")</f>
        <v>No</v>
      </c>
      <c r="O202" s="3" t="s">
        <v>5471</v>
      </c>
      <c r="P202" s="3" t="s">
        <v>5472</v>
      </c>
    </row>
    <row r="203" customFormat="false" ht="15" hidden="false" customHeight="false" outlineLevel="0" collapsed="false">
      <c r="A203" s="15" t="s">
        <v>761</v>
      </c>
      <c r="B203" s="15" t="s">
        <v>656</v>
      </c>
      <c r="C203" s="15" t="s">
        <v>82</v>
      </c>
      <c r="D203" s="15" t="s">
        <v>765</v>
      </c>
      <c r="E203" s="15" t="s">
        <v>662</v>
      </c>
      <c r="F203" s="15" t="s">
        <v>673</v>
      </c>
      <c r="G203" s="15"/>
      <c r="H203" s="16" t="n">
        <v>660</v>
      </c>
      <c r="I203" s="15" t="n">
        <v>53</v>
      </c>
      <c r="J203" s="15" t="s">
        <v>5159</v>
      </c>
      <c r="K203" s="15" t="s">
        <v>5225</v>
      </c>
      <c r="L203" s="15" t="n">
        <v>4</v>
      </c>
      <c r="M203" s="15" t="s">
        <v>5161</v>
      </c>
      <c r="N203" s="18" t="str">
        <f aca="false">IFERROR(IF(ISNUMBER(SEARCH(D203,INDEX(Pages!$J$2:$J$824,MATCH(A203,Pages!$B$2:$B$824,0)))),"Yes","No"),"Page not found")</f>
        <v>No</v>
      </c>
      <c r="O203" s="3" t="s">
        <v>5376</v>
      </c>
      <c r="P203" s="3" t="s">
        <v>5457</v>
      </c>
    </row>
    <row r="204" customFormat="false" ht="15" hidden="false" customHeight="false" outlineLevel="0" collapsed="false">
      <c r="A204" s="15" t="s">
        <v>3269</v>
      </c>
      <c r="B204" s="15" t="s">
        <v>2076</v>
      </c>
      <c r="C204" s="15" t="s">
        <v>84</v>
      </c>
      <c r="D204" s="15" t="s">
        <v>3273</v>
      </c>
      <c r="E204" s="15" t="s">
        <v>104</v>
      </c>
      <c r="F204" s="15" t="s">
        <v>673</v>
      </c>
      <c r="G204" s="15" t="s">
        <v>2183</v>
      </c>
      <c r="H204" s="16" t="n">
        <v>660</v>
      </c>
      <c r="I204" s="15" t="n">
        <v>52</v>
      </c>
      <c r="J204" s="15" t="s">
        <v>5227</v>
      </c>
      <c r="K204" s="15" t="s">
        <v>5392</v>
      </c>
      <c r="L204" s="15" t="n">
        <v>2</v>
      </c>
      <c r="M204" s="15" t="s">
        <v>5161</v>
      </c>
      <c r="N204" s="18" t="str">
        <f aca="false">IFERROR(IF(ISNUMBER(SEARCH(D204,INDEX(Pages!$J$2:$J$824,MATCH(A204,Pages!$B$2:$B$824,0)))),"Yes","No"),"Page not found")</f>
        <v>Yes</v>
      </c>
      <c r="O204" s="3" t="s">
        <v>5376</v>
      </c>
      <c r="P204" s="3"/>
    </row>
    <row r="205" customFormat="false" ht="15" hidden="false" customHeight="false" outlineLevel="0" collapsed="false">
      <c r="A205" s="15" t="s">
        <v>2693</v>
      </c>
      <c r="B205" s="15" t="s">
        <v>2076</v>
      </c>
      <c r="C205" s="15" t="s">
        <v>82</v>
      </c>
      <c r="D205" s="15" t="s">
        <v>2697</v>
      </c>
      <c r="E205" s="15" t="s">
        <v>104</v>
      </c>
      <c r="F205" s="15" t="s">
        <v>715</v>
      </c>
      <c r="G205" s="15" t="s">
        <v>2323</v>
      </c>
      <c r="H205" s="16" t="n">
        <v>650</v>
      </c>
      <c r="I205" s="15" t="n">
        <v>68</v>
      </c>
      <c r="J205" s="15" t="s">
        <v>5227</v>
      </c>
      <c r="K205" s="15" t="s">
        <v>5228</v>
      </c>
      <c r="L205" s="15" t="n">
        <v>2</v>
      </c>
      <c r="M205" s="15" t="s">
        <v>5161</v>
      </c>
      <c r="N205" s="18" t="str">
        <f aca="false">IFERROR(IF(ISNUMBER(SEARCH(D205,INDEX(Pages!$J$2:$J$824,MATCH(A205,Pages!$B$2:$B$824,0)))),"Yes","No"),"Page not found")</f>
        <v>Yes</v>
      </c>
      <c r="O205" s="3" t="s">
        <v>5182</v>
      </c>
      <c r="P205" s="3"/>
    </row>
    <row r="206" customFormat="false" ht="15" hidden="false" customHeight="false" outlineLevel="0" collapsed="false">
      <c r="A206" s="15" t="s">
        <v>3383</v>
      </c>
      <c r="B206" s="15" t="s">
        <v>2076</v>
      </c>
      <c r="C206" s="15" t="s">
        <v>84</v>
      </c>
      <c r="D206" s="15" t="s">
        <v>3387</v>
      </c>
      <c r="E206" s="15" t="s">
        <v>104</v>
      </c>
      <c r="F206" s="15" t="s">
        <v>715</v>
      </c>
      <c r="G206" s="15" t="s">
        <v>2316</v>
      </c>
      <c r="H206" s="16" t="n">
        <v>640</v>
      </c>
      <c r="I206" s="15" t="n">
        <v>64</v>
      </c>
      <c r="J206" s="15" t="s">
        <v>5227</v>
      </c>
      <c r="K206" s="15" t="s">
        <v>5392</v>
      </c>
      <c r="L206" s="15" t="n">
        <v>2</v>
      </c>
      <c r="M206" s="15" t="s">
        <v>5161</v>
      </c>
      <c r="N206" s="18" t="str">
        <f aca="false">IFERROR(IF(ISNUMBER(SEARCH(D206,INDEX(Pages!$J$2:$J$824,MATCH(A206,Pages!$B$2:$B$824,0)))),"Yes","No"),"Page not found")</f>
        <v>Yes</v>
      </c>
      <c r="O206" s="3" t="s">
        <v>5182</v>
      </c>
      <c r="P206" s="3"/>
    </row>
    <row r="207" customFormat="false" ht="15" hidden="false" customHeight="false" outlineLevel="0" collapsed="false">
      <c r="A207" s="15" t="s">
        <v>2699</v>
      </c>
      <c r="B207" s="15" t="s">
        <v>2076</v>
      </c>
      <c r="C207" s="15" t="s">
        <v>82</v>
      </c>
      <c r="D207" s="15" t="s">
        <v>2703</v>
      </c>
      <c r="E207" s="15" t="s">
        <v>104</v>
      </c>
      <c r="F207" s="15" t="s">
        <v>715</v>
      </c>
      <c r="G207" s="15" t="s">
        <v>2330</v>
      </c>
      <c r="H207" s="16" t="n">
        <v>610</v>
      </c>
      <c r="I207" s="15" t="n">
        <v>68</v>
      </c>
      <c r="J207" s="15" t="s">
        <v>5227</v>
      </c>
      <c r="K207" s="15" t="s">
        <v>5228</v>
      </c>
      <c r="L207" s="15" t="n">
        <v>3</v>
      </c>
      <c r="M207" s="15" t="s">
        <v>5161</v>
      </c>
      <c r="N207" s="18" t="str">
        <f aca="false">IFERROR(IF(ISNUMBER(SEARCH(D207,INDEX(Pages!$J$2:$J$824,MATCH(A207,Pages!$B$2:$B$824,0)))),"Yes","No"),"Page not found")</f>
        <v>Yes</v>
      </c>
      <c r="O207" s="3" t="s">
        <v>5182</v>
      </c>
      <c r="P207" s="3"/>
    </row>
    <row r="208" customFormat="false" ht="15" hidden="false" customHeight="false" outlineLevel="0" collapsed="false">
      <c r="A208" s="15" t="s">
        <v>3251</v>
      </c>
      <c r="B208" s="15" t="s">
        <v>2076</v>
      </c>
      <c r="C208" s="15" t="s">
        <v>84</v>
      </c>
      <c r="D208" s="15" t="s">
        <v>3255</v>
      </c>
      <c r="E208" s="15" t="s">
        <v>104</v>
      </c>
      <c r="F208" s="15" t="s">
        <v>666</v>
      </c>
      <c r="G208" s="15" t="s">
        <v>2162</v>
      </c>
      <c r="H208" s="16" t="n">
        <v>600</v>
      </c>
      <c r="I208" s="15" t="n">
        <v>64</v>
      </c>
      <c r="J208" s="15" t="s">
        <v>5227</v>
      </c>
      <c r="K208" s="15" t="s">
        <v>5392</v>
      </c>
      <c r="L208" s="15" t="n">
        <v>2</v>
      </c>
      <c r="M208" s="15" t="s">
        <v>5161</v>
      </c>
      <c r="N208" s="18" t="str">
        <f aca="false">IFERROR(IF(ISNUMBER(SEARCH(D208,INDEX(Pages!$J$2:$J$824,MATCH(A208,Pages!$B$2:$B$824,0)))),"Yes","No"),"Page not found")</f>
        <v>Yes</v>
      </c>
      <c r="O208" s="3" t="s">
        <v>5192</v>
      </c>
      <c r="P208" s="3"/>
    </row>
    <row r="209" customFormat="false" ht="15" hidden="false" customHeight="false" outlineLevel="0" collapsed="false">
      <c r="A209" s="15" t="s">
        <v>3323</v>
      </c>
      <c r="B209" s="15" t="s">
        <v>2076</v>
      </c>
      <c r="C209" s="15" t="s">
        <v>84</v>
      </c>
      <c r="D209" s="15" t="s">
        <v>3327</v>
      </c>
      <c r="E209" s="15" t="s">
        <v>104</v>
      </c>
      <c r="F209" s="15" t="s">
        <v>715</v>
      </c>
      <c r="G209" s="15" t="s">
        <v>2246</v>
      </c>
      <c r="H209" s="16" t="n">
        <v>600</v>
      </c>
      <c r="I209" s="15" t="n">
        <v>56</v>
      </c>
      <c r="J209" s="15" t="s">
        <v>5227</v>
      </c>
      <c r="K209" s="15" t="s">
        <v>5392</v>
      </c>
      <c r="L209" s="15" t="n">
        <v>2</v>
      </c>
      <c r="M209" s="15" t="s">
        <v>5161</v>
      </c>
      <c r="N209" s="18" t="str">
        <f aca="false">IFERROR(IF(ISNUMBER(SEARCH(D209,INDEX(Pages!$J$2:$J$824,MATCH(A209,Pages!$B$2:$B$824,0)))),"Yes","No"),"Page not found")</f>
        <v>Yes</v>
      </c>
      <c r="O209" s="3" t="s">
        <v>5393</v>
      </c>
      <c r="P209" s="3"/>
    </row>
    <row r="210" customFormat="false" ht="15" hidden="false" customHeight="false" outlineLevel="0" collapsed="false">
      <c r="A210" s="15" t="s">
        <v>403</v>
      </c>
      <c r="B210" s="15" t="s">
        <v>384</v>
      </c>
      <c r="C210" s="15" t="s">
        <v>89</v>
      </c>
      <c r="D210" s="15" t="s">
        <v>407</v>
      </c>
      <c r="E210" s="15" t="s">
        <v>147</v>
      </c>
      <c r="F210" s="15"/>
      <c r="G210" s="15"/>
      <c r="H210" s="16" t="n">
        <v>590</v>
      </c>
      <c r="I210" s="15" t="n">
        <v>45</v>
      </c>
      <c r="J210" s="15" t="s">
        <v>5159</v>
      </c>
      <c r="K210" s="15" t="s">
        <v>5193</v>
      </c>
      <c r="L210" s="15" t="n">
        <v>3</v>
      </c>
      <c r="M210" s="15" t="s">
        <v>5161</v>
      </c>
      <c r="N210" s="18" t="str">
        <f aca="false">IFERROR(IF(ISNUMBER(SEARCH(D210,INDEX(Pages!$J$2:$J$824,MATCH(A210,Pages!$B$2:$B$824,0)))),"Yes","No"),"Page not found")</f>
        <v>No</v>
      </c>
      <c r="O210" s="3" t="s">
        <v>5376</v>
      </c>
      <c r="P210" s="3" t="s">
        <v>5373</v>
      </c>
    </row>
    <row r="211" customFormat="false" ht="15" hidden="false" customHeight="false" outlineLevel="0" collapsed="false">
      <c r="A211" s="15" t="s">
        <v>2378</v>
      </c>
      <c r="B211" s="15" t="s">
        <v>2076</v>
      </c>
      <c r="C211" s="15" t="s">
        <v>89</v>
      </c>
      <c r="D211" s="15" t="s">
        <v>2383</v>
      </c>
      <c r="E211" s="15" t="s">
        <v>104</v>
      </c>
      <c r="F211" s="15" t="s">
        <v>715</v>
      </c>
      <c r="G211" s="15" t="s">
        <v>2379</v>
      </c>
      <c r="H211" s="16" t="n">
        <v>590</v>
      </c>
      <c r="I211" s="15" t="n">
        <v>41</v>
      </c>
      <c r="J211" s="15" t="s">
        <v>5227</v>
      </c>
      <c r="K211" s="15" t="s">
        <v>5473</v>
      </c>
      <c r="L211" s="15" t="n">
        <v>1</v>
      </c>
      <c r="M211" s="15" t="s">
        <v>5161</v>
      </c>
      <c r="N211" s="18" t="str">
        <f aca="false">IFERROR(IF(ISNUMBER(SEARCH(D211,INDEX(Pages!$J$2:$J$824,MATCH(A211,Pages!$B$2:$B$824,0)))),"Yes","No"),"Page not found")</f>
        <v>Yes</v>
      </c>
      <c r="O211" s="3" t="s">
        <v>5426</v>
      </c>
      <c r="P211" s="3"/>
    </row>
    <row r="212" customFormat="false" ht="15" hidden="false" customHeight="false" outlineLevel="0" collapsed="false">
      <c r="A212" s="15" t="s">
        <v>427</v>
      </c>
      <c r="B212" s="15" t="s">
        <v>384</v>
      </c>
      <c r="C212" s="15" t="s">
        <v>89</v>
      </c>
      <c r="D212" s="15" t="s">
        <v>431</v>
      </c>
      <c r="E212" s="15" t="s">
        <v>147</v>
      </c>
      <c r="F212" s="15"/>
      <c r="G212" s="15"/>
      <c r="H212" s="16" t="n">
        <v>590</v>
      </c>
      <c r="I212" s="15" t="n">
        <v>40</v>
      </c>
      <c r="J212" s="15" t="s">
        <v>5159</v>
      </c>
      <c r="K212" s="15" t="s">
        <v>5351</v>
      </c>
      <c r="L212" s="15" t="n">
        <v>3</v>
      </c>
      <c r="M212" s="15" t="s">
        <v>5161</v>
      </c>
      <c r="N212" s="18" t="str">
        <f aca="false">IFERROR(IF(ISNUMBER(SEARCH(D212,INDEX(Pages!$J$2:$J$824,MATCH(A212,Pages!$B$2:$B$824,0)))),"Yes","No"),"Page not found")</f>
        <v>No</v>
      </c>
      <c r="O212" s="3" t="s">
        <v>5474</v>
      </c>
      <c r="P212" s="3" t="s">
        <v>5373</v>
      </c>
    </row>
    <row r="213" customFormat="false" ht="15" hidden="false" customHeight="false" outlineLevel="0" collapsed="false">
      <c r="A213" s="15" t="s">
        <v>481</v>
      </c>
      <c r="B213" s="15" t="s">
        <v>384</v>
      </c>
      <c r="C213" s="15" t="s">
        <v>82</v>
      </c>
      <c r="D213" s="15" t="s">
        <v>485</v>
      </c>
      <c r="E213" s="15" t="s">
        <v>147</v>
      </c>
      <c r="F213" s="15"/>
      <c r="G213" s="15"/>
      <c r="H213" s="16" t="n">
        <v>590</v>
      </c>
      <c r="I213" s="15" t="n">
        <v>35</v>
      </c>
      <c r="J213" s="15" t="s">
        <v>5159</v>
      </c>
      <c r="K213" s="15" t="s">
        <v>5339</v>
      </c>
      <c r="L213" s="15" t="n">
        <v>3</v>
      </c>
      <c r="M213" s="15" t="s">
        <v>5161</v>
      </c>
      <c r="N213" s="18" t="str">
        <f aca="false">IFERROR(IF(ISNUMBER(SEARCH(D213,INDEX(Pages!$J$2:$J$824,MATCH(A213,Pages!$B$2:$B$824,0)))),"Yes","No"),"Page not found")</f>
        <v>No</v>
      </c>
      <c r="O213" s="3" t="s">
        <v>5435</v>
      </c>
      <c r="P213" s="3" t="s">
        <v>5475</v>
      </c>
    </row>
    <row r="214" customFormat="false" ht="15" hidden="false" customHeight="false" outlineLevel="0" collapsed="false">
      <c r="A214" s="15" t="s">
        <v>3089</v>
      </c>
      <c r="B214" s="15" t="s">
        <v>2076</v>
      </c>
      <c r="C214" s="15" t="s">
        <v>85</v>
      </c>
      <c r="D214" s="15" t="s">
        <v>3093</v>
      </c>
      <c r="E214" s="15" t="s">
        <v>104</v>
      </c>
      <c r="F214" s="15" t="s">
        <v>715</v>
      </c>
      <c r="G214" s="15" t="s">
        <v>2379</v>
      </c>
      <c r="H214" s="16" t="n">
        <v>590</v>
      </c>
      <c r="I214" s="15" t="n">
        <v>56</v>
      </c>
      <c r="J214" s="15" t="s">
        <v>5227</v>
      </c>
      <c r="K214" s="15" t="s">
        <v>5392</v>
      </c>
      <c r="L214" s="15" t="n">
        <v>3</v>
      </c>
      <c r="M214" s="15" t="s">
        <v>5161</v>
      </c>
      <c r="N214" s="18" t="str">
        <f aca="false">IFERROR(IF(ISNUMBER(SEARCH(D214,INDEX(Pages!$J$2:$J$824,MATCH(A214,Pages!$B$2:$B$824,0)))),"Yes","No"),"Page not found")</f>
        <v>Yes</v>
      </c>
      <c r="O214" s="3" t="s">
        <v>5476</v>
      </c>
      <c r="P214" s="3"/>
    </row>
    <row r="215" customFormat="false" ht="23.85" hidden="false" customHeight="false" outlineLevel="0" collapsed="false">
      <c r="A215" s="15" t="s">
        <v>523</v>
      </c>
      <c r="B215" s="15" t="s">
        <v>384</v>
      </c>
      <c r="C215" s="15" t="s">
        <v>77</v>
      </c>
      <c r="D215" s="15" t="s">
        <v>527</v>
      </c>
      <c r="E215" s="15" t="s">
        <v>147</v>
      </c>
      <c r="F215" s="15"/>
      <c r="G215" s="15"/>
      <c r="H215" s="16" t="n">
        <v>590</v>
      </c>
      <c r="I215" s="15" t="n">
        <v>35</v>
      </c>
      <c r="J215" s="15" t="s">
        <v>5159</v>
      </c>
      <c r="K215" s="15" t="s">
        <v>5254</v>
      </c>
      <c r="L215" s="15" t="n">
        <v>1</v>
      </c>
      <c r="M215" s="15" t="s">
        <v>5161</v>
      </c>
      <c r="N215" s="18" t="str">
        <f aca="false">IFERROR(IF(ISNUMBER(SEARCH(D215,INDEX(Pages!$J$2:$J$824,MATCH(A215,Pages!$B$2:$B$824,0)))),"Yes","No"),"Page not found")</f>
        <v>No</v>
      </c>
      <c r="O215" s="3" t="s">
        <v>5224</v>
      </c>
      <c r="P215" s="3" t="s">
        <v>5477</v>
      </c>
    </row>
    <row r="216" customFormat="false" ht="15" hidden="false" customHeight="false" outlineLevel="0" collapsed="false">
      <c r="A216" s="15" t="s">
        <v>571</v>
      </c>
      <c r="B216" s="15" t="s">
        <v>384</v>
      </c>
      <c r="C216" s="15" t="s">
        <v>74</v>
      </c>
      <c r="D216" s="15" t="s">
        <v>575</v>
      </c>
      <c r="E216" s="15" t="s">
        <v>147</v>
      </c>
      <c r="F216" s="15"/>
      <c r="G216" s="15"/>
      <c r="H216" s="16" t="n">
        <v>590</v>
      </c>
      <c r="I216" s="15" t="n">
        <v>40</v>
      </c>
      <c r="J216" s="15" t="s">
        <v>5159</v>
      </c>
      <c r="K216" s="15" t="s">
        <v>5406</v>
      </c>
      <c r="L216" s="15" t="n">
        <v>3</v>
      </c>
      <c r="M216" s="15" t="s">
        <v>5161</v>
      </c>
      <c r="N216" s="18" t="str">
        <f aca="false">IFERROR(IF(ISNUMBER(SEARCH(D216,INDEX(Pages!$J$2:$J$824,MATCH(A216,Pages!$B$2:$B$824,0)))),"Yes","No"),"Page not found")</f>
        <v>Yes</v>
      </c>
      <c r="O216" s="3" t="s">
        <v>5478</v>
      </c>
      <c r="P216" s="3" t="s">
        <v>5373</v>
      </c>
    </row>
    <row r="217" customFormat="false" ht="15" hidden="false" customHeight="false" outlineLevel="0" collapsed="false">
      <c r="A217" s="15" t="s">
        <v>4445</v>
      </c>
      <c r="B217" s="15" t="s">
        <v>2076</v>
      </c>
      <c r="C217" s="15" t="s">
        <v>86</v>
      </c>
      <c r="D217" s="15" t="s">
        <v>4449</v>
      </c>
      <c r="E217" s="15" t="s">
        <v>104</v>
      </c>
      <c r="F217" s="15" t="s">
        <v>715</v>
      </c>
      <c r="G217" s="15" t="s">
        <v>2337</v>
      </c>
      <c r="H217" s="16" t="n">
        <v>580</v>
      </c>
      <c r="I217" s="15" t="n">
        <v>52</v>
      </c>
      <c r="J217" s="15" t="s">
        <v>5227</v>
      </c>
      <c r="K217" s="15" t="s">
        <v>5392</v>
      </c>
      <c r="L217" s="15" t="n">
        <v>3</v>
      </c>
      <c r="M217" s="15" t="s">
        <v>5161</v>
      </c>
      <c r="N217" s="18" t="str">
        <f aca="false">IFERROR(IF(ISNUMBER(SEARCH(D217,INDEX(Pages!$J$2:$J$824,MATCH(A217,Pages!$B$2:$B$824,0)))),"Yes","No"),"Page not found")</f>
        <v>Yes</v>
      </c>
      <c r="O217" s="3" t="s">
        <v>5408</v>
      </c>
      <c r="P217" s="3"/>
    </row>
    <row r="218" customFormat="false" ht="15" hidden="false" customHeight="false" outlineLevel="0" collapsed="false">
      <c r="A218" s="15" t="s">
        <v>815</v>
      </c>
      <c r="B218" s="15" t="s">
        <v>656</v>
      </c>
      <c r="C218" s="15" t="s">
        <v>82</v>
      </c>
      <c r="D218" s="15" t="s">
        <v>819</v>
      </c>
      <c r="E218" s="15" t="s">
        <v>662</v>
      </c>
      <c r="F218" s="15" t="s">
        <v>736</v>
      </c>
      <c r="G218" s="15"/>
      <c r="H218" s="16" t="n">
        <v>570</v>
      </c>
      <c r="I218" s="15" t="n">
        <v>53</v>
      </c>
      <c r="J218" s="15" t="s">
        <v>5159</v>
      </c>
      <c r="K218" s="15" t="s">
        <v>5225</v>
      </c>
      <c r="L218" s="15" t="n">
        <v>4</v>
      </c>
      <c r="M218" s="15" t="s">
        <v>5161</v>
      </c>
      <c r="N218" s="18" t="str">
        <f aca="false">IFERROR(IF(ISNUMBER(SEARCH(D218,INDEX(Pages!$J$2:$J$824,MATCH(A218,Pages!$B$2:$B$824,0)))),"Yes","No"),"Page not found")</f>
        <v>No</v>
      </c>
      <c r="O218" s="3" t="s">
        <v>5376</v>
      </c>
      <c r="P218" s="3" t="s">
        <v>5479</v>
      </c>
    </row>
    <row r="219" customFormat="false" ht="15" hidden="false" customHeight="false" outlineLevel="0" collapsed="false">
      <c r="A219" s="15" t="s">
        <v>4235</v>
      </c>
      <c r="B219" s="15" t="s">
        <v>2076</v>
      </c>
      <c r="C219" s="15" t="s">
        <v>86</v>
      </c>
      <c r="D219" s="15" t="s">
        <v>4239</v>
      </c>
      <c r="E219" s="15" t="s">
        <v>104</v>
      </c>
      <c r="F219" s="15" t="s">
        <v>657</v>
      </c>
      <c r="G219" s="15" t="s">
        <v>2092</v>
      </c>
      <c r="H219" s="16" t="n">
        <v>570</v>
      </c>
      <c r="I219" s="15" t="n">
        <v>60</v>
      </c>
      <c r="J219" s="15" t="s">
        <v>5227</v>
      </c>
      <c r="K219" s="15" t="s">
        <v>5392</v>
      </c>
      <c r="L219" s="15" t="n">
        <v>4</v>
      </c>
      <c r="M219" s="15" t="s">
        <v>5161</v>
      </c>
      <c r="N219" s="18" t="str">
        <f aca="false">IFERROR(IF(ISNUMBER(SEARCH(D219,INDEX(Pages!$J$2:$J$824,MATCH(A219,Pages!$B$2:$B$824,0)))),"Yes","No"),"Page not found")</f>
        <v>Yes</v>
      </c>
      <c r="O219" s="3" t="s">
        <v>5226</v>
      </c>
      <c r="P219" s="3"/>
    </row>
    <row r="220" customFormat="false" ht="15" hidden="false" customHeight="false" outlineLevel="0" collapsed="false">
      <c r="A220" s="15" t="s">
        <v>1769</v>
      </c>
      <c r="B220" s="15" t="s">
        <v>656</v>
      </c>
      <c r="C220" s="15" t="s">
        <v>86</v>
      </c>
      <c r="D220" s="15" t="s">
        <v>1773</v>
      </c>
      <c r="E220" s="15" t="s">
        <v>662</v>
      </c>
      <c r="F220" s="15" t="s">
        <v>666</v>
      </c>
      <c r="G220" s="15"/>
      <c r="H220" s="16" t="n">
        <v>570</v>
      </c>
      <c r="I220" s="15" t="n">
        <v>46</v>
      </c>
      <c r="J220" s="15" t="s">
        <v>5159</v>
      </c>
      <c r="K220" s="15" t="s">
        <v>5321</v>
      </c>
      <c r="L220" s="15" t="n">
        <v>3</v>
      </c>
      <c r="M220" s="15" t="s">
        <v>5161</v>
      </c>
      <c r="N220" s="18" t="str">
        <f aca="false">IFERROR(IF(ISNUMBER(SEARCH(D220,INDEX(Pages!$J$2:$J$824,MATCH(A220,Pages!$B$2:$B$824,0)))),"Yes","No"),"Page not found")</f>
        <v>No</v>
      </c>
      <c r="O220" s="3" t="s">
        <v>5408</v>
      </c>
      <c r="P220" s="3"/>
    </row>
    <row r="221" customFormat="false" ht="15" hidden="false" customHeight="false" outlineLevel="0" collapsed="false">
      <c r="A221" s="15" t="s">
        <v>773</v>
      </c>
      <c r="B221" s="15" t="s">
        <v>656</v>
      </c>
      <c r="C221" s="15" t="s">
        <v>82</v>
      </c>
      <c r="D221" s="15" t="s">
        <v>777</v>
      </c>
      <c r="E221" s="15" t="s">
        <v>662</v>
      </c>
      <c r="F221" s="15" t="s">
        <v>687</v>
      </c>
      <c r="G221" s="15"/>
      <c r="H221" s="16" t="n">
        <v>560</v>
      </c>
      <c r="I221" s="15" t="n">
        <v>53</v>
      </c>
      <c r="J221" s="15" t="s">
        <v>5159</v>
      </c>
      <c r="K221" s="15" t="s">
        <v>5225</v>
      </c>
      <c r="L221" s="15" t="n">
        <v>2</v>
      </c>
      <c r="M221" s="15" t="s">
        <v>5161</v>
      </c>
      <c r="N221" s="18" t="str">
        <f aca="false">IFERROR(IF(ISNUMBER(SEARCH(D221,INDEX(Pages!$J$2:$J$824,MATCH(A221,Pages!$B$2:$B$824,0)))),"Yes","No"),"Page not found")</f>
        <v>No</v>
      </c>
      <c r="O221" s="3" t="s">
        <v>5376</v>
      </c>
      <c r="P221" s="3"/>
    </row>
    <row r="222" customFormat="false" ht="15" hidden="false" customHeight="false" outlineLevel="0" collapsed="false">
      <c r="A222" s="15" t="s">
        <v>2597</v>
      </c>
      <c r="B222" s="15" t="s">
        <v>2076</v>
      </c>
      <c r="C222" s="15" t="s">
        <v>82</v>
      </c>
      <c r="D222" s="15" t="s">
        <v>2601</v>
      </c>
      <c r="E222" s="15" t="s">
        <v>104</v>
      </c>
      <c r="F222" s="15" t="s">
        <v>687</v>
      </c>
      <c r="G222" s="15" t="s">
        <v>2211</v>
      </c>
      <c r="H222" s="16" t="n">
        <v>360</v>
      </c>
      <c r="I222" s="15" t="n">
        <v>64</v>
      </c>
      <c r="J222" s="15" t="s">
        <v>5227</v>
      </c>
      <c r="K222" s="15" t="s">
        <v>5228</v>
      </c>
      <c r="L222" s="15" t="n">
        <v>3</v>
      </c>
      <c r="M222" s="15" t="s">
        <v>5161</v>
      </c>
      <c r="N222" s="18" t="str">
        <f aca="false">IFERROR(IF(ISNUMBER(SEARCH(D222,INDEX(Pages!$J$2:$J$824,MATCH(A222,Pages!$B$2:$B$824,0)))),"Yes","No"),"Page not found")</f>
        <v>No</v>
      </c>
      <c r="O222" s="3" t="s">
        <v>5376</v>
      </c>
      <c r="P222" s="3"/>
    </row>
    <row r="223" customFormat="false" ht="15" hidden="false" customHeight="false" outlineLevel="0" collapsed="false">
      <c r="A223" s="15" t="s">
        <v>2597</v>
      </c>
      <c r="B223" s="15" t="s">
        <v>2076</v>
      </c>
      <c r="C223" s="15" t="s">
        <v>82</v>
      </c>
      <c r="D223" s="15" t="s">
        <v>5480</v>
      </c>
      <c r="E223" s="15" t="s">
        <v>104</v>
      </c>
      <c r="F223" s="15" t="s">
        <v>687</v>
      </c>
      <c r="G223" s="15" t="s">
        <v>2211</v>
      </c>
      <c r="H223" s="16" t="n">
        <v>120</v>
      </c>
      <c r="I223" s="15" t="n">
        <v>59</v>
      </c>
      <c r="J223" s="15" t="s">
        <v>5169</v>
      </c>
      <c r="K223" s="15" t="s">
        <v>5228</v>
      </c>
      <c r="L223" s="15" t="n">
        <v>4</v>
      </c>
      <c r="M223" s="15" t="s">
        <v>5165</v>
      </c>
      <c r="N223" s="18" t="str">
        <f aca="false">IFERROR(IF(ISNUMBER(SEARCH(D223,INDEX(Pages!$J$2:$J$824,MATCH(A223,Pages!$B$2:$B$824,0)))),"Yes","No"),"Page not found")</f>
        <v>No</v>
      </c>
      <c r="O223" s="3" t="s">
        <v>5376</v>
      </c>
      <c r="P223" s="3" t="s">
        <v>5232</v>
      </c>
    </row>
    <row r="224" customFormat="false" ht="23.85" hidden="false" customHeight="false" outlineLevel="0" collapsed="false">
      <c r="A224" s="15" t="s">
        <v>2597</v>
      </c>
      <c r="B224" s="15" t="s">
        <v>2076</v>
      </c>
      <c r="C224" s="15" t="s">
        <v>82</v>
      </c>
      <c r="D224" s="15" t="s">
        <v>5481</v>
      </c>
      <c r="E224" s="15" t="s">
        <v>104</v>
      </c>
      <c r="F224" s="15" t="s">
        <v>687</v>
      </c>
      <c r="G224" s="15" t="s">
        <v>2211</v>
      </c>
      <c r="H224" s="16" t="n">
        <v>71</v>
      </c>
      <c r="I224" s="15" t="n">
        <v>59</v>
      </c>
      <c r="J224" s="15" t="s">
        <v>5177</v>
      </c>
      <c r="K224" s="15" t="s">
        <v>5228</v>
      </c>
      <c r="L224" s="15" t="n">
        <v>5</v>
      </c>
      <c r="M224" s="15" t="s">
        <v>5165</v>
      </c>
      <c r="N224" s="18" t="str">
        <f aca="false">IFERROR(IF(ISNUMBER(SEARCH(D224,INDEX(Pages!$J$2:$J$824,MATCH(A224,Pages!$B$2:$B$824,0)))),"Yes","No"),"Page not found")</f>
        <v>No</v>
      </c>
      <c r="O224" s="3" t="s">
        <v>5376</v>
      </c>
      <c r="P224" s="3" t="s">
        <v>5234</v>
      </c>
    </row>
    <row r="225" customFormat="false" ht="15" hidden="false" customHeight="false" outlineLevel="0" collapsed="false">
      <c r="A225" s="15" t="s">
        <v>1733</v>
      </c>
      <c r="B225" s="15" t="s">
        <v>656</v>
      </c>
      <c r="C225" s="15" t="s">
        <v>81</v>
      </c>
      <c r="D225" s="15" t="s">
        <v>1737</v>
      </c>
      <c r="E225" s="15" t="s">
        <v>662</v>
      </c>
      <c r="F225" s="15" t="s">
        <v>715</v>
      </c>
      <c r="G225" s="15"/>
      <c r="H225" s="16" t="n">
        <v>550</v>
      </c>
      <c r="I225" s="15" t="n">
        <v>42</v>
      </c>
      <c r="J225" s="15" t="s">
        <v>5159</v>
      </c>
      <c r="K225" s="15" t="s">
        <v>5235</v>
      </c>
      <c r="L225" s="15" t="n">
        <v>2</v>
      </c>
      <c r="M225" s="15" t="s">
        <v>5161</v>
      </c>
      <c r="N225" s="18" t="str">
        <f aca="false">IFERROR(IF(ISNUMBER(SEARCH(D225,INDEX(Pages!$J$2:$J$824,MATCH(A225,Pages!$B$2:$B$824,0)))),"Yes","No"),"Page not found")</f>
        <v>No</v>
      </c>
      <c r="O225" s="3" t="s">
        <v>5426</v>
      </c>
      <c r="P225" s="3" t="s">
        <v>5482</v>
      </c>
    </row>
    <row r="226" customFormat="false" ht="15" hidden="false" customHeight="false" outlineLevel="0" collapsed="false">
      <c r="A226" s="15" t="s">
        <v>3245</v>
      </c>
      <c r="B226" s="15" t="s">
        <v>2076</v>
      </c>
      <c r="C226" s="15" t="s">
        <v>84</v>
      </c>
      <c r="D226" s="15" t="s">
        <v>3249</v>
      </c>
      <c r="E226" s="15" t="s">
        <v>104</v>
      </c>
      <c r="F226" s="15" t="s">
        <v>666</v>
      </c>
      <c r="G226" s="15" t="s">
        <v>2155</v>
      </c>
      <c r="H226" s="16" t="n">
        <v>530</v>
      </c>
      <c r="I226" s="15" t="n">
        <v>48</v>
      </c>
      <c r="J226" s="15" t="s">
        <v>5227</v>
      </c>
      <c r="K226" s="15" t="s">
        <v>5392</v>
      </c>
      <c r="L226" s="15" t="n">
        <v>2</v>
      </c>
      <c r="M226" s="15" t="s">
        <v>5161</v>
      </c>
      <c r="N226" s="18" t="str">
        <f aca="false">IFERROR(IF(ISNUMBER(SEARCH(D226,INDEX(Pages!$J$2:$J$824,MATCH(A226,Pages!$B$2:$B$824,0)))),"Yes","No"),"Page not found")</f>
        <v>Yes</v>
      </c>
      <c r="O226" s="3" t="s">
        <v>5426</v>
      </c>
      <c r="P226" s="3"/>
    </row>
    <row r="227" customFormat="false" ht="15" hidden="false" customHeight="false" outlineLevel="0" collapsed="false">
      <c r="A227" s="15" t="s">
        <v>3347</v>
      </c>
      <c r="B227" s="15" t="s">
        <v>2076</v>
      </c>
      <c r="C227" s="15" t="s">
        <v>84</v>
      </c>
      <c r="D227" s="15" t="s">
        <v>3351</v>
      </c>
      <c r="E227" s="15" t="s">
        <v>104</v>
      </c>
      <c r="F227" s="15" t="s">
        <v>715</v>
      </c>
      <c r="G227" s="15" t="s">
        <v>2274</v>
      </c>
      <c r="H227" s="16" t="n">
        <v>530</v>
      </c>
      <c r="I227" s="15" t="n">
        <v>56</v>
      </c>
      <c r="J227" s="15" t="s">
        <v>5227</v>
      </c>
      <c r="K227" s="15" t="s">
        <v>5392</v>
      </c>
      <c r="L227" s="15" t="n">
        <v>2</v>
      </c>
      <c r="M227" s="15" t="s">
        <v>5161</v>
      </c>
      <c r="N227" s="18" t="str">
        <f aca="false">IFERROR(IF(ISNUMBER(SEARCH(D227,INDEX(Pages!$J$2:$J$824,MATCH(A227,Pages!$B$2:$B$824,0)))),"Yes","No"),"Page not found")</f>
        <v>Yes</v>
      </c>
      <c r="O227" s="3" t="s">
        <v>5182</v>
      </c>
      <c r="P227" s="3"/>
    </row>
    <row r="228" customFormat="false" ht="15" hidden="false" customHeight="false" outlineLevel="0" collapsed="false">
      <c r="A228" s="15" t="s">
        <v>1355</v>
      </c>
      <c r="B228" s="15" t="s">
        <v>656</v>
      </c>
      <c r="C228" s="15" t="s">
        <v>84</v>
      </c>
      <c r="D228" s="15" t="s">
        <v>1359</v>
      </c>
      <c r="E228" s="15" t="s">
        <v>662</v>
      </c>
      <c r="F228" s="15" t="s">
        <v>729</v>
      </c>
      <c r="G228" s="15"/>
      <c r="H228" s="16" t="n">
        <v>520</v>
      </c>
      <c r="I228" s="15" t="n">
        <v>53</v>
      </c>
      <c r="J228" s="15" t="s">
        <v>5159</v>
      </c>
      <c r="K228" s="15" t="s">
        <v>5321</v>
      </c>
      <c r="L228" s="15" t="n">
        <v>3</v>
      </c>
      <c r="M228" s="15" t="s">
        <v>5161</v>
      </c>
      <c r="N228" s="18" t="str">
        <f aca="false">IFERROR(IF(ISNUMBER(SEARCH(D228,INDEX(Pages!$J$2:$J$824,MATCH(A228,Pages!$B$2:$B$824,0)))),"Yes","No"),"Page not found")</f>
        <v>No</v>
      </c>
      <c r="O228" s="3" t="s">
        <v>5408</v>
      </c>
      <c r="P228" s="3" t="s">
        <v>5378</v>
      </c>
    </row>
    <row r="229" customFormat="false" ht="15" hidden="false" customHeight="false" outlineLevel="0" collapsed="false">
      <c r="A229" s="15" t="s">
        <v>2633</v>
      </c>
      <c r="B229" s="15" t="s">
        <v>2076</v>
      </c>
      <c r="C229" s="15" t="s">
        <v>82</v>
      </c>
      <c r="D229" s="15" t="s">
        <v>2637</v>
      </c>
      <c r="E229" s="15" t="s">
        <v>104</v>
      </c>
      <c r="F229" s="15" t="s">
        <v>715</v>
      </c>
      <c r="G229" s="15" t="s">
        <v>2253</v>
      </c>
      <c r="H229" s="16" t="n">
        <v>500</v>
      </c>
      <c r="I229" s="15" t="n">
        <v>68</v>
      </c>
      <c r="J229" s="15" t="s">
        <v>5227</v>
      </c>
      <c r="K229" s="15" t="s">
        <v>5228</v>
      </c>
      <c r="L229" s="15" t="n">
        <v>3</v>
      </c>
      <c r="M229" s="15" t="s">
        <v>5161</v>
      </c>
      <c r="N229" s="18" t="str">
        <f aca="false">IFERROR(IF(ISNUMBER(SEARCH(D229,INDEX(Pages!$J$2:$J$824,MATCH(A229,Pages!$B$2:$B$824,0)))),"Yes","No"),"Page not found")</f>
        <v>Yes</v>
      </c>
      <c r="O229" s="3" t="s">
        <v>5182</v>
      </c>
      <c r="P229" s="3"/>
    </row>
    <row r="230" customFormat="false" ht="23.85" hidden="false" customHeight="false" outlineLevel="0" collapsed="false">
      <c r="A230" s="15" t="s">
        <v>2615</v>
      </c>
      <c r="B230" s="15" t="s">
        <v>2076</v>
      </c>
      <c r="C230" s="15" t="s">
        <v>82</v>
      </c>
      <c r="D230" s="15" t="s">
        <v>2619</v>
      </c>
      <c r="E230" s="15" t="s">
        <v>104</v>
      </c>
      <c r="F230" s="15" t="s">
        <v>715</v>
      </c>
      <c r="G230" s="15" t="s">
        <v>2232</v>
      </c>
      <c r="H230" s="16" t="n">
        <v>490</v>
      </c>
      <c r="I230" s="15" t="n">
        <v>56</v>
      </c>
      <c r="J230" s="15" t="s">
        <v>5227</v>
      </c>
      <c r="K230" s="15" t="s">
        <v>5228</v>
      </c>
      <c r="L230" s="15" t="n">
        <v>3</v>
      </c>
      <c r="M230" s="15" t="s">
        <v>5161</v>
      </c>
      <c r="N230" s="18" t="str">
        <f aca="false">IFERROR(IF(ISNUMBER(SEARCH(D230,INDEX(Pages!$J$2:$J$824,MATCH(A230,Pages!$B$2:$B$824,0)))),"Yes","No"),"Page not found")</f>
        <v>Yes</v>
      </c>
      <c r="O230" s="3" t="s">
        <v>5212</v>
      </c>
      <c r="P230" s="3" t="s">
        <v>5483</v>
      </c>
    </row>
    <row r="231" customFormat="false" ht="23.85" hidden="false" customHeight="false" outlineLevel="0" collapsed="false">
      <c r="A231" s="15" t="s">
        <v>2759</v>
      </c>
      <c r="B231" s="15" t="s">
        <v>2076</v>
      </c>
      <c r="C231" s="15" t="s">
        <v>82</v>
      </c>
      <c r="D231" s="15" t="s">
        <v>2763</v>
      </c>
      <c r="E231" s="15" t="s">
        <v>104</v>
      </c>
      <c r="F231" s="15" t="s">
        <v>715</v>
      </c>
      <c r="G231" s="15" t="s">
        <v>2400</v>
      </c>
      <c r="H231" s="16" t="n">
        <v>490</v>
      </c>
      <c r="I231" s="15" t="n">
        <v>56</v>
      </c>
      <c r="J231" s="15" t="s">
        <v>5227</v>
      </c>
      <c r="K231" s="15" t="s">
        <v>5228</v>
      </c>
      <c r="L231" s="15" t="n">
        <v>3</v>
      </c>
      <c r="M231" s="15" t="s">
        <v>5161</v>
      </c>
      <c r="N231" s="18" t="str">
        <f aca="false">IFERROR(IF(ISNUMBER(SEARCH(D231,INDEX(Pages!$J$2:$J$824,MATCH(A231,Pages!$B$2:$B$824,0)))),"Yes","No"),"Page not found")</f>
        <v>Yes</v>
      </c>
      <c r="O231" s="3" t="s">
        <v>5212</v>
      </c>
      <c r="P231" s="3" t="s">
        <v>5483</v>
      </c>
    </row>
    <row r="232" customFormat="false" ht="15" hidden="false" customHeight="false" outlineLevel="0" collapsed="false">
      <c r="A232" s="15" t="s">
        <v>415</v>
      </c>
      <c r="B232" s="15" t="s">
        <v>384</v>
      </c>
      <c r="C232" s="15" t="s">
        <v>89</v>
      </c>
      <c r="D232" s="15" t="s">
        <v>419</v>
      </c>
      <c r="E232" s="15" t="s">
        <v>147</v>
      </c>
      <c r="F232" s="15"/>
      <c r="G232" s="15"/>
      <c r="H232" s="16" t="n">
        <v>480</v>
      </c>
      <c r="I232" s="15" t="n">
        <v>30</v>
      </c>
      <c r="J232" s="15" t="s">
        <v>5159</v>
      </c>
      <c r="K232" s="15" t="s">
        <v>5193</v>
      </c>
      <c r="L232" s="15" t="n">
        <v>3</v>
      </c>
      <c r="M232" s="15" t="s">
        <v>5161</v>
      </c>
      <c r="N232" s="18" t="str">
        <f aca="false">IFERROR(IF(ISNUMBER(SEARCH(D232,INDEX(Pages!$J$2:$J$824,MATCH(A232,Pages!$B$2:$B$824,0)))),"Yes","No"),"Page not found")</f>
        <v>No</v>
      </c>
      <c r="O232" s="3" t="s">
        <v>5484</v>
      </c>
      <c r="P232" s="3" t="s">
        <v>5373</v>
      </c>
    </row>
    <row r="233" customFormat="false" ht="15" hidden="false" customHeight="false" outlineLevel="0" collapsed="false">
      <c r="A233" s="15" t="s">
        <v>421</v>
      </c>
      <c r="B233" s="15" t="s">
        <v>384</v>
      </c>
      <c r="C233" s="15" t="s">
        <v>89</v>
      </c>
      <c r="D233" s="15" t="s">
        <v>425</v>
      </c>
      <c r="E233" s="15" t="s">
        <v>147</v>
      </c>
      <c r="F233" s="15"/>
      <c r="G233" s="15"/>
      <c r="H233" s="16" t="n">
        <v>480</v>
      </c>
      <c r="I233" s="15" t="n">
        <v>35</v>
      </c>
      <c r="J233" s="15" t="s">
        <v>5159</v>
      </c>
      <c r="K233" s="15" t="s">
        <v>5384</v>
      </c>
      <c r="L233" s="15" t="n">
        <v>2</v>
      </c>
      <c r="M233" s="15" t="s">
        <v>5161</v>
      </c>
      <c r="N233" s="18" t="str">
        <f aca="false">IFERROR(IF(ISNUMBER(SEARCH(D233,INDEX(Pages!$J$2:$J$824,MATCH(A233,Pages!$B$2:$B$824,0)))),"Yes","No"),"Page not found")</f>
        <v>No</v>
      </c>
      <c r="O233" s="3" t="s">
        <v>5224</v>
      </c>
      <c r="P233" s="3" t="s">
        <v>5485</v>
      </c>
    </row>
    <row r="234" customFormat="false" ht="23.85" hidden="false" customHeight="false" outlineLevel="0" collapsed="false">
      <c r="A234" s="15" t="s">
        <v>3533</v>
      </c>
      <c r="B234" s="15" t="s">
        <v>2076</v>
      </c>
      <c r="C234" s="15" t="s">
        <v>74</v>
      </c>
      <c r="D234" s="15" t="s">
        <v>3537</v>
      </c>
      <c r="E234" s="15" t="s">
        <v>104</v>
      </c>
      <c r="F234" s="15" t="s">
        <v>657</v>
      </c>
      <c r="G234" s="15" t="s">
        <v>2084</v>
      </c>
      <c r="H234" s="16" t="n">
        <v>480</v>
      </c>
      <c r="I234" s="15" t="n">
        <v>47</v>
      </c>
      <c r="J234" s="15" t="s">
        <v>5227</v>
      </c>
      <c r="K234" s="15" t="s">
        <v>5444</v>
      </c>
      <c r="L234" s="15" t="n">
        <v>1</v>
      </c>
      <c r="M234" s="15" t="s">
        <v>5161</v>
      </c>
      <c r="N234" s="18" t="str">
        <f aca="false">IFERROR(IF(ISNUMBER(SEARCH(D234,INDEX(Pages!$J$2:$J$824,MATCH(A234,Pages!$B$2:$B$824,0)))),"Yes","No"),"Page not found")</f>
        <v>Yes</v>
      </c>
      <c r="O234" s="3" t="s">
        <v>5486</v>
      </c>
      <c r="P234" s="3" t="s">
        <v>5230</v>
      </c>
    </row>
    <row r="235" customFormat="false" ht="15" hidden="false" customHeight="false" outlineLevel="0" collapsed="false">
      <c r="A235" s="15" t="s">
        <v>1223</v>
      </c>
      <c r="B235" s="15" t="s">
        <v>656</v>
      </c>
      <c r="C235" s="15" t="s">
        <v>78</v>
      </c>
      <c r="D235" s="15" t="s">
        <v>1227</v>
      </c>
      <c r="E235" s="15" t="s">
        <v>662</v>
      </c>
      <c r="F235" s="15" t="s">
        <v>666</v>
      </c>
      <c r="G235" s="15"/>
      <c r="H235" s="16" t="n">
        <v>470</v>
      </c>
      <c r="I235" s="15" t="n">
        <v>53</v>
      </c>
      <c r="J235" s="15" t="s">
        <v>5159</v>
      </c>
      <c r="K235" s="15" t="s">
        <v>5418</v>
      </c>
      <c r="L235" s="15" t="n">
        <v>2</v>
      </c>
      <c r="M235" s="15" t="s">
        <v>5161</v>
      </c>
      <c r="N235" s="18" t="str">
        <f aca="false">IFERROR(IF(ISNUMBER(SEARCH(D235,INDEX(Pages!$J$2:$J$824,MATCH(A235,Pages!$B$2:$B$824,0)))),"Yes","No"),"Page not found")</f>
        <v>No</v>
      </c>
      <c r="O235" s="3" t="s">
        <v>5224</v>
      </c>
      <c r="P235" s="3"/>
    </row>
    <row r="236" customFormat="false" ht="15" hidden="false" customHeight="false" outlineLevel="0" collapsed="false">
      <c r="A236" s="15" t="s">
        <v>4313</v>
      </c>
      <c r="B236" s="15" t="s">
        <v>2076</v>
      </c>
      <c r="C236" s="15" t="s">
        <v>86</v>
      </c>
      <c r="D236" s="15" t="s">
        <v>4317</v>
      </c>
      <c r="E236" s="15" t="s">
        <v>104</v>
      </c>
      <c r="F236" s="15" t="s">
        <v>673</v>
      </c>
      <c r="G236" s="15" t="s">
        <v>2183</v>
      </c>
      <c r="H236" s="16" t="n">
        <v>450</v>
      </c>
      <c r="I236" s="15" t="n">
        <v>40</v>
      </c>
      <c r="J236" s="15" t="s">
        <v>5227</v>
      </c>
      <c r="K236" s="15" t="s">
        <v>5392</v>
      </c>
      <c r="L236" s="15" t="n">
        <v>3</v>
      </c>
      <c r="M236" s="15" t="s">
        <v>5161</v>
      </c>
      <c r="N236" s="18" t="str">
        <f aca="false">IFERROR(IF(ISNUMBER(SEARCH(D236,INDEX(Pages!$J$2:$J$824,MATCH(A236,Pages!$B$2:$B$824,0)))),"Yes","No"),"Page not found")</f>
        <v>Yes</v>
      </c>
      <c r="O236" s="3" t="s">
        <v>5426</v>
      </c>
      <c r="P236" s="3"/>
    </row>
    <row r="237" customFormat="false" ht="23.85" hidden="false" customHeight="false" outlineLevel="0" collapsed="false">
      <c r="A237" s="15" t="s">
        <v>2681</v>
      </c>
      <c r="B237" s="15" t="s">
        <v>2076</v>
      </c>
      <c r="C237" s="15" t="s">
        <v>82</v>
      </c>
      <c r="D237" s="15" t="s">
        <v>2685</v>
      </c>
      <c r="E237" s="15" t="s">
        <v>104</v>
      </c>
      <c r="F237" s="15" t="s">
        <v>715</v>
      </c>
      <c r="G237" s="15" t="s">
        <v>2309</v>
      </c>
      <c r="H237" s="16" t="n">
        <v>440</v>
      </c>
      <c r="I237" s="15" t="n">
        <v>56</v>
      </c>
      <c r="J237" s="15" t="s">
        <v>5227</v>
      </c>
      <c r="K237" s="15" t="s">
        <v>5228</v>
      </c>
      <c r="L237" s="15" t="n">
        <v>3</v>
      </c>
      <c r="M237" s="15" t="s">
        <v>5161</v>
      </c>
      <c r="N237" s="18" t="str">
        <f aca="false">IFERROR(IF(ISNUMBER(SEARCH(D237,INDEX(Pages!$J$2:$J$824,MATCH(A237,Pages!$B$2:$B$824,0)))),"Yes","No"),"Page not found")</f>
        <v>Yes</v>
      </c>
      <c r="O237" s="3" t="s">
        <v>5212</v>
      </c>
      <c r="P237" s="3" t="s">
        <v>5483</v>
      </c>
    </row>
    <row r="238" customFormat="false" ht="15" hidden="false" customHeight="false" outlineLevel="0" collapsed="false">
      <c r="A238" s="15" t="s">
        <v>4427</v>
      </c>
      <c r="B238" s="15" t="s">
        <v>2076</v>
      </c>
      <c r="C238" s="15" t="s">
        <v>86</v>
      </c>
      <c r="D238" s="15" t="s">
        <v>4431</v>
      </c>
      <c r="E238" s="15" t="s">
        <v>104</v>
      </c>
      <c r="F238" s="15" t="s">
        <v>715</v>
      </c>
      <c r="G238" s="15" t="s">
        <v>2316</v>
      </c>
      <c r="H238" s="16" t="n">
        <v>440</v>
      </c>
      <c r="I238" s="15" t="n">
        <v>56</v>
      </c>
      <c r="J238" s="15" t="s">
        <v>5227</v>
      </c>
      <c r="K238" s="15" t="s">
        <v>5392</v>
      </c>
      <c r="L238" s="15" t="n">
        <v>4</v>
      </c>
      <c r="M238" s="15" t="s">
        <v>5161</v>
      </c>
      <c r="N238" s="18" t="str">
        <f aca="false">IFERROR(IF(ISNUMBER(SEARCH(D238,INDEX(Pages!$J$2:$J$824,MATCH(A238,Pages!$B$2:$B$824,0)))),"Yes","No"),"Page not found")</f>
        <v>Yes</v>
      </c>
      <c r="O238" s="3" t="s">
        <v>5476</v>
      </c>
      <c r="P238" s="3"/>
    </row>
    <row r="239" customFormat="false" ht="15" hidden="false" customHeight="false" outlineLevel="0" collapsed="false">
      <c r="A239" s="15" t="s">
        <v>665</v>
      </c>
      <c r="B239" s="15" t="s">
        <v>656</v>
      </c>
      <c r="C239" s="15" t="s">
        <v>89</v>
      </c>
      <c r="D239" s="15" t="s">
        <v>670</v>
      </c>
      <c r="E239" s="15" t="s">
        <v>662</v>
      </c>
      <c r="F239" s="15" t="s">
        <v>666</v>
      </c>
      <c r="G239" s="15"/>
      <c r="H239" s="16" t="n">
        <v>430</v>
      </c>
      <c r="I239" s="15" t="n">
        <v>44</v>
      </c>
      <c r="J239" s="15" t="s">
        <v>5159</v>
      </c>
      <c r="K239" s="15" t="s">
        <v>5425</v>
      </c>
      <c r="L239" s="15" t="n">
        <v>1</v>
      </c>
      <c r="M239" s="15" t="s">
        <v>5161</v>
      </c>
      <c r="N239" s="18" t="str">
        <f aca="false">IFERROR(IF(ISNUMBER(SEARCH(D239,INDEX(Pages!$J$2:$J$824,MATCH(A239,Pages!$B$2:$B$824,0)))),"Yes","No"),"Page not found")</f>
        <v>No</v>
      </c>
      <c r="O239" s="3" t="s">
        <v>5426</v>
      </c>
      <c r="P239" s="3"/>
    </row>
    <row r="240" customFormat="false" ht="15" hidden="false" customHeight="false" outlineLevel="0" collapsed="false">
      <c r="A240" s="15" t="s">
        <v>3305</v>
      </c>
      <c r="B240" s="15" t="s">
        <v>2076</v>
      </c>
      <c r="C240" s="15" t="s">
        <v>84</v>
      </c>
      <c r="D240" s="15" t="s">
        <v>3309</v>
      </c>
      <c r="E240" s="15" t="s">
        <v>104</v>
      </c>
      <c r="F240" s="15" t="s">
        <v>701</v>
      </c>
      <c r="G240" s="15" t="s">
        <v>2225</v>
      </c>
      <c r="H240" s="16" t="n">
        <v>430</v>
      </c>
      <c r="I240" s="15" t="n">
        <v>52</v>
      </c>
      <c r="J240" s="15" t="s">
        <v>5227</v>
      </c>
      <c r="K240" s="15" t="s">
        <v>5392</v>
      </c>
      <c r="L240" s="15" t="n">
        <v>2</v>
      </c>
      <c r="M240" s="15" t="s">
        <v>5161</v>
      </c>
      <c r="N240" s="18" t="str">
        <f aca="false">IFERROR(IF(ISNUMBER(SEARCH(D240,INDEX(Pages!$J$2:$J$824,MATCH(A240,Pages!$B$2:$B$824,0)))),"Yes","No"),"Page not found")</f>
        <v>Yes</v>
      </c>
      <c r="O240" s="3" t="s">
        <v>5376</v>
      </c>
      <c r="P240" s="3"/>
    </row>
    <row r="241" customFormat="false" ht="15" hidden="false" customHeight="false" outlineLevel="0" collapsed="false">
      <c r="A241" s="15" t="s">
        <v>3365</v>
      </c>
      <c r="B241" s="15" t="s">
        <v>2076</v>
      </c>
      <c r="C241" s="15" t="s">
        <v>84</v>
      </c>
      <c r="D241" s="15" t="s">
        <v>3369</v>
      </c>
      <c r="E241" s="15" t="s">
        <v>104</v>
      </c>
      <c r="F241" s="15" t="s">
        <v>715</v>
      </c>
      <c r="G241" s="15" t="s">
        <v>2295</v>
      </c>
      <c r="H241" s="16" t="n">
        <v>420</v>
      </c>
      <c r="I241" s="15" t="n">
        <v>56</v>
      </c>
      <c r="J241" s="15" t="s">
        <v>5227</v>
      </c>
      <c r="K241" s="15" t="s">
        <v>5392</v>
      </c>
      <c r="L241" s="15" t="n">
        <v>2</v>
      </c>
      <c r="M241" s="15" t="s">
        <v>5161</v>
      </c>
      <c r="N241" s="18" t="str">
        <f aca="false">IFERROR(IF(ISNUMBER(SEARCH(D241,INDEX(Pages!$J$2:$J$824,MATCH(A241,Pages!$B$2:$B$824,0)))),"Yes","No"),"Page not found")</f>
        <v>No</v>
      </c>
      <c r="O241" s="3" t="s">
        <v>5426</v>
      </c>
      <c r="P241" s="3"/>
    </row>
    <row r="242" customFormat="false" ht="15" hidden="false" customHeight="false" outlineLevel="0" collapsed="false">
      <c r="A242" s="15" t="s">
        <v>1217</v>
      </c>
      <c r="B242" s="15" t="s">
        <v>656</v>
      </c>
      <c r="C242" s="15" t="s">
        <v>78</v>
      </c>
      <c r="D242" s="15" t="s">
        <v>1221</v>
      </c>
      <c r="E242" s="15" t="s">
        <v>662</v>
      </c>
      <c r="F242" s="15" t="s">
        <v>657</v>
      </c>
      <c r="G242" s="15"/>
      <c r="H242" s="16" t="n">
        <v>410</v>
      </c>
      <c r="I242" s="15" t="n">
        <v>53</v>
      </c>
      <c r="J242" s="15" t="s">
        <v>5159</v>
      </c>
      <c r="K242" s="15" t="s">
        <v>5418</v>
      </c>
      <c r="L242" s="15" t="n">
        <v>2</v>
      </c>
      <c r="M242" s="15" t="s">
        <v>5161</v>
      </c>
      <c r="N242" s="18" t="str">
        <f aca="false">IFERROR(IF(ISNUMBER(SEARCH(D242,INDEX(Pages!$J$2:$J$824,MATCH(A242,Pages!$B$2:$B$824,0)))),"Yes","No"),"Page not found")</f>
        <v>No</v>
      </c>
      <c r="O242" s="3" t="s">
        <v>5224</v>
      </c>
      <c r="P242" s="3"/>
    </row>
    <row r="243" customFormat="false" ht="15" hidden="false" customHeight="false" outlineLevel="0" collapsed="false">
      <c r="A243" s="15" t="s">
        <v>4295</v>
      </c>
      <c r="B243" s="15" t="s">
        <v>2076</v>
      </c>
      <c r="C243" s="15" t="s">
        <v>86</v>
      </c>
      <c r="D243" s="15" t="s">
        <v>4299</v>
      </c>
      <c r="E243" s="15" t="s">
        <v>104</v>
      </c>
      <c r="F243" s="15" t="s">
        <v>666</v>
      </c>
      <c r="G243" s="15" t="s">
        <v>2162</v>
      </c>
      <c r="H243" s="16" t="n">
        <v>410</v>
      </c>
      <c r="I243" s="15" t="n">
        <v>56</v>
      </c>
      <c r="J243" s="15" t="s">
        <v>5227</v>
      </c>
      <c r="K243" s="15" t="s">
        <v>5392</v>
      </c>
      <c r="L243" s="15" t="n">
        <v>4</v>
      </c>
      <c r="M243" s="15" t="s">
        <v>5161</v>
      </c>
      <c r="N243" s="18" t="str">
        <f aca="false">IFERROR(IF(ISNUMBER(SEARCH(D243,INDEX(Pages!$J$2:$J$824,MATCH(A243,Pages!$B$2:$B$824,0)))),"Yes","No"),"Page not found")</f>
        <v>Yes</v>
      </c>
      <c r="O243" s="3" t="s">
        <v>5476</v>
      </c>
      <c r="P243" s="3"/>
    </row>
    <row r="244" customFormat="false" ht="15" hidden="false" customHeight="false" outlineLevel="0" collapsed="false">
      <c r="A244" s="15" t="s">
        <v>4367</v>
      </c>
      <c r="B244" s="15" t="s">
        <v>2076</v>
      </c>
      <c r="C244" s="15" t="s">
        <v>86</v>
      </c>
      <c r="D244" s="15" t="s">
        <v>4371</v>
      </c>
      <c r="E244" s="15" t="s">
        <v>104</v>
      </c>
      <c r="F244" s="15" t="s">
        <v>715</v>
      </c>
      <c r="G244" s="15" t="s">
        <v>2246</v>
      </c>
      <c r="H244" s="16" t="n">
        <v>410</v>
      </c>
      <c r="I244" s="15" t="n">
        <v>48</v>
      </c>
      <c r="J244" s="15" t="s">
        <v>5227</v>
      </c>
      <c r="K244" s="15" t="s">
        <v>5392</v>
      </c>
      <c r="L244" s="15" t="n">
        <v>3</v>
      </c>
      <c r="M244" s="15" t="s">
        <v>5161</v>
      </c>
      <c r="N244" s="18" t="str">
        <f aca="false">IFERROR(IF(ISNUMBER(SEARCH(D244,INDEX(Pages!$J$2:$J$824,MATCH(A244,Pages!$B$2:$B$824,0)))),"Yes","No"),"Page not found")</f>
        <v>Yes</v>
      </c>
      <c r="O244" s="3" t="s">
        <v>5426</v>
      </c>
      <c r="P244" s="3"/>
    </row>
    <row r="245" customFormat="false" ht="15" hidden="false" customHeight="false" outlineLevel="0" collapsed="false">
      <c r="A245" s="15" t="s">
        <v>2621</v>
      </c>
      <c r="B245" s="15" t="s">
        <v>2076</v>
      </c>
      <c r="C245" s="15" t="s">
        <v>82</v>
      </c>
      <c r="D245" s="15" t="s">
        <v>2625</v>
      </c>
      <c r="E245" s="15" t="s">
        <v>104</v>
      </c>
      <c r="F245" s="15" t="s">
        <v>715</v>
      </c>
      <c r="G245" s="15" t="s">
        <v>2239</v>
      </c>
      <c r="H245" s="16" t="n">
        <v>400</v>
      </c>
      <c r="I245" s="15" t="n">
        <v>72</v>
      </c>
      <c r="J245" s="15" t="s">
        <v>5227</v>
      </c>
      <c r="K245" s="15" t="s">
        <v>5228</v>
      </c>
      <c r="L245" s="15" t="n">
        <v>3</v>
      </c>
      <c r="M245" s="15" t="s">
        <v>5161</v>
      </c>
      <c r="N245" s="18" t="str">
        <f aca="false">IFERROR(IF(ISNUMBER(SEARCH(D245,INDEX(Pages!$J$2:$J$824,MATCH(A245,Pages!$B$2:$B$824,0)))),"Yes","No"),"Page not found")</f>
        <v>Yes</v>
      </c>
      <c r="O245" s="3" t="s">
        <v>5226</v>
      </c>
      <c r="P245" s="3"/>
    </row>
    <row r="246" customFormat="false" ht="23.85" hidden="false" customHeight="false" outlineLevel="0" collapsed="false">
      <c r="A246" s="15" t="s">
        <v>2711</v>
      </c>
      <c r="B246" s="15" t="s">
        <v>2076</v>
      </c>
      <c r="C246" s="15" t="s">
        <v>82</v>
      </c>
      <c r="D246" s="15" t="s">
        <v>2715</v>
      </c>
      <c r="E246" s="15" t="s">
        <v>104</v>
      </c>
      <c r="F246" s="15" t="s">
        <v>715</v>
      </c>
      <c r="G246" s="15" t="s">
        <v>2344</v>
      </c>
      <c r="H246" s="16" t="n">
        <v>400</v>
      </c>
      <c r="I246" s="15" t="n">
        <v>56</v>
      </c>
      <c r="J246" s="15" t="s">
        <v>5227</v>
      </c>
      <c r="K246" s="15" t="s">
        <v>5228</v>
      </c>
      <c r="L246" s="15" t="n">
        <v>4</v>
      </c>
      <c r="M246" s="15" t="s">
        <v>5161</v>
      </c>
      <c r="N246" s="18" t="str">
        <f aca="false">IFERROR(IF(ISNUMBER(SEARCH(D246,INDEX(Pages!$J$2:$J$824,MATCH(A246,Pages!$B$2:$B$824,0)))),"Yes","No"),"Page not found")</f>
        <v>Yes</v>
      </c>
      <c r="O246" s="3" t="s">
        <v>5212</v>
      </c>
      <c r="P246" s="3" t="s">
        <v>5483</v>
      </c>
    </row>
    <row r="247" customFormat="false" ht="15" hidden="false" customHeight="false" outlineLevel="0" collapsed="false">
      <c r="A247" s="15" t="s">
        <v>487</v>
      </c>
      <c r="B247" s="15" t="s">
        <v>384</v>
      </c>
      <c r="C247" s="15" t="s">
        <v>90</v>
      </c>
      <c r="D247" s="15" t="s">
        <v>491</v>
      </c>
      <c r="E247" s="15" t="s">
        <v>147</v>
      </c>
      <c r="F247" s="15"/>
      <c r="G247" s="15"/>
      <c r="H247" s="16" t="n">
        <v>390</v>
      </c>
      <c r="I247" s="15" t="n">
        <v>25</v>
      </c>
      <c r="J247" s="15" t="s">
        <v>5159</v>
      </c>
      <c r="K247" s="15" t="s">
        <v>5351</v>
      </c>
      <c r="L247" s="15" t="n">
        <v>3</v>
      </c>
      <c r="M247" s="15" t="s">
        <v>5161</v>
      </c>
      <c r="N247" s="18" t="str">
        <f aca="false">IFERROR(IF(ISNUMBER(SEARCH(D247,INDEX(Pages!$J$2:$J$824,MATCH(A247,Pages!$B$2:$B$824,0)))),"Yes","No"),"Page not found")</f>
        <v>Yes</v>
      </c>
      <c r="O247" s="3" t="s">
        <v>5212</v>
      </c>
      <c r="P247" s="3" t="s">
        <v>5487</v>
      </c>
    </row>
    <row r="248" customFormat="false" ht="15" hidden="false" customHeight="false" outlineLevel="0" collapsed="false">
      <c r="A248" s="15" t="s">
        <v>5019</v>
      </c>
      <c r="B248" s="15" t="s">
        <v>5000</v>
      </c>
      <c r="C248" s="15" t="s">
        <v>76</v>
      </c>
      <c r="D248" s="15" t="s">
        <v>5023</v>
      </c>
      <c r="E248" s="15" t="s">
        <v>147</v>
      </c>
      <c r="F248" s="15"/>
      <c r="G248" s="15"/>
      <c r="H248" s="16" t="n">
        <v>390</v>
      </c>
      <c r="I248" s="15" t="n">
        <v>35</v>
      </c>
      <c r="J248" s="15" t="s">
        <v>5177</v>
      </c>
      <c r="K248" s="15" t="s">
        <v>5254</v>
      </c>
      <c r="L248" s="15" t="n">
        <v>1</v>
      </c>
      <c r="M248" s="15" t="s">
        <v>5161</v>
      </c>
      <c r="N248" s="18" t="str">
        <f aca="false">IFERROR(IF(ISNUMBER(SEARCH(D248,INDEX(Pages!$J$2:$J$824,MATCH(A248,Pages!$B$2:$B$824,0)))),"Yes","No"),"Page not found")</f>
        <v>Yes</v>
      </c>
      <c r="O248" s="3" t="s">
        <v>5260</v>
      </c>
      <c r="P248" s="3"/>
    </row>
    <row r="249" customFormat="false" ht="15" hidden="false" customHeight="false" outlineLevel="0" collapsed="false">
      <c r="A249" s="15" t="s">
        <v>3491</v>
      </c>
      <c r="B249" s="15" t="s">
        <v>2076</v>
      </c>
      <c r="C249" s="15" t="s">
        <v>84</v>
      </c>
      <c r="D249" s="15" t="s">
        <v>3495</v>
      </c>
      <c r="E249" s="15" t="s">
        <v>104</v>
      </c>
      <c r="F249" s="15" t="s">
        <v>729</v>
      </c>
      <c r="G249" s="15" t="s">
        <v>2442</v>
      </c>
      <c r="H249" s="16" t="n">
        <v>390</v>
      </c>
      <c r="I249" s="15" t="n">
        <v>52</v>
      </c>
      <c r="J249" s="15" t="s">
        <v>5227</v>
      </c>
      <c r="K249" s="15" t="s">
        <v>5392</v>
      </c>
      <c r="L249" s="15" t="n">
        <v>4</v>
      </c>
      <c r="M249" s="15" t="s">
        <v>5161</v>
      </c>
      <c r="N249" s="18" t="str">
        <f aca="false">IFERROR(IF(ISNUMBER(SEARCH(D249,INDEX(Pages!$J$2:$J$824,MATCH(A249,Pages!$B$2:$B$824,0)))),"Yes","No"),"Page not found")</f>
        <v>Yes</v>
      </c>
      <c r="O249" s="3" t="s">
        <v>5376</v>
      </c>
      <c r="P249" s="3" t="s">
        <v>5427</v>
      </c>
    </row>
    <row r="250" customFormat="false" ht="23.85" hidden="false" customHeight="false" outlineLevel="0" collapsed="false">
      <c r="A250" s="15" t="s">
        <v>3539</v>
      </c>
      <c r="B250" s="15" t="s">
        <v>2076</v>
      </c>
      <c r="C250" s="15" t="s">
        <v>74</v>
      </c>
      <c r="D250" s="15" t="s">
        <v>3543</v>
      </c>
      <c r="E250" s="15" t="s">
        <v>104</v>
      </c>
      <c r="F250" s="15" t="s">
        <v>657</v>
      </c>
      <c r="G250" s="15" t="s">
        <v>2092</v>
      </c>
      <c r="H250" s="16" t="n">
        <v>390</v>
      </c>
      <c r="I250" s="15" t="n">
        <v>51</v>
      </c>
      <c r="J250" s="15" t="s">
        <v>5227</v>
      </c>
      <c r="K250" s="15" t="s">
        <v>5444</v>
      </c>
      <c r="L250" s="15" t="n">
        <v>1</v>
      </c>
      <c r="M250" s="15" t="s">
        <v>5161</v>
      </c>
      <c r="N250" s="18" t="str">
        <f aca="false">IFERROR(IF(ISNUMBER(SEARCH(D250,INDEX(Pages!$J$2:$J$824,MATCH(A250,Pages!$B$2:$B$824,0)))),"Yes","No"),"Page not found")</f>
        <v>Yes</v>
      </c>
      <c r="O250" s="3" t="s">
        <v>5445</v>
      </c>
      <c r="P250" s="3" t="s">
        <v>5230</v>
      </c>
    </row>
    <row r="251" customFormat="false" ht="23.85" hidden="false" customHeight="false" outlineLevel="0" collapsed="false">
      <c r="A251" s="15" t="s">
        <v>3749</v>
      </c>
      <c r="B251" s="15" t="s">
        <v>2076</v>
      </c>
      <c r="C251" s="15" t="s">
        <v>74</v>
      </c>
      <c r="D251" s="15" t="s">
        <v>3753</v>
      </c>
      <c r="E251" s="15" t="s">
        <v>104</v>
      </c>
      <c r="F251" s="15" t="s">
        <v>715</v>
      </c>
      <c r="G251" s="15" t="s">
        <v>2337</v>
      </c>
      <c r="H251" s="16" t="n">
        <v>390</v>
      </c>
      <c r="I251" s="15" t="n">
        <v>47</v>
      </c>
      <c r="J251" s="15" t="s">
        <v>5227</v>
      </c>
      <c r="K251" s="15" t="s">
        <v>5444</v>
      </c>
      <c r="L251" s="15" t="n">
        <v>1</v>
      </c>
      <c r="M251" s="15" t="s">
        <v>5161</v>
      </c>
      <c r="N251" s="18" t="str">
        <f aca="false">IFERROR(IF(ISNUMBER(SEARCH(D251,INDEX(Pages!$J$2:$J$824,MATCH(A251,Pages!$B$2:$B$824,0)))),"Yes","No"),"Page not found")</f>
        <v>Yes</v>
      </c>
      <c r="O251" s="3" t="s">
        <v>5488</v>
      </c>
      <c r="P251" s="3" t="s">
        <v>5230</v>
      </c>
    </row>
    <row r="252" customFormat="false" ht="15" hidden="false" customHeight="false" outlineLevel="0" collapsed="false">
      <c r="A252" s="15" t="s">
        <v>625</v>
      </c>
      <c r="B252" s="15" t="s">
        <v>384</v>
      </c>
      <c r="C252" s="15" t="s">
        <v>86</v>
      </c>
      <c r="D252" s="15" t="s">
        <v>629</v>
      </c>
      <c r="E252" s="15" t="s">
        <v>147</v>
      </c>
      <c r="F252" s="15"/>
      <c r="G252" s="15"/>
      <c r="H252" s="16" t="n">
        <v>390</v>
      </c>
      <c r="I252" s="15" t="n">
        <v>20</v>
      </c>
      <c r="J252" s="15" t="s">
        <v>5159</v>
      </c>
      <c r="K252" s="15" t="s">
        <v>5285</v>
      </c>
      <c r="L252" s="15" t="n">
        <v>3</v>
      </c>
      <c r="M252" s="15" t="s">
        <v>5161</v>
      </c>
      <c r="N252" s="18" t="str">
        <f aca="false">IFERROR(IF(ISNUMBER(SEARCH(D252,INDEX(Pages!$J$2:$J$824,MATCH(A252,Pages!$B$2:$B$824,0)))),"Yes","No"),"Page not found")</f>
        <v>Yes</v>
      </c>
      <c r="O252" s="3" t="s">
        <v>5489</v>
      </c>
      <c r="P252" s="3" t="s">
        <v>5490</v>
      </c>
    </row>
    <row r="253" customFormat="false" ht="15" hidden="false" customHeight="false" outlineLevel="0" collapsed="false">
      <c r="A253" s="15" t="s">
        <v>655</v>
      </c>
      <c r="B253" s="15" t="s">
        <v>656</v>
      </c>
      <c r="C253" s="15" t="s">
        <v>89</v>
      </c>
      <c r="D253" s="15" t="s">
        <v>661</v>
      </c>
      <c r="E253" s="15" t="s">
        <v>662</v>
      </c>
      <c r="F253" s="15" t="s">
        <v>657</v>
      </c>
      <c r="G253" s="15"/>
      <c r="H253" s="16" t="n">
        <v>370</v>
      </c>
      <c r="I253" s="15" t="n">
        <v>44</v>
      </c>
      <c r="J253" s="15" t="s">
        <v>5159</v>
      </c>
      <c r="K253" s="15" t="s">
        <v>5425</v>
      </c>
      <c r="L253" s="15" t="n">
        <v>1</v>
      </c>
      <c r="M253" s="15" t="s">
        <v>5161</v>
      </c>
      <c r="N253" s="18" t="str">
        <f aca="false">IFERROR(IF(ISNUMBER(SEARCH(D253,INDEX(Pages!$J$2:$J$824,MATCH(A253,Pages!$B$2:$B$824,0)))),"Yes","No"),"Page not found")</f>
        <v>No</v>
      </c>
      <c r="O253" s="3" t="s">
        <v>5426</v>
      </c>
      <c r="P253" s="3"/>
    </row>
    <row r="254" customFormat="false" ht="15" hidden="false" customHeight="false" outlineLevel="0" collapsed="false">
      <c r="A254" s="15" t="s">
        <v>2519</v>
      </c>
      <c r="B254" s="15" t="s">
        <v>2076</v>
      </c>
      <c r="C254" s="15" t="s">
        <v>82</v>
      </c>
      <c r="D254" s="15" t="s">
        <v>2523</v>
      </c>
      <c r="E254" s="15" t="s">
        <v>104</v>
      </c>
      <c r="F254" s="15" t="s">
        <v>666</v>
      </c>
      <c r="G254" s="15" t="s">
        <v>2120</v>
      </c>
      <c r="H254" s="16" t="n">
        <v>370</v>
      </c>
      <c r="I254" s="15" t="n">
        <v>60</v>
      </c>
      <c r="J254" s="15" t="s">
        <v>5227</v>
      </c>
      <c r="K254" s="15" t="s">
        <v>5228</v>
      </c>
      <c r="L254" s="15" t="n">
        <v>4</v>
      </c>
      <c r="M254" s="15" t="s">
        <v>5161</v>
      </c>
      <c r="N254" s="18" t="str">
        <f aca="false">IFERROR(IF(ISNUMBER(SEARCH(D254,INDEX(Pages!$J$2:$J$824,MATCH(A254,Pages!$B$2:$B$824,0)))),"Yes","No"),"Page not found")</f>
        <v>Yes</v>
      </c>
      <c r="O254" s="3" t="s">
        <v>5426</v>
      </c>
      <c r="P254" s="3" t="s">
        <v>5377</v>
      </c>
    </row>
    <row r="255" customFormat="false" ht="15" hidden="false" customHeight="false" outlineLevel="0" collapsed="false">
      <c r="A255" s="15" t="s">
        <v>2783</v>
      </c>
      <c r="B255" s="15" t="s">
        <v>2076</v>
      </c>
      <c r="C255" s="15" t="s">
        <v>82</v>
      </c>
      <c r="D255" s="15" t="s">
        <v>2787</v>
      </c>
      <c r="E255" s="15" t="s">
        <v>104</v>
      </c>
      <c r="F255" s="15" t="s">
        <v>729</v>
      </c>
      <c r="G255" s="15" t="s">
        <v>2428</v>
      </c>
      <c r="H255" s="16" t="n">
        <v>370</v>
      </c>
      <c r="I255" s="15" t="n">
        <v>60</v>
      </c>
      <c r="J255" s="15" t="s">
        <v>5227</v>
      </c>
      <c r="K255" s="15" t="s">
        <v>5228</v>
      </c>
      <c r="L255" s="15" t="n">
        <v>4</v>
      </c>
      <c r="M255" s="15" t="s">
        <v>5161</v>
      </c>
      <c r="N255" s="18" t="str">
        <f aca="false">IFERROR(IF(ISNUMBER(SEARCH(D255,INDEX(Pages!$J$2:$J$824,MATCH(A255,Pages!$B$2:$B$824,0)))),"Yes","No"),"Page not found")</f>
        <v>Yes</v>
      </c>
      <c r="O255" s="3" t="s">
        <v>5426</v>
      </c>
      <c r="P255" s="3" t="s">
        <v>5427</v>
      </c>
    </row>
    <row r="256" customFormat="false" ht="15" hidden="false" customHeight="false" outlineLevel="0" collapsed="false">
      <c r="A256" s="15" t="s">
        <v>4585</v>
      </c>
      <c r="B256" s="15" t="s">
        <v>4572</v>
      </c>
      <c r="C256" s="15" t="s">
        <v>94</v>
      </c>
      <c r="D256" s="15" t="s">
        <v>4589</v>
      </c>
      <c r="E256" s="15" t="s">
        <v>104</v>
      </c>
      <c r="F256" s="15" t="s">
        <v>657</v>
      </c>
      <c r="G256" s="15" t="s">
        <v>2084</v>
      </c>
      <c r="H256" s="16" t="n">
        <v>370</v>
      </c>
      <c r="I256" s="15" t="n">
        <v>30</v>
      </c>
      <c r="J256" s="15" t="s">
        <v>5227</v>
      </c>
      <c r="K256" s="15" t="s">
        <v>5243</v>
      </c>
      <c r="L256" s="15" t="n">
        <v>1</v>
      </c>
      <c r="M256" s="15" t="s">
        <v>5161</v>
      </c>
      <c r="N256" s="18" t="str">
        <f aca="false">IFERROR(IF(ISNUMBER(SEARCH(D256,INDEX(Pages!$J$2:$J$824,MATCH(A256,Pages!$B$2:$B$824,0)))),"Yes","No"),"Page not found")</f>
        <v>No</v>
      </c>
      <c r="O256" s="3" t="s">
        <v>5471</v>
      </c>
      <c r="P256" s="3" t="s">
        <v>5472</v>
      </c>
    </row>
    <row r="257" customFormat="false" ht="15" hidden="false" customHeight="false" outlineLevel="0" collapsed="false">
      <c r="A257" s="15" t="s">
        <v>2723</v>
      </c>
      <c r="B257" s="15" t="s">
        <v>2076</v>
      </c>
      <c r="C257" s="15" t="s">
        <v>82</v>
      </c>
      <c r="D257" s="15" t="s">
        <v>2727</v>
      </c>
      <c r="E257" s="15" t="s">
        <v>104</v>
      </c>
      <c r="F257" s="15" t="s">
        <v>715</v>
      </c>
      <c r="G257" s="15" t="s">
        <v>2358</v>
      </c>
      <c r="H257" s="16" t="n">
        <v>360</v>
      </c>
      <c r="I257" s="15" t="n">
        <v>68</v>
      </c>
      <c r="J257" s="15" t="s">
        <v>5227</v>
      </c>
      <c r="K257" s="15" t="s">
        <v>5228</v>
      </c>
      <c r="L257" s="15" t="n">
        <v>3</v>
      </c>
      <c r="M257" s="15" t="s">
        <v>5161</v>
      </c>
      <c r="N257" s="18" t="str">
        <f aca="false">IFERROR(IF(ISNUMBER(SEARCH(D257,INDEX(Pages!$J$2:$J$824,MATCH(A257,Pages!$B$2:$B$824,0)))),"Yes","No"),"Page not found")</f>
        <v>No</v>
      </c>
      <c r="O257" s="3" t="s">
        <v>5476</v>
      </c>
      <c r="P257" s="3"/>
    </row>
    <row r="258" customFormat="false" ht="15" hidden="false" customHeight="false" outlineLevel="0" collapsed="false">
      <c r="A258" s="15" t="s">
        <v>2819</v>
      </c>
      <c r="B258" s="15" t="s">
        <v>2076</v>
      </c>
      <c r="C258" s="15" t="s">
        <v>82</v>
      </c>
      <c r="D258" s="15" t="s">
        <v>2823</v>
      </c>
      <c r="E258" s="15" t="s">
        <v>104</v>
      </c>
      <c r="F258" s="15" t="s">
        <v>736</v>
      </c>
      <c r="G258" s="15" t="s">
        <v>2470</v>
      </c>
      <c r="H258" s="16" t="n">
        <v>360</v>
      </c>
      <c r="I258" s="15" t="n">
        <v>64</v>
      </c>
      <c r="J258" s="15" t="s">
        <v>5227</v>
      </c>
      <c r="K258" s="15" t="s">
        <v>5228</v>
      </c>
      <c r="L258" s="15" t="n">
        <v>5</v>
      </c>
      <c r="M258" s="15" t="s">
        <v>5161</v>
      </c>
      <c r="N258" s="18" t="str">
        <f aca="false">IFERROR(IF(ISNUMBER(SEARCH(D258,INDEX(Pages!$J$2:$J$824,MATCH(A258,Pages!$B$2:$B$824,0)))),"Yes","No"),"Page not found")</f>
        <v>Yes</v>
      </c>
      <c r="O258" s="3" t="s">
        <v>5376</v>
      </c>
      <c r="P258" s="3" t="s">
        <v>5479</v>
      </c>
    </row>
    <row r="259" customFormat="false" ht="15" hidden="false" customHeight="false" outlineLevel="0" collapsed="false">
      <c r="A259" s="15" t="s">
        <v>4289</v>
      </c>
      <c r="B259" s="15" t="s">
        <v>2076</v>
      </c>
      <c r="C259" s="15" t="s">
        <v>86</v>
      </c>
      <c r="D259" s="15" t="s">
        <v>4293</v>
      </c>
      <c r="E259" s="15" t="s">
        <v>104</v>
      </c>
      <c r="F259" s="15" t="s">
        <v>666</v>
      </c>
      <c r="G259" s="15" t="s">
        <v>2155</v>
      </c>
      <c r="H259" s="16" t="n">
        <v>360</v>
      </c>
      <c r="I259" s="15" t="n">
        <v>44</v>
      </c>
      <c r="J259" s="15" t="s">
        <v>5227</v>
      </c>
      <c r="K259" s="15" t="s">
        <v>5392</v>
      </c>
      <c r="L259" s="15" t="n">
        <v>4</v>
      </c>
      <c r="M259" s="15" t="s">
        <v>5161</v>
      </c>
      <c r="N259" s="18" t="str">
        <f aca="false">IFERROR(IF(ISNUMBER(SEARCH(D259,INDEX(Pages!$J$2:$J$824,MATCH(A259,Pages!$B$2:$B$824,0)))),"Yes","No"),"Page not found")</f>
        <v>Yes</v>
      </c>
      <c r="O259" s="3" t="s">
        <v>5408</v>
      </c>
      <c r="P259" s="3"/>
    </row>
    <row r="260" customFormat="false" ht="15" hidden="false" customHeight="false" outlineLevel="0" collapsed="false">
      <c r="A260" s="15" t="s">
        <v>4391</v>
      </c>
      <c r="B260" s="15" t="s">
        <v>2076</v>
      </c>
      <c r="C260" s="15" t="s">
        <v>86</v>
      </c>
      <c r="D260" s="15" t="s">
        <v>4395</v>
      </c>
      <c r="E260" s="15" t="s">
        <v>104</v>
      </c>
      <c r="F260" s="15" t="s">
        <v>715</v>
      </c>
      <c r="G260" s="15" t="s">
        <v>2274</v>
      </c>
      <c r="H260" s="16" t="n">
        <v>360</v>
      </c>
      <c r="I260" s="15" t="n">
        <v>48</v>
      </c>
      <c r="J260" s="15" t="s">
        <v>5227</v>
      </c>
      <c r="K260" s="15" t="s">
        <v>5392</v>
      </c>
      <c r="L260" s="15" t="n">
        <v>3</v>
      </c>
      <c r="M260" s="15" t="s">
        <v>5161</v>
      </c>
      <c r="N260" s="18" t="str">
        <f aca="false">IFERROR(IF(ISNUMBER(SEARCH(D260,INDEX(Pages!$J$2:$J$824,MATCH(A260,Pages!$B$2:$B$824,0)))),"Yes","No"),"Page not found")</f>
        <v>Yes</v>
      </c>
      <c r="O260" s="3" t="s">
        <v>5426</v>
      </c>
      <c r="P260" s="3"/>
    </row>
    <row r="261" customFormat="false" ht="15" hidden="false" customHeight="false" outlineLevel="0" collapsed="false">
      <c r="A261" s="15" t="s">
        <v>3371</v>
      </c>
      <c r="B261" s="15" t="s">
        <v>2076</v>
      </c>
      <c r="C261" s="15" t="s">
        <v>84</v>
      </c>
      <c r="D261" s="15" t="s">
        <v>3375</v>
      </c>
      <c r="E261" s="15" t="s">
        <v>104</v>
      </c>
      <c r="F261" s="15" t="s">
        <v>715</v>
      </c>
      <c r="G261" s="15" t="s">
        <v>2302</v>
      </c>
      <c r="H261" s="16" t="n">
        <v>350</v>
      </c>
      <c r="I261" s="15" t="n">
        <v>56</v>
      </c>
      <c r="J261" s="15" t="s">
        <v>5227</v>
      </c>
      <c r="K261" s="15" t="s">
        <v>5392</v>
      </c>
      <c r="L261" s="15" t="n">
        <v>2</v>
      </c>
      <c r="M261" s="15" t="s">
        <v>5161</v>
      </c>
      <c r="N261" s="18" t="str">
        <f aca="false">IFERROR(IF(ISNUMBER(SEARCH(D261,INDEX(Pages!$J$2:$J$824,MATCH(A261,Pages!$B$2:$B$824,0)))),"Yes","No"),"Page not found")</f>
        <v>Yes</v>
      </c>
      <c r="O261" s="3" t="s">
        <v>5426</v>
      </c>
      <c r="P261" s="3"/>
    </row>
    <row r="262" customFormat="false" ht="23.85" hidden="false" customHeight="false" outlineLevel="0" collapsed="false">
      <c r="A262" s="15" t="s">
        <v>2639</v>
      </c>
      <c r="B262" s="15" t="s">
        <v>2076</v>
      </c>
      <c r="C262" s="15" t="s">
        <v>82</v>
      </c>
      <c r="D262" s="15" t="s">
        <v>2643</v>
      </c>
      <c r="E262" s="15" t="s">
        <v>104</v>
      </c>
      <c r="F262" s="15" t="s">
        <v>715</v>
      </c>
      <c r="G262" s="15" t="s">
        <v>2260</v>
      </c>
      <c r="H262" s="16" t="n">
        <v>340</v>
      </c>
      <c r="I262" s="15" t="n">
        <v>56</v>
      </c>
      <c r="J262" s="15" t="s">
        <v>5227</v>
      </c>
      <c r="K262" s="15" t="s">
        <v>5228</v>
      </c>
      <c r="L262" s="15" t="n">
        <v>4</v>
      </c>
      <c r="M262" s="15" t="s">
        <v>5161</v>
      </c>
      <c r="N262" s="18" t="str">
        <f aca="false">IFERROR(IF(ISNUMBER(SEARCH(D262,INDEX(Pages!$J$2:$J$824,MATCH(A262,Pages!$B$2:$B$824,0)))),"Yes","No"),"Page not found")</f>
        <v>Yes</v>
      </c>
      <c r="O262" s="3" t="s">
        <v>5212</v>
      </c>
      <c r="P262" s="3" t="s">
        <v>5483</v>
      </c>
    </row>
    <row r="263" customFormat="false" ht="23.85" hidden="false" customHeight="false" outlineLevel="0" collapsed="false">
      <c r="A263" s="15" t="s">
        <v>2729</v>
      </c>
      <c r="B263" s="15" t="s">
        <v>2076</v>
      </c>
      <c r="C263" s="15" t="s">
        <v>82</v>
      </c>
      <c r="D263" s="15" t="s">
        <v>2733</v>
      </c>
      <c r="E263" s="15" t="s">
        <v>104</v>
      </c>
      <c r="F263" s="15" t="s">
        <v>715</v>
      </c>
      <c r="G263" s="15" t="s">
        <v>2365</v>
      </c>
      <c r="H263" s="16" t="n">
        <v>340</v>
      </c>
      <c r="I263" s="15" t="n">
        <v>60</v>
      </c>
      <c r="J263" s="15" t="s">
        <v>5227</v>
      </c>
      <c r="K263" s="15" t="s">
        <v>5228</v>
      </c>
      <c r="L263" s="15" t="n">
        <v>4</v>
      </c>
      <c r="M263" s="15" t="s">
        <v>5161</v>
      </c>
      <c r="N263" s="18" t="str">
        <f aca="false">IFERROR(IF(ISNUMBER(SEARCH(D263,INDEX(Pages!$J$2:$J$824,MATCH(A263,Pages!$B$2:$B$824,0)))),"Yes","No"),"Page not found")</f>
        <v>Yes</v>
      </c>
      <c r="O263" s="3" t="s">
        <v>5182</v>
      </c>
      <c r="P263" s="3" t="s">
        <v>5483</v>
      </c>
    </row>
    <row r="264" customFormat="false" ht="15" hidden="false" customHeight="false" outlineLevel="0" collapsed="false">
      <c r="A264" s="15" t="s">
        <v>3443</v>
      </c>
      <c r="B264" s="15" t="s">
        <v>2076</v>
      </c>
      <c r="C264" s="15" t="s">
        <v>84</v>
      </c>
      <c r="D264" s="15" t="s">
        <v>3447</v>
      </c>
      <c r="E264" s="15" t="s">
        <v>104</v>
      </c>
      <c r="F264" s="15" t="s">
        <v>715</v>
      </c>
      <c r="G264" s="15" t="s">
        <v>2386</v>
      </c>
      <c r="H264" s="16" t="n">
        <v>340</v>
      </c>
      <c r="I264" s="15" t="n">
        <v>56</v>
      </c>
      <c r="J264" s="15" t="s">
        <v>5227</v>
      </c>
      <c r="K264" s="15" t="s">
        <v>5392</v>
      </c>
      <c r="L264" s="15" t="n">
        <v>2</v>
      </c>
      <c r="M264" s="15" t="s">
        <v>5161</v>
      </c>
      <c r="N264" s="18" t="str">
        <f aca="false">IFERROR(IF(ISNUMBER(SEARCH(D264,INDEX(Pages!$J$2:$J$824,MATCH(A264,Pages!$B$2:$B$824,0)))),"Yes","No"),"Page not found")</f>
        <v>Yes</v>
      </c>
      <c r="O264" s="3" t="s">
        <v>5426</v>
      </c>
      <c r="P264" s="3"/>
    </row>
    <row r="265" customFormat="false" ht="15" hidden="false" customHeight="false" outlineLevel="0" collapsed="false">
      <c r="A265" s="15" t="s">
        <v>2645</v>
      </c>
      <c r="B265" s="15" t="s">
        <v>2076</v>
      </c>
      <c r="C265" s="15" t="s">
        <v>82</v>
      </c>
      <c r="D265" s="15" t="s">
        <v>2649</v>
      </c>
      <c r="E265" s="15" t="s">
        <v>104</v>
      </c>
      <c r="F265" s="15" t="s">
        <v>715</v>
      </c>
      <c r="G265" s="15" t="s">
        <v>2267</v>
      </c>
      <c r="H265" s="16" t="n">
        <v>330</v>
      </c>
      <c r="I265" s="15" t="n">
        <v>68</v>
      </c>
      <c r="J265" s="15" t="s">
        <v>5227</v>
      </c>
      <c r="K265" s="15" t="s">
        <v>5228</v>
      </c>
      <c r="L265" s="15" t="n">
        <v>3</v>
      </c>
      <c r="M265" s="15" t="s">
        <v>5161</v>
      </c>
      <c r="N265" s="18" t="str">
        <f aca="false">IFERROR(IF(ISNUMBER(SEARCH(D265,INDEX(Pages!$J$2:$J$824,MATCH(A265,Pages!$B$2:$B$824,0)))),"Yes","No"),"Page not found")</f>
        <v>Yes</v>
      </c>
      <c r="O265" s="3" t="s">
        <v>5182</v>
      </c>
      <c r="P265" s="3"/>
    </row>
    <row r="266" customFormat="false" ht="15" hidden="false" customHeight="false" outlineLevel="0" collapsed="false">
      <c r="A266" s="15" t="s">
        <v>2083</v>
      </c>
      <c r="B266" s="15" t="s">
        <v>2076</v>
      </c>
      <c r="C266" s="15" t="s">
        <v>89</v>
      </c>
      <c r="D266" s="15" t="s">
        <v>2088</v>
      </c>
      <c r="E266" s="15" t="s">
        <v>104</v>
      </c>
      <c r="F266" s="15" t="s">
        <v>657</v>
      </c>
      <c r="G266" s="15" t="s">
        <v>2084</v>
      </c>
      <c r="H266" s="16" t="n">
        <v>320</v>
      </c>
      <c r="I266" s="15" t="n">
        <v>41</v>
      </c>
      <c r="J266" s="15" t="s">
        <v>5227</v>
      </c>
      <c r="K266" s="15" t="s">
        <v>5473</v>
      </c>
      <c r="L266" s="15" t="n">
        <v>1</v>
      </c>
      <c r="M266" s="15" t="s">
        <v>5161</v>
      </c>
      <c r="N266" s="18" t="str">
        <f aca="false">IFERROR(IF(ISNUMBER(SEARCH(D266,INDEX(Pages!$J$2:$J$824,MATCH(A266,Pages!$B$2:$B$824,0)))),"Yes","No"),"Page not found")</f>
        <v>Yes</v>
      </c>
      <c r="O266" s="3" t="s">
        <v>5426</v>
      </c>
      <c r="P266" s="3"/>
    </row>
    <row r="267" customFormat="false" ht="15" hidden="false" customHeight="false" outlineLevel="0" collapsed="false">
      <c r="A267" s="15" t="s">
        <v>2543</v>
      </c>
      <c r="B267" s="15" t="s">
        <v>2076</v>
      </c>
      <c r="C267" s="15" t="s">
        <v>82</v>
      </c>
      <c r="D267" s="15" t="s">
        <v>2547</v>
      </c>
      <c r="E267" s="15" t="s">
        <v>104</v>
      </c>
      <c r="F267" s="15" t="s">
        <v>666</v>
      </c>
      <c r="G267" s="15" t="s">
        <v>2148</v>
      </c>
      <c r="H267" s="16" t="n">
        <v>320</v>
      </c>
      <c r="I267" s="15" t="n">
        <v>52</v>
      </c>
      <c r="J267" s="15" t="s">
        <v>5227</v>
      </c>
      <c r="K267" s="15" t="s">
        <v>5228</v>
      </c>
      <c r="L267" s="15" t="n">
        <v>4</v>
      </c>
      <c r="M267" s="15" t="s">
        <v>5161</v>
      </c>
      <c r="N267" s="18" t="str">
        <f aca="false">IFERROR(IF(ISNUMBER(SEARCH(D267,INDEX(Pages!$J$2:$J$824,MATCH(A267,Pages!$B$2:$B$824,0)))),"Yes","No"),"Page not found")</f>
        <v>No</v>
      </c>
      <c r="O267" s="3" t="s">
        <v>5426</v>
      </c>
      <c r="P267" s="3" t="s">
        <v>5377</v>
      </c>
    </row>
    <row r="268" customFormat="false" ht="15" hidden="false" customHeight="false" outlineLevel="0" collapsed="false">
      <c r="A268" s="15" t="s">
        <v>2813</v>
      </c>
      <c r="B268" s="15" t="s">
        <v>2076</v>
      </c>
      <c r="C268" s="15" t="s">
        <v>82</v>
      </c>
      <c r="D268" s="15" t="s">
        <v>2817</v>
      </c>
      <c r="E268" s="15" t="s">
        <v>104</v>
      </c>
      <c r="F268" s="15" t="s">
        <v>736</v>
      </c>
      <c r="G268" s="15" t="s">
        <v>2463</v>
      </c>
      <c r="H268" s="16" t="n">
        <v>320</v>
      </c>
      <c r="I268" s="15" t="n">
        <v>64</v>
      </c>
      <c r="J268" s="15" t="s">
        <v>5227</v>
      </c>
      <c r="K268" s="15" t="s">
        <v>5228</v>
      </c>
      <c r="L268" s="15" t="n">
        <v>5</v>
      </c>
      <c r="M268" s="15" t="s">
        <v>5161</v>
      </c>
      <c r="N268" s="18" t="str">
        <f aca="false">IFERROR(IF(ISNUMBER(SEARCH(D268,INDEX(Pages!$J$2:$J$824,MATCH(A268,Pages!$B$2:$B$824,0)))),"Yes","No"),"Page not found")</f>
        <v>Yes</v>
      </c>
      <c r="O268" s="3" t="s">
        <v>5376</v>
      </c>
      <c r="P268" s="3" t="s">
        <v>5479</v>
      </c>
    </row>
    <row r="269" customFormat="false" ht="15" hidden="false" customHeight="false" outlineLevel="0" collapsed="false">
      <c r="A269" s="15" t="s">
        <v>2837</v>
      </c>
      <c r="B269" s="15" t="s">
        <v>2076</v>
      </c>
      <c r="C269" s="15" t="s">
        <v>85</v>
      </c>
      <c r="D269" s="15" t="s">
        <v>2841</v>
      </c>
      <c r="E269" s="15" t="s">
        <v>104</v>
      </c>
      <c r="F269" s="15" t="s">
        <v>657</v>
      </c>
      <c r="G269" s="15" t="s">
        <v>2084</v>
      </c>
      <c r="H269" s="16" t="n">
        <v>320</v>
      </c>
      <c r="I269" s="15" t="n">
        <v>56</v>
      </c>
      <c r="J269" s="15" t="s">
        <v>5227</v>
      </c>
      <c r="K269" s="15" t="s">
        <v>5392</v>
      </c>
      <c r="L269" s="15" t="n">
        <v>3</v>
      </c>
      <c r="M269" s="15" t="s">
        <v>5161</v>
      </c>
      <c r="N269" s="18" t="str">
        <f aca="false">IFERROR(IF(ISNUMBER(SEARCH(D269,INDEX(Pages!$J$2:$J$824,MATCH(A269,Pages!$B$2:$B$824,0)))),"Yes","No"),"Page not found")</f>
        <v>Yes</v>
      </c>
      <c r="O269" s="3" t="s">
        <v>5476</v>
      </c>
      <c r="P269" s="3"/>
    </row>
    <row r="270" customFormat="false" ht="15" hidden="false" customHeight="false" outlineLevel="0" collapsed="false">
      <c r="A270" s="15" t="s">
        <v>505</v>
      </c>
      <c r="B270" s="15" t="s">
        <v>384</v>
      </c>
      <c r="C270" s="15" t="s">
        <v>90</v>
      </c>
      <c r="D270" s="15" t="s">
        <v>509</v>
      </c>
      <c r="E270" s="15" t="s">
        <v>147</v>
      </c>
      <c r="F270" s="15"/>
      <c r="G270" s="15"/>
      <c r="H270" s="16" t="n">
        <v>320</v>
      </c>
      <c r="I270" s="15" t="n">
        <v>25</v>
      </c>
      <c r="J270" s="15" t="s">
        <v>5159</v>
      </c>
      <c r="K270" s="15" t="s">
        <v>5351</v>
      </c>
      <c r="L270" s="15" t="n">
        <v>3</v>
      </c>
      <c r="M270" s="15" t="s">
        <v>5161</v>
      </c>
      <c r="N270" s="18" t="str">
        <f aca="false">IFERROR(IF(ISNUMBER(SEARCH(D270,INDEX(Pages!$J$2:$J$824,MATCH(A270,Pages!$B$2:$B$824,0)))),"Yes","No"),"Page not found")</f>
        <v>No</v>
      </c>
      <c r="O270" s="3" t="s">
        <v>5489</v>
      </c>
      <c r="P270" s="3" t="s">
        <v>5487</v>
      </c>
    </row>
    <row r="271" customFormat="false" ht="15" hidden="false" customHeight="false" outlineLevel="0" collapsed="false">
      <c r="A271" s="15" t="s">
        <v>1307</v>
      </c>
      <c r="B271" s="15" t="s">
        <v>656</v>
      </c>
      <c r="C271" s="15" t="s">
        <v>84</v>
      </c>
      <c r="D271" s="15" t="s">
        <v>1311</v>
      </c>
      <c r="E271" s="15" t="s">
        <v>662</v>
      </c>
      <c r="F271" s="15" t="s">
        <v>673</v>
      </c>
      <c r="G271" s="15"/>
      <c r="H271" s="16" t="n">
        <v>320</v>
      </c>
      <c r="I271" s="15" t="n">
        <v>39</v>
      </c>
      <c r="J271" s="15" t="s">
        <v>5159</v>
      </c>
      <c r="K271" s="15" t="s">
        <v>5321</v>
      </c>
      <c r="L271" s="15" t="n">
        <v>2</v>
      </c>
      <c r="M271" s="15" t="s">
        <v>5161</v>
      </c>
      <c r="N271" s="18" t="str">
        <f aca="false">IFERROR(IF(ISNUMBER(SEARCH(D271,INDEX(Pages!$J$2:$J$824,MATCH(A271,Pages!$B$2:$B$824,0)))),"Yes","No"),"Page not found")</f>
        <v>No</v>
      </c>
      <c r="O271" s="3" t="s">
        <v>5426</v>
      </c>
      <c r="P271" s="3"/>
    </row>
    <row r="272" customFormat="false" ht="15" hidden="false" customHeight="false" outlineLevel="0" collapsed="false">
      <c r="A272" s="15" t="s">
        <v>1379</v>
      </c>
      <c r="B272" s="15" t="s">
        <v>656</v>
      </c>
      <c r="C272" s="15" t="s">
        <v>74</v>
      </c>
      <c r="D272" s="15" t="s">
        <v>1383</v>
      </c>
      <c r="E272" s="15" t="s">
        <v>662</v>
      </c>
      <c r="F272" s="15" t="s">
        <v>666</v>
      </c>
      <c r="G272" s="15"/>
      <c r="H272" s="16" t="n">
        <v>320</v>
      </c>
      <c r="I272" s="15" t="n">
        <v>48</v>
      </c>
      <c r="J272" s="15" t="s">
        <v>5159</v>
      </c>
      <c r="K272" s="15" t="s">
        <v>5440</v>
      </c>
      <c r="L272" s="15" t="n">
        <v>1</v>
      </c>
      <c r="M272" s="15" t="s">
        <v>5161</v>
      </c>
      <c r="N272" s="18" t="str">
        <f aca="false">IFERROR(IF(ISNUMBER(SEARCH(D272,INDEX(Pages!$J$2:$J$824,MATCH(A272,Pages!$B$2:$B$824,0)))),"Yes","No"),"Page not found")</f>
        <v>No</v>
      </c>
      <c r="O272" s="3" t="s">
        <v>5224</v>
      </c>
      <c r="P272" s="3"/>
    </row>
    <row r="273" customFormat="false" ht="15" hidden="false" customHeight="false" outlineLevel="0" collapsed="false">
      <c r="A273" s="15" t="s">
        <v>4133</v>
      </c>
      <c r="B273" s="15" t="s">
        <v>2076</v>
      </c>
      <c r="C273" s="15" t="s">
        <v>81</v>
      </c>
      <c r="D273" s="15" t="s">
        <v>4137</v>
      </c>
      <c r="E273" s="15" t="s">
        <v>104</v>
      </c>
      <c r="F273" s="15" t="s">
        <v>715</v>
      </c>
      <c r="G273" s="15" t="s">
        <v>2379</v>
      </c>
      <c r="H273" s="16" t="n">
        <v>320</v>
      </c>
      <c r="I273" s="15" t="n">
        <v>36</v>
      </c>
      <c r="J273" s="15" t="s">
        <v>5227</v>
      </c>
      <c r="K273" s="15" t="s">
        <v>5235</v>
      </c>
      <c r="L273" s="15" t="n">
        <v>2</v>
      </c>
      <c r="M273" s="15" t="s">
        <v>5161</v>
      </c>
      <c r="N273" s="18" t="str">
        <f aca="false">IFERROR(IF(ISNUMBER(SEARCH(D273,INDEX(Pages!$J$2:$J$824,MATCH(A273,Pages!$B$2:$B$824,0)))),"Yes","No"),"Page not found")</f>
        <v>Yes</v>
      </c>
      <c r="O273" s="3" t="s">
        <v>5426</v>
      </c>
      <c r="P273" s="3"/>
    </row>
    <row r="274" customFormat="false" ht="15" hidden="false" customHeight="false" outlineLevel="0" collapsed="false">
      <c r="A274" s="15" t="s">
        <v>2507</v>
      </c>
      <c r="B274" s="15" t="s">
        <v>2076</v>
      </c>
      <c r="C274" s="15" t="s">
        <v>82</v>
      </c>
      <c r="D274" s="15" t="s">
        <v>2511</v>
      </c>
      <c r="E274" s="15" t="s">
        <v>104</v>
      </c>
      <c r="F274" s="15" t="s">
        <v>657</v>
      </c>
      <c r="G274" s="15" t="s">
        <v>2106</v>
      </c>
      <c r="H274" s="16" t="n">
        <v>310</v>
      </c>
      <c r="I274" s="15" t="n">
        <v>56</v>
      </c>
      <c r="J274" s="15" t="s">
        <v>5227</v>
      </c>
      <c r="K274" s="15" t="s">
        <v>5228</v>
      </c>
      <c r="L274" s="15" t="n">
        <v>3</v>
      </c>
      <c r="M274" s="15" t="s">
        <v>5161</v>
      </c>
      <c r="N274" s="18" t="str">
        <f aca="false">IFERROR(IF(ISNUMBER(SEARCH(D274,INDEX(Pages!$J$2:$J$824,MATCH(A274,Pages!$B$2:$B$824,0)))),"Yes","No"),"Page not found")</f>
        <v>Yes</v>
      </c>
      <c r="O274" s="3" t="s">
        <v>5376</v>
      </c>
      <c r="P274" s="3"/>
    </row>
    <row r="275" customFormat="false" ht="23.85" hidden="false" customHeight="false" outlineLevel="0" collapsed="false">
      <c r="A275" s="15" t="s">
        <v>3617</v>
      </c>
      <c r="B275" s="15" t="s">
        <v>2076</v>
      </c>
      <c r="C275" s="15" t="s">
        <v>74</v>
      </c>
      <c r="D275" s="15" t="s">
        <v>3621</v>
      </c>
      <c r="E275" s="15" t="s">
        <v>104</v>
      </c>
      <c r="F275" s="15" t="s">
        <v>673</v>
      </c>
      <c r="G275" s="15" t="s">
        <v>2183</v>
      </c>
      <c r="H275" s="16" t="n">
        <v>310</v>
      </c>
      <c r="I275" s="15" t="n">
        <v>39</v>
      </c>
      <c r="J275" s="15" t="s">
        <v>5227</v>
      </c>
      <c r="K275" s="15" t="s">
        <v>5444</v>
      </c>
      <c r="L275" s="15" t="n">
        <v>1</v>
      </c>
      <c r="M275" s="15" t="s">
        <v>5161</v>
      </c>
      <c r="N275" s="18" t="str">
        <f aca="false">IFERROR(IF(ISNUMBER(SEARCH(D275,INDEX(Pages!$J$2:$J$824,MATCH(A275,Pages!$B$2:$B$824,0)))),"Yes","No"),"Page not found")</f>
        <v>Yes</v>
      </c>
      <c r="O275" s="3" t="s">
        <v>5486</v>
      </c>
      <c r="P275" s="3" t="s">
        <v>5230</v>
      </c>
    </row>
    <row r="276" customFormat="false" ht="15" hidden="false" customHeight="false" outlineLevel="0" collapsed="false">
      <c r="A276" s="15" t="s">
        <v>2753</v>
      </c>
      <c r="B276" s="15" t="s">
        <v>2076</v>
      </c>
      <c r="C276" s="15" t="s">
        <v>82</v>
      </c>
      <c r="D276" s="15" t="s">
        <v>2757</v>
      </c>
      <c r="E276" s="15" t="s">
        <v>104</v>
      </c>
      <c r="F276" s="15" t="s">
        <v>715</v>
      </c>
      <c r="G276" s="15" t="s">
        <v>2393</v>
      </c>
      <c r="H276" s="16" t="n">
        <v>300</v>
      </c>
      <c r="I276" s="15" t="n">
        <v>64</v>
      </c>
      <c r="J276" s="15" t="s">
        <v>5227</v>
      </c>
      <c r="K276" s="15" t="s">
        <v>5228</v>
      </c>
      <c r="L276" s="15" t="n">
        <v>3</v>
      </c>
      <c r="M276" s="15" t="s">
        <v>5161</v>
      </c>
      <c r="N276" s="18" t="str">
        <f aca="false">IFERROR(IF(ISNUMBER(SEARCH(D276,INDEX(Pages!$J$2:$J$824,MATCH(A276,Pages!$B$2:$B$824,0)))),"Yes","No"),"Page not found")</f>
        <v>Yes</v>
      </c>
      <c r="O276" s="3" t="s">
        <v>5376</v>
      </c>
      <c r="P276" s="3"/>
    </row>
    <row r="277" customFormat="false" ht="15" hidden="false" customHeight="false" outlineLevel="0" collapsed="false">
      <c r="A277" s="15" t="s">
        <v>2801</v>
      </c>
      <c r="B277" s="15" t="s">
        <v>2076</v>
      </c>
      <c r="C277" s="15" t="s">
        <v>82</v>
      </c>
      <c r="D277" s="15" t="s">
        <v>2805</v>
      </c>
      <c r="E277" s="15" t="s">
        <v>104</v>
      </c>
      <c r="F277" s="15" t="s">
        <v>729</v>
      </c>
      <c r="G277" s="15" t="s">
        <v>2449</v>
      </c>
      <c r="H277" s="16" t="n">
        <v>300</v>
      </c>
      <c r="I277" s="15" t="n">
        <v>60</v>
      </c>
      <c r="J277" s="15" t="s">
        <v>5227</v>
      </c>
      <c r="K277" s="15" t="s">
        <v>5228</v>
      </c>
      <c r="L277" s="15" t="n">
        <v>4</v>
      </c>
      <c r="M277" s="15" t="s">
        <v>5161</v>
      </c>
      <c r="N277" s="18" t="str">
        <f aca="false">IFERROR(IF(ISNUMBER(SEARCH(D277,INDEX(Pages!$J$2:$J$824,MATCH(A277,Pages!$B$2:$B$824,0)))),"Yes","No"),"Page not found")</f>
        <v>Yes</v>
      </c>
      <c r="O277" s="3" t="s">
        <v>5426</v>
      </c>
      <c r="P277" s="3" t="s">
        <v>5427</v>
      </c>
    </row>
    <row r="278" customFormat="false" ht="15" hidden="false" customHeight="false" outlineLevel="0" collapsed="false">
      <c r="A278" s="15" t="s">
        <v>4591</v>
      </c>
      <c r="B278" s="15" t="s">
        <v>4572</v>
      </c>
      <c r="C278" s="15" t="s">
        <v>94</v>
      </c>
      <c r="D278" s="15" t="s">
        <v>4595</v>
      </c>
      <c r="E278" s="15" t="s">
        <v>104</v>
      </c>
      <c r="F278" s="15" t="s">
        <v>657</v>
      </c>
      <c r="G278" s="15" t="s">
        <v>2092</v>
      </c>
      <c r="H278" s="16" t="n">
        <v>300</v>
      </c>
      <c r="I278" s="15" t="n">
        <v>30</v>
      </c>
      <c r="J278" s="15" t="s">
        <v>5227</v>
      </c>
      <c r="K278" s="15" t="s">
        <v>5243</v>
      </c>
      <c r="L278" s="15" t="n">
        <v>2</v>
      </c>
      <c r="M278" s="15" t="s">
        <v>5161</v>
      </c>
      <c r="N278" s="18" t="str">
        <f aca="false">IFERROR(IF(ISNUMBER(SEARCH(D278,INDEX(Pages!$J$2:$J$824,MATCH(A278,Pages!$B$2:$B$824,0)))),"Yes","No"),"Page not found")</f>
        <v>No</v>
      </c>
      <c r="O278" s="3" t="s">
        <v>5471</v>
      </c>
      <c r="P278" s="3" t="s">
        <v>5472</v>
      </c>
    </row>
    <row r="279" customFormat="false" ht="15" hidden="false" customHeight="false" outlineLevel="0" collapsed="false">
      <c r="A279" s="15" t="s">
        <v>4849</v>
      </c>
      <c r="B279" s="15" t="s">
        <v>4572</v>
      </c>
      <c r="C279" s="15" t="s">
        <v>94</v>
      </c>
      <c r="D279" s="15" t="s">
        <v>4853</v>
      </c>
      <c r="E279" s="15" t="s">
        <v>104</v>
      </c>
      <c r="F279" s="15" t="s">
        <v>715</v>
      </c>
      <c r="G279" s="15" t="s">
        <v>2337</v>
      </c>
      <c r="H279" s="16" t="n">
        <v>300</v>
      </c>
      <c r="I279" s="15" t="n">
        <v>30</v>
      </c>
      <c r="J279" s="15" t="s">
        <v>5227</v>
      </c>
      <c r="K279" s="15" t="s">
        <v>5243</v>
      </c>
      <c r="L279" s="15" t="n">
        <v>2</v>
      </c>
      <c r="M279" s="15" t="s">
        <v>5161</v>
      </c>
      <c r="N279" s="18" t="str">
        <f aca="false">IFERROR(IF(ISNUMBER(SEARCH(D279,INDEX(Pages!$J$2:$J$824,MATCH(A279,Pages!$B$2:$B$824,0)))),"Yes","No"),"Page not found")</f>
        <v>No</v>
      </c>
      <c r="O279" s="3" t="s">
        <v>5471</v>
      </c>
      <c r="P279" s="3" t="s">
        <v>5472</v>
      </c>
    </row>
    <row r="280" customFormat="false" ht="23.85" hidden="false" customHeight="false" outlineLevel="0" collapsed="false">
      <c r="A280" s="15" t="s">
        <v>3731</v>
      </c>
      <c r="B280" s="15" t="s">
        <v>2076</v>
      </c>
      <c r="C280" s="15" t="s">
        <v>74</v>
      </c>
      <c r="D280" s="15" t="s">
        <v>3735</v>
      </c>
      <c r="E280" s="15" t="s">
        <v>104</v>
      </c>
      <c r="F280" s="15" t="s">
        <v>715</v>
      </c>
      <c r="G280" s="15" t="s">
        <v>2316</v>
      </c>
      <c r="H280" s="16" t="n">
        <v>300</v>
      </c>
      <c r="I280" s="15" t="n">
        <v>51</v>
      </c>
      <c r="J280" s="15" t="s">
        <v>5227</v>
      </c>
      <c r="K280" s="15" t="s">
        <v>5444</v>
      </c>
      <c r="L280" s="15" t="n">
        <v>1</v>
      </c>
      <c r="M280" s="15" t="s">
        <v>5161</v>
      </c>
      <c r="N280" s="18" t="str">
        <f aca="false">IFERROR(IF(ISNUMBER(SEARCH(D280,INDEX(Pages!$J$2:$J$824,MATCH(A280,Pages!$B$2:$B$824,0)))),"Yes","No"),"Page not found")</f>
        <v>Yes</v>
      </c>
      <c r="O280" s="3" t="s">
        <v>5445</v>
      </c>
      <c r="P280" s="3" t="s">
        <v>5230</v>
      </c>
    </row>
    <row r="281" customFormat="false" ht="15" hidden="false" customHeight="false" outlineLevel="0" collapsed="false">
      <c r="A281" s="15" t="s">
        <v>4019</v>
      </c>
      <c r="B281" s="15" t="s">
        <v>2076</v>
      </c>
      <c r="C281" s="15" t="s">
        <v>81</v>
      </c>
      <c r="D281" s="15" t="s">
        <v>4023</v>
      </c>
      <c r="E281" s="15" t="s">
        <v>104</v>
      </c>
      <c r="F281" s="15" t="s">
        <v>715</v>
      </c>
      <c r="G281" s="15" t="s">
        <v>2246</v>
      </c>
      <c r="H281" s="16" t="n">
        <v>300</v>
      </c>
      <c r="I281" s="15" t="n">
        <v>36</v>
      </c>
      <c r="J281" s="15" t="s">
        <v>5227</v>
      </c>
      <c r="K281" s="15" t="s">
        <v>5235</v>
      </c>
      <c r="L281" s="15" t="n">
        <v>2</v>
      </c>
      <c r="M281" s="15" t="s">
        <v>5161</v>
      </c>
      <c r="N281" s="18" t="str">
        <f aca="false">IFERROR(IF(ISNUMBER(SEARCH(D281,INDEX(Pages!$J$2:$J$824,MATCH(A281,Pages!$B$2:$B$824,0)))),"Yes","No"),"Page not found")</f>
        <v>Yes</v>
      </c>
      <c r="O281" s="3" t="s">
        <v>5426</v>
      </c>
      <c r="P281" s="3"/>
    </row>
    <row r="282" customFormat="false" ht="15" hidden="false" customHeight="false" outlineLevel="0" collapsed="false">
      <c r="A282" s="15" t="s">
        <v>4349</v>
      </c>
      <c r="B282" s="15" t="s">
        <v>2076</v>
      </c>
      <c r="C282" s="15" t="s">
        <v>86</v>
      </c>
      <c r="D282" s="15" t="s">
        <v>4353</v>
      </c>
      <c r="E282" s="15" t="s">
        <v>104</v>
      </c>
      <c r="F282" s="15" t="s">
        <v>701</v>
      </c>
      <c r="G282" s="15" t="s">
        <v>2225</v>
      </c>
      <c r="H282" s="16" t="n">
        <v>300</v>
      </c>
      <c r="I282" s="15" t="n">
        <v>40</v>
      </c>
      <c r="J282" s="15" t="s">
        <v>5227</v>
      </c>
      <c r="K282" s="15" t="s">
        <v>5392</v>
      </c>
      <c r="L282" s="15" t="n">
        <v>4</v>
      </c>
      <c r="M282" s="15" t="s">
        <v>5161</v>
      </c>
      <c r="N282" s="18" t="str">
        <f aca="false">IFERROR(IF(ISNUMBER(SEARCH(D282,INDEX(Pages!$J$2:$J$824,MATCH(A282,Pages!$B$2:$B$824,0)))),"Yes","No"),"Page not found")</f>
        <v>Yes</v>
      </c>
      <c r="O282" s="3" t="s">
        <v>5426</v>
      </c>
      <c r="P282" s="3"/>
    </row>
    <row r="283" customFormat="false" ht="15" hidden="false" customHeight="false" outlineLevel="0" collapsed="false">
      <c r="A283" s="15" t="s">
        <v>3515</v>
      </c>
      <c r="B283" s="15" t="s">
        <v>2076</v>
      </c>
      <c r="C283" s="15" t="s">
        <v>84</v>
      </c>
      <c r="D283" s="15" t="s">
        <v>3519</v>
      </c>
      <c r="E283" s="15" t="s">
        <v>104</v>
      </c>
      <c r="F283" s="15" t="s">
        <v>736</v>
      </c>
      <c r="G283" s="15" t="s">
        <v>2470</v>
      </c>
      <c r="H283" s="16" t="n">
        <v>290</v>
      </c>
      <c r="I283" s="15" t="n">
        <v>52</v>
      </c>
      <c r="J283" s="15" t="s">
        <v>5227</v>
      </c>
      <c r="K283" s="15" t="s">
        <v>5392</v>
      </c>
      <c r="L283" s="15" t="n">
        <v>3</v>
      </c>
      <c r="M283" s="15" t="s">
        <v>5161</v>
      </c>
      <c r="N283" s="18" t="str">
        <f aca="false">IFERROR(IF(ISNUMBER(SEARCH(D283,INDEX(Pages!$J$2:$J$824,MATCH(A283,Pages!$B$2:$B$824,0)))),"Yes","No"),"Page not found")</f>
        <v>Yes</v>
      </c>
      <c r="O283" s="3" t="s">
        <v>5376</v>
      </c>
      <c r="P283" s="3"/>
    </row>
    <row r="284" customFormat="false" ht="15" hidden="false" customHeight="false" outlineLevel="0" collapsed="false">
      <c r="A284" s="15" t="s">
        <v>4409</v>
      </c>
      <c r="B284" s="15" t="s">
        <v>2076</v>
      </c>
      <c r="C284" s="15" t="s">
        <v>86</v>
      </c>
      <c r="D284" s="15" t="s">
        <v>4413</v>
      </c>
      <c r="E284" s="15" t="s">
        <v>104</v>
      </c>
      <c r="F284" s="15" t="s">
        <v>715</v>
      </c>
      <c r="G284" s="15" t="s">
        <v>2295</v>
      </c>
      <c r="H284" s="16" t="n">
        <v>290</v>
      </c>
      <c r="I284" s="15" t="n">
        <v>48</v>
      </c>
      <c r="J284" s="15" t="s">
        <v>5227</v>
      </c>
      <c r="K284" s="15" t="s">
        <v>5392</v>
      </c>
      <c r="L284" s="15" t="n">
        <v>4</v>
      </c>
      <c r="M284" s="15" t="s">
        <v>5161</v>
      </c>
      <c r="N284" s="18" t="str">
        <f aca="false">IFERROR(IF(ISNUMBER(SEARCH(D284,INDEX(Pages!$J$2:$J$824,MATCH(A284,Pages!$B$2:$B$824,0)))),"Yes","No"),"Page not found")</f>
        <v>No</v>
      </c>
      <c r="O284" s="3" t="s">
        <v>5426</v>
      </c>
      <c r="P284" s="3"/>
    </row>
    <row r="285" customFormat="false" ht="15" hidden="false" customHeight="false" outlineLevel="0" collapsed="false">
      <c r="A285" s="15" t="s">
        <v>1823</v>
      </c>
      <c r="B285" s="15" t="s">
        <v>656</v>
      </c>
      <c r="C285" s="15" t="s">
        <v>86</v>
      </c>
      <c r="D285" s="15" t="s">
        <v>1827</v>
      </c>
      <c r="E285" s="15" t="s">
        <v>662</v>
      </c>
      <c r="F285" s="15" t="s">
        <v>729</v>
      </c>
      <c r="G285" s="15"/>
      <c r="H285" s="16" t="n">
        <v>290</v>
      </c>
      <c r="I285" s="15" t="n">
        <v>46</v>
      </c>
      <c r="J285" s="15" t="s">
        <v>5159</v>
      </c>
      <c r="K285" s="15" t="s">
        <v>5321</v>
      </c>
      <c r="L285" s="15" t="n">
        <v>5</v>
      </c>
      <c r="M285" s="15" t="s">
        <v>5161</v>
      </c>
      <c r="N285" s="18" t="str">
        <f aca="false">IFERROR(IF(ISNUMBER(SEARCH(D285,INDEX(Pages!$J$2:$J$824,MATCH(A285,Pages!$B$2:$B$824,0)))),"Yes","No"),"Page not found")</f>
        <v>No</v>
      </c>
      <c r="O285" s="3" t="s">
        <v>5408</v>
      </c>
      <c r="P285" s="3" t="s">
        <v>5378</v>
      </c>
    </row>
    <row r="286" customFormat="false" ht="15" hidden="false" customHeight="false" outlineLevel="0" collapsed="false">
      <c r="A286" s="15" t="s">
        <v>2501</v>
      </c>
      <c r="B286" s="15" t="s">
        <v>2076</v>
      </c>
      <c r="C286" s="15" t="s">
        <v>82</v>
      </c>
      <c r="D286" s="15" t="s">
        <v>2505</v>
      </c>
      <c r="E286" s="15" t="s">
        <v>104</v>
      </c>
      <c r="F286" s="15" t="s">
        <v>657</v>
      </c>
      <c r="G286" s="15" t="s">
        <v>2099</v>
      </c>
      <c r="H286" s="16" t="n">
        <v>280</v>
      </c>
      <c r="I286" s="15" t="n">
        <v>56</v>
      </c>
      <c r="J286" s="15" t="s">
        <v>5227</v>
      </c>
      <c r="K286" s="15" t="s">
        <v>5228</v>
      </c>
      <c r="L286" s="15" t="n">
        <v>3</v>
      </c>
      <c r="M286" s="15" t="s">
        <v>5161</v>
      </c>
      <c r="N286" s="18" t="str">
        <f aca="false">IFERROR(IF(ISNUMBER(SEARCH(D286,INDEX(Pages!$J$2:$J$824,MATCH(A286,Pages!$B$2:$B$824,0)))),"Yes","No"),"Page not found")</f>
        <v>Yes</v>
      </c>
      <c r="O286" s="3" t="s">
        <v>5376</v>
      </c>
      <c r="P286" s="3"/>
    </row>
    <row r="287" customFormat="false" ht="15" hidden="false" customHeight="false" outlineLevel="0" collapsed="false">
      <c r="A287" s="15" t="s">
        <v>2657</v>
      </c>
      <c r="B287" s="15" t="s">
        <v>2076</v>
      </c>
      <c r="C287" s="15" t="s">
        <v>82</v>
      </c>
      <c r="D287" s="15" t="s">
        <v>2661</v>
      </c>
      <c r="E287" s="15" t="s">
        <v>104</v>
      </c>
      <c r="F287" s="15" t="s">
        <v>715</v>
      </c>
      <c r="G287" s="15" t="s">
        <v>2281</v>
      </c>
      <c r="H287" s="16" t="n">
        <v>280</v>
      </c>
      <c r="I287" s="15" t="n">
        <v>68</v>
      </c>
      <c r="J287" s="15" t="s">
        <v>5227</v>
      </c>
      <c r="K287" s="15" t="s">
        <v>5228</v>
      </c>
      <c r="L287" s="15" t="n">
        <v>3</v>
      </c>
      <c r="M287" s="15" t="s">
        <v>5161</v>
      </c>
      <c r="N287" s="18" t="str">
        <f aca="false">IFERROR(IF(ISNUMBER(SEARCH(D287,INDEX(Pages!$J$2:$J$824,MATCH(A287,Pages!$B$2:$B$824,0)))),"Yes","No"),"Page not found")</f>
        <v>Yes</v>
      </c>
      <c r="O287" s="3" t="s">
        <v>5182</v>
      </c>
      <c r="P287" s="3"/>
    </row>
    <row r="288" customFormat="false" ht="15" hidden="false" customHeight="false" outlineLevel="0" collapsed="false">
      <c r="A288" s="15" t="s">
        <v>3359</v>
      </c>
      <c r="B288" s="15" t="s">
        <v>2076</v>
      </c>
      <c r="C288" s="15" t="s">
        <v>84</v>
      </c>
      <c r="D288" s="15" t="s">
        <v>3363</v>
      </c>
      <c r="E288" s="15" t="s">
        <v>104</v>
      </c>
      <c r="F288" s="15" t="s">
        <v>715</v>
      </c>
      <c r="G288" s="15" t="s">
        <v>2288</v>
      </c>
      <c r="H288" s="16" t="n">
        <v>280</v>
      </c>
      <c r="I288" s="15" t="n">
        <v>56</v>
      </c>
      <c r="J288" s="15" t="s">
        <v>5227</v>
      </c>
      <c r="K288" s="15" t="s">
        <v>5392</v>
      </c>
      <c r="L288" s="15" t="n">
        <v>3</v>
      </c>
      <c r="M288" s="15" t="s">
        <v>5161</v>
      </c>
      <c r="N288" s="18" t="str">
        <f aca="false">IFERROR(IF(ISNUMBER(SEARCH(D288,INDEX(Pages!$J$2:$J$824,MATCH(A288,Pages!$B$2:$B$824,0)))),"Yes","No"),"Page not found")</f>
        <v>Yes</v>
      </c>
      <c r="O288" s="3" t="s">
        <v>5426</v>
      </c>
      <c r="P288" s="3"/>
    </row>
    <row r="289" customFormat="false" ht="15" hidden="false" customHeight="false" outlineLevel="0" collapsed="false">
      <c r="A289" s="15" t="s">
        <v>1373</v>
      </c>
      <c r="B289" s="15" t="s">
        <v>656</v>
      </c>
      <c r="C289" s="15" t="s">
        <v>74</v>
      </c>
      <c r="D289" s="15" t="s">
        <v>1377</v>
      </c>
      <c r="E289" s="15" t="s">
        <v>662</v>
      </c>
      <c r="F289" s="15" t="s">
        <v>657</v>
      </c>
      <c r="G289" s="15"/>
      <c r="H289" s="16" t="n">
        <v>280</v>
      </c>
      <c r="I289" s="15" t="n">
        <v>48</v>
      </c>
      <c r="J289" s="15" t="s">
        <v>5159</v>
      </c>
      <c r="K289" s="15" t="s">
        <v>5440</v>
      </c>
      <c r="L289" s="15" t="n">
        <v>1</v>
      </c>
      <c r="M289" s="15" t="s">
        <v>5161</v>
      </c>
      <c r="N289" s="18" t="str">
        <f aca="false">IFERROR(IF(ISNUMBER(SEARCH(D289,INDEX(Pages!$J$2:$J$824,MATCH(A289,Pages!$B$2:$B$824,0)))),"Yes","No"),"Page not found")</f>
        <v>No</v>
      </c>
      <c r="O289" s="3" t="s">
        <v>5224</v>
      </c>
      <c r="P289" s="3"/>
    </row>
    <row r="290" customFormat="false" ht="23.85" hidden="false" customHeight="false" outlineLevel="0" collapsed="false">
      <c r="A290" s="15" t="s">
        <v>3599</v>
      </c>
      <c r="B290" s="15" t="s">
        <v>2076</v>
      </c>
      <c r="C290" s="15" t="s">
        <v>74</v>
      </c>
      <c r="D290" s="15" t="s">
        <v>3603</v>
      </c>
      <c r="E290" s="15" t="s">
        <v>104</v>
      </c>
      <c r="F290" s="15" t="s">
        <v>666</v>
      </c>
      <c r="G290" s="15" t="s">
        <v>2162</v>
      </c>
      <c r="H290" s="16" t="n">
        <v>280</v>
      </c>
      <c r="I290" s="15" t="n">
        <v>47</v>
      </c>
      <c r="J290" s="15" t="s">
        <v>5227</v>
      </c>
      <c r="K290" s="15" t="s">
        <v>5444</v>
      </c>
      <c r="L290" s="15" t="n">
        <v>1</v>
      </c>
      <c r="M290" s="15" t="s">
        <v>5161</v>
      </c>
      <c r="N290" s="18" t="str">
        <f aca="false">IFERROR(IF(ISNUMBER(SEARCH(D290,INDEX(Pages!$J$2:$J$824,MATCH(A290,Pages!$B$2:$B$824,0)))),"Yes","No"),"Page not found")</f>
        <v>Yes</v>
      </c>
      <c r="O290" s="3" t="s">
        <v>5488</v>
      </c>
      <c r="P290" s="3" t="s">
        <v>5230</v>
      </c>
    </row>
    <row r="291" customFormat="false" ht="15" hidden="false" customHeight="false" outlineLevel="0" collapsed="false">
      <c r="A291" s="15" t="s">
        <v>2585</v>
      </c>
      <c r="B291" s="15" t="s">
        <v>2076</v>
      </c>
      <c r="C291" s="15" t="s">
        <v>82</v>
      </c>
      <c r="D291" s="15" t="s">
        <v>2589</v>
      </c>
      <c r="E291" s="15" t="s">
        <v>104</v>
      </c>
      <c r="F291" s="15" t="s">
        <v>680</v>
      </c>
      <c r="G291" s="15" t="s">
        <v>2197</v>
      </c>
      <c r="H291" s="16" t="n">
        <v>270</v>
      </c>
      <c r="I291" s="15" t="n">
        <v>56</v>
      </c>
      <c r="J291" s="15" t="s">
        <v>5227</v>
      </c>
      <c r="K291" s="15" t="s">
        <v>5228</v>
      </c>
      <c r="L291" s="15" t="n">
        <v>3</v>
      </c>
      <c r="M291" s="15" t="s">
        <v>5161</v>
      </c>
      <c r="N291" s="18" t="str">
        <f aca="false">IFERROR(IF(ISNUMBER(SEARCH(D291,INDEX(Pages!$J$2:$J$824,MATCH(A291,Pages!$B$2:$B$824,0)))),"Yes","No"),"Page not found")</f>
        <v>Yes</v>
      </c>
      <c r="O291" s="3" t="s">
        <v>5376</v>
      </c>
      <c r="P291" s="3"/>
    </row>
    <row r="292" customFormat="false" ht="15" hidden="false" customHeight="false" outlineLevel="0" collapsed="false">
      <c r="A292" s="15" t="s">
        <v>1109</v>
      </c>
      <c r="B292" s="15" t="s">
        <v>656</v>
      </c>
      <c r="C292" s="15" t="s">
        <v>77</v>
      </c>
      <c r="D292" s="15" t="s">
        <v>1113</v>
      </c>
      <c r="E292" s="15" t="s">
        <v>662</v>
      </c>
      <c r="F292" s="15" t="s">
        <v>715</v>
      </c>
      <c r="G292" s="15"/>
      <c r="H292" s="16" t="n">
        <v>270</v>
      </c>
      <c r="I292" s="15" t="n">
        <v>40</v>
      </c>
      <c r="J292" s="15" t="s">
        <v>5159</v>
      </c>
      <c r="K292" s="15" t="s">
        <v>5254</v>
      </c>
      <c r="L292" s="15" t="n">
        <v>1</v>
      </c>
      <c r="M292" s="15" t="s">
        <v>5161</v>
      </c>
      <c r="N292" s="18" t="str">
        <f aca="false">IFERROR(IF(ISNUMBER(SEARCH(D292,INDEX(Pages!$J$2:$J$824,MATCH(A292,Pages!$B$2:$B$824,0)))),"Yes","No"),"Page not found")</f>
        <v>No</v>
      </c>
      <c r="O292" s="3" t="s">
        <v>5426</v>
      </c>
      <c r="P292" s="3"/>
    </row>
    <row r="293" customFormat="false" ht="15" hidden="false" customHeight="false" outlineLevel="0" collapsed="false">
      <c r="A293" s="15" t="s">
        <v>3215</v>
      </c>
      <c r="B293" s="15" t="s">
        <v>2076</v>
      </c>
      <c r="C293" s="15" t="s">
        <v>84</v>
      </c>
      <c r="D293" s="15" t="s">
        <v>3219</v>
      </c>
      <c r="E293" s="15" t="s">
        <v>104</v>
      </c>
      <c r="F293" s="15" t="s">
        <v>666</v>
      </c>
      <c r="G293" s="15" t="s">
        <v>2120</v>
      </c>
      <c r="H293" s="16" t="n">
        <v>270</v>
      </c>
      <c r="I293" s="15" t="n">
        <v>52</v>
      </c>
      <c r="J293" s="15" t="s">
        <v>5227</v>
      </c>
      <c r="K293" s="15" t="s">
        <v>5392</v>
      </c>
      <c r="L293" s="15" t="n">
        <v>3</v>
      </c>
      <c r="M293" s="15" t="s">
        <v>5161</v>
      </c>
      <c r="N293" s="18" t="str">
        <f aca="false">IFERROR(IF(ISNUMBER(SEARCH(D293,INDEX(Pages!$J$2:$J$824,MATCH(A293,Pages!$B$2:$B$824,0)))),"Yes","No"),"Page not found")</f>
        <v>Yes</v>
      </c>
      <c r="O293" s="3" t="s">
        <v>5376</v>
      </c>
      <c r="P293" s="3"/>
    </row>
    <row r="294" customFormat="false" ht="15" hidden="false" customHeight="false" outlineLevel="0" collapsed="false">
      <c r="A294" s="15" t="s">
        <v>1361</v>
      </c>
      <c r="B294" s="15" t="s">
        <v>656</v>
      </c>
      <c r="C294" s="15" t="s">
        <v>84</v>
      </c>
      <c r="D294" s="15" t="s">
        <v>1365</v>
      </c>
      <c r="E294" s="15" t="s">
        <v>662</v>
      </c>
      <c r="F294" s="15" t="s">
        <v>736</v>
      </c>
      <c r="G294" s="15"/>
      <c r="H294" s="16" t="n">
        <v>270</v>
      </c>
      <c r="I294" s="15" t="n">
        <v>39</v>
      </c>
      <c r="J294" s="15" t="s">
        <v>5159</v>
      </c>
      <c r="K294" s="15" t="s">
        <v>5321</v>
      </c>
      <c r="L294" s="15" t="n">
        <v>2</v>
      </c>
      <c r="M294" s="15" t="s">
        <v>5161</v>
      </c>
      <c r="N294" s="18" t="str">
        <f aca="false">IFERROR(IF(ISNUMBER(SEARCH(D294,INDEX(Pages!$J$2:$J$824,MATCH(A294,Pages!$B$2:$B$824,0)))),"Yes","No"),"Page not found")</f>
        <v>No</v>
      </c>
      <c r="O294" s="3" t="s">
        <v>5426</v>
      </c>
      <c r="P294" s="3"/>
    </row>
    <row r="295" customFormat="false" ht="23.85" hidden="false" customHeight="false" outlineLevel="0" collapsed="false">
      <c r="A295" s="15" t="s">
        <v>3671</v>
      </c>
      <c r="B295" s="15" t="s">
        <v>2076</v>
      </c>
      <c r="C295" s="15" t="s">
        <v>74</v>
      </c>
      <c r="D295" s="15" t="s">
        <v>3675</v>
      </c>
      <c r="E295" s="15" t="s">
        <v>104</v>
      </c>
      <c r="F295" s="15" t="s">
        <v>715</v>
      </c>
      <c r="G295" s="15" t="s">
        <v>2246</v>
      </c>
      <c r="H295" s="16" t="n">
        <v>270</v>
      </c>
      <c r="I295" s="15" t="n">
        <v>47</v>
      </c>
      <c r="J295" s="15" t="s">
        <v>5227</v>
      </c>
      <c r="K295" s="15" t="s">
        <v>5444</v>
      </c>
      <c r="L295" s="15" t="n">
        <v>1</v>
      </c>
      <c r="M295" s="15" t="s">
        <v>5161</v>
      </c>
      <c r="N295" s="18" t="str">
        <f aca="false">IFERROR(IF(ISNUMBER(SEARCH(D295,INDEX(Pages!$J$2:$J$824,MATCH(A295,Pages!$B$2:$B$824,0)))),"Yes","No"),"Page not found")</f>
        <v>Yes</v>
      </c>
      <c r="O295" s="3" t="s">
        <v>5488</v>
      </c>
      <c r="P295" s="3" t="s">
        <v>5230</v>
      </c>
    </row>
    <row r="296" customFormat="false" ht="15" hidden="false" customHeight="false" outlineLevel="0" collapsed="false">
      <c r="A296" s="15" t="s">
        <v>3941</v>
      </c>
      <c r="B296" s="15" t="s">
        <v>2076</v>
      </c>
      <c r="C296" s="15" t="s">
        <v>81</v>
      </c>
      <c r="D296" s="15" t="s">
        <v>3945</v>
      </c>
      <c r="E296" s="15" t="s">
        <v>104</v>
      </c>
      <c r="F296" s="15" t="s">
        <v>666</v>
      </c>
      <c r="G296" s="15" t="s">
        <v>2155</v>
      </c>
      <c r="H296" s="16" t="n">
        <v>270</v>
      </c>
      <c r="I296" s="15" t="n">
        <v>28</v>
      </c>
      <c r="J296" s="15" t="s">
        <v>5227</v>
      </c>
      <c r="K296" s="15" t="s">
        <v>5235</v>
      </c>
      <c r="L296" s="15" t="n">
        <v>2</v>
      </c>
      <c r="M296" s="15" t="s">
        <v>5161</v>
      </c>
      <c r="N296" s="18" t="str">
        <f aca="false">IFERROR(IF(ISNUMBER(SEARCH(D296,INDEX(Pages!$J$2:$J$824,MATCH(A296,Pages!$B$2:$B$824,0)))),"Yes","No"),"Page not found")</f>
        <v>Yes</v>
      </c>
      <c r="O296" s="3" t="s">
        <v>5426</v>
      </c>
      <c r="P296" s="3"/>
    </row>
    <row r="297" customFormat="false" ht="15" hidden="false" customHeight="false" outlineLevel="0" collapsed="false">
      <c r="A297" s="15" t="s">
        <v>4535</v>
      </c>
      <c r="B297" s="15" t="s">
        <v>2076</v>
      </c>
      <c r="C297" s="15" t="s">
        <v>86</v>
      </c>
      <c r="D297" s="15" t="s">
        <v>4539</v>
      </c>
      <c r="E297" s="15" t="s">
        <v>104</v>
      </c>
      <c r="F297" s="15" t="s">
        <v>729</v>
      </c>
      <c r="G297" s="15" t="s">
        <v>2442</v>
      </c>
      <c r="H297" s="16" t="n">
        <v>270</v>
      </c>
      <c r="I297" s="15" t="n">
        <v>44</v>
      </c>
      <c r="J297" s="15" t="s">
        <v>5227</v>
      </c>
      <c r="K297" s="15" t="s">
        <v>5392</v>
      </c>
      <c r="L297" s="15" t="n">
        <v>5</v>
      </c>
      <c r="M297" s="15" t="s">
        <v>5161</v>
      </c>
      <c r="N297" s="18" t="str">
        <f aca="false">IFERROR(IF(ISNUMBER(SEARCH(D297,INDEX(Pages!$J$2:$J$824,MATCH(A297,Pages!$B$2:$B$824,0)))),"Yes","No"),"Page not found")</f>
        <v>Yes</v>
      </c>
      <c r="O297" s="3" t="s">
        <v>5408</v>
      </c>
      <c r="P297" s="3" t="s">
        <v>5427</v>
      </c>
    </row>
    <row r="298" customFormat="false" ht="15" hidden="false" customHeight="false" outlineLevel="0" collapsed="false">
      <c r="A298" s="15" t="s">
        <v>2091</v>
      </c>
      <c r="B298" s="15" t="s">
        <v>2076</v>
      </c>
      <c r="C298" s="15" t="s">
        <v>89</v>
      </c>
      <c r="D298" s="15" t="s">
        <v>2096</v>
      </c>
      <c r="E298" s="15" t="s">
        <v>104</v>
      </c>
      <c r="F298" s="15" t="s">
        <v>657</v>
      </c>
      <c r="G298" s="15" t="s">
        <v>2092</v>
      </c>
      <c r="H298" s="16" t="n">
        <v>260</v>
      </c>
      <c r="I298" s="15" t="n">
        <v>41</v>
      </c>
      <c r="J298" s="15" t="s">
        <v>5227</v>
      </c>
      <c r="K298" s="15" t="s">
        <v>5473</v>
      </c>
      <c r="L298" s="15" t="n">
        <v>1</v>
      </c>
      <c r="M298" s="15" t="s">
        <v>5161</v>
      </c>
      <c r="N298" s="18" t="str">
        <f aca="false">IFERROR(IF(ISNUMBER(SEARCH(D298,INDEX(Pages!$J$2:$J$824,MATCH(A298,Pages!$B$2:$B$824,0)))),"Yes","No"),"Page not found")</f>
        <v>Yes</v>
      </c>
      <c r="O298" s="3" t="s">
        <v>5426</v>
      </c>
      <c r="P298" s="3"/>
    </row>
    <row r="299" customFormat="false" ht="15" hidden="false" customHeight="false" outlineLevel="0" collapsed="false">
      <c r="A299" s="15" t="s">
        <v>2336</v>
      </c>
      <c r="B299" s="15" t="s">
        <v>2076</v>
      </c>
      <c r="C299" s="15" t="s">
        <v>89</v>
      </c>
      <c r="D299" s="15" t="s">
        <v>2341</v>
      </c>
      <c r="E299" s="15" t="s">
        <v>104</v>
      </c>
      <c r="F299" s="15" t="s">
        <v>715</v>
      </c>
      <c r="G299" s="15" t="s">
        <v>2337</v>
      </c>
      <c r="H299" s="16" t="n">
        <v>260</v>
      </c>
      <c r="I299" s="15" t="n">
        <v>41</v>
      </c>
      <c r="J299" s="15" t="s">
        <v>5227</v>
      </c>
      <c r="K299" s="15" t="s">
        <v>5473</v>
      </c>
      <c r="L299" s="15" t="n">
        <v>1</v>
      </c>
      <c r="M299" s="15" t="s">
        <v>5161</v>
      </c>
      <c r="N299" s="18" t="str">
        <f aca="false">IFERROR(IF(ISNUMBER(SEARCH(D299,INDEX(Pages!$J$2:$J$824,MATCH(A299,Pages!$B$2:$B$824,0)))),"Yes","No"),"Page not found")</f>
        <v>Yes</v>
      </c>
      <c r="O299" s="3" t="s">
        <v>5426</v>
      </c>
      <c r="P299" s="3"/>
    </row>
    <row r="300" customFormat="false" ht="15" hidden="false" customHeight="false" outlineLevel="0" collapsed="false">
      <c r="A300" s="15" t="s">
        <v>166</v>
      </c>
      <c r="B300" s="15" t="s">
        <v>125</v>
      </c>
      <c r="C300" s="15" t="s">
        <v>75</v>
      </c>
      <c r="D300" s="15" t="s">
        <v>170</v>
      </c>
      <c r="E300" s="15" t="s">
        <v>147</v>
      </c>
      <c r="F300" s="15"/>
      <c r="G300" s="15"/>
      <c r="H300" s="16" t="n">
        <v>260</v>
      </c>
      <c r="I300" s="15" t="n">
        <v>25</v>
      </c>
      <c r="J300" s="15" t="s">
        <v>5169</v>
      </c>
      <c r="K300" s="15" t="s">
        <v>5308</v>
      </c>
      <c r="L300" s="15" t="n">
        <v>2</v>
      </c>
      <c r="M300" s="15" t="s">
        <v>5161</v>
      </c>
      <c r="N300" s="18" t="str">
        <f aca="false">IFERROR(IF(ISNUMBER(SEARCH(D300,INDEX(Pages!$J$2:$J$824,MATCH(A300,Pages!$B$2:$B$824,0)))),"Yes","No"),"Page not found")</f>
        <v>No</v>
      </c>
      <c r="O300" s="3" t="s">
        <v>5426</v>
      </c>
      <c r="P300" s="3" t="s">
        <v>5491</v>
      </c>
    </row>
    <row r="301" customFormat="false" ht="15" hidden="false" customHeight="false" outlineLevel="0" collapsed="false">
      <c r="A301" s="15" t="s">
        <v>172</v>
      </c>
      <c r="B301" s="15" t="s">
        <v>125</v>
      </c>
      <c r="C301" s="15" t="s">
        <v>86</v>
      </c>
      <c r="D301" s="15" t="s">
        <v>176</v>
      </c>
      <c r="E301" s="15" t="s">
        <v>147</v>
      </c>
      <c r="F301" s="15"/>
      <c r="G301" s="15"/>
      <c r="H301" s="16" t="n">
        <v>260</v>
      </c>
      <c r="I301" s="15" t="n">
        <v>20</v>
      </c>
      <c r="J301" s="15" t="s">
        <v>5169</v>
      </c>
      <c r="K301" s="15" t="s">
        <v>5252</v>
      </c>
      <c r="L301" s="15" t="n">
        <v>2</v>
      </c>
      <c r="M301" s="15" t="s">
        <v>5161</v>
      </c>
      <c r="N301" s="18" t="str">
        <f aca="false">IFERROR(IF(ISNUMBER(SEARCH(D301,INDEX(Pages!$J$2:$J$824,MATCH(A301,Pages!$B$2:$B$824,0)))),"Yes","No"),"Page not found")</f>
        <v>No</v>
      </c>
      <c r="O301" s="3" t="s">
        <v>5426</v>
      </c>
      <c r="P301" s="3"/>
    </row>
    <row r="302" customFormat="false" ht="23.85" hidden="false" customHeight="false" outlineLevel="0" collapsed="false">
      <c r="A302" s="15" t="s">
        <v>2483</v>
      </c>
      <c r="B302" s="15" t="s">
        <v>2076</v>
      </c>
      <c r="C302" s="15" t="s">
        <v>82</v>
      </c>
      <c r="D302" s="15" t="s">
        <v>2487</v>
      </c>
      <c r="E302" s="15" t="s">
        <v>104</v>
      </c>
      <c r="F302" s="15" t="s">
        <v>657</v>
      </c>
      <c r="G302" s="15" t="s">
        <v>2077</v>
      </c>
      <c r="H302" s="16" t="n">
        <v>260</v>
      </c>
      <c r="I302" s="15" t="n">
        <v>44</v>
      </c>
      <c r="J302" s="15" t="s">
        <v>5227</v>
      </c>
      <c r="K302" s="15" t="s">
        <v>5228</v>
      </c>
      <c r="L302" s="15" t="n">
        <v>4</v>
      </c>
      <c r="M302" s="15" t="s">
        <v>5161</v>
      </c>
      <c r="N302" s="18" t="str">
        <f aca="false">IFERROR(IF(ISNUMBER(SEARCH(D302,INDEX(Pages!$J$2:$J$824,MATCH(A302,Pages!$B$2:$B$824,0)))),"Yes","No"),"Page not found")</f>
        <v>Yes</v>
      </c>
      <c r="O302" s="3" t="s">
        <v>5426</v>
      </c>
      <c r="P302" s="3" t="s">
        <v>5483</v>
      </c>
    </row>
    <row r="303" customFormat="false" ht="15" hidden="false" customHeight="false" outlineLevel="0" collapsed="false">
      <c r="A303" s="15" t="s">
        <v>2843</v>
      </c>
      <c r="B303" s="15" t="s">
        <v>2076</v>
      </c>
      <c r="C303" s="15" t="s">
        <v>85</v>
      </c>
      <c r="D303" s="15" t="s">
        <v>2847</v>
      </c>
      <c r="E303" s="15" t="s">
        <v>104</v>
      </c>
      <c r="F303" s="15" t="s">
        <v>657</v>
      </c>
      <c r="G303" s="15" t="s">
        <v>2092</v>
      </c>
      <c r="H303" s="16" t="n">
        <v>260</v>
      </c>
      <c r="I303" s="15" t="n">
        <v>52</v>
      </c>
      <c r="J303" s="15" t="s">
        <v>5227</v>
      </c>
      <c r="K303" s="15" t="s">
        <v>5392</v>
      </c>
      <c r="L303" s="15" t="n">
        <v>3</v>
      </c>
      <c r="M303" s="15" t="s">
        <v>5161</v>
      </c>
      <c r="N303" s="18" t="str">
        <f aca="false">IFERROR(IF(ISNUMBER(SEARCH(D303,INDEX(Pages!$J$2:$J$824,MATCH(A303,Pages!$B$2:$B$824,0)))),"Yes","No"),"Page not found")</f>
        <v>Yes</v>
      </c>
      <c r="O303" s="3" t="s">
        <v>5212</v>
      </c>
      <c r="P303" s="3"/>
    </row>
    <row r="304" customFormat="false" ht="15" hidden="false" customHeight="false" outlineLevel="0" collapsed="false">
      <c r="A304" s="15" t="s">
        <v>833</v>
      </c>
      <c r="B304" s="15" t="s">
        <v>656</v>
      </c>
      <c r="C304" s="15" t="s">
        <v>85</v>
      </c>
      <c r="D304" s="15" t="s">
        <v>837</v>
      </c>
      <c r="E304" s="15" t="s">
        <v>662</v>
      </c>
      <c r="F304" s="15" t="s">
        <v>666</v>
      </c>
      <c r="G304" s="15"/>
      <c r="H304" s="16" t="n">
        <v>260</v>
      </c>
      <c r="I304" s="15" t="n">
        <v>43</v>
      </c>
      <c r="J304" s="15" t="s">
        <v>5159</v>
      </c>
      <c r="K304" s="15" t="s">
        <v>5321</v>
      </c>
      <c r="L304" s="15" t="n">
        <v>3</v>
      </c>
      <c r="M304" s="15" t="s">
        <v>5161</v>
      </c>
      <c r="N304" s="18" t="str">
        <f aca="false">IFERROR(IF(ISNUMBER(SEARCH(D304,INDEX(Pages!$J$2:$J$824,MATCH(A304,Pages!$B$2:$B$824,0)))),"Yes","No"),"Page not found")</f>
        <v>No</v>
      </c>
      <c r="O304" s="3" t="s">
        <v>5408</v>
      </c>
      <c r="P304" s="3"/>
    </row>
    <row r="305" customFormat="false" ht="15" hidden="false" customHeight="false" outlineLevel="0" collapsed="false">
      <c r="A305" s="15" t="s">
        <v>3053</v>
      </c>
      <c r="B305" s="15" t="s">
        <v>2076</v>
      </c>
      <c r="C305" s="15" t="s">
        <v>85</v>
      </c>
      <c r="D305" s="15" t="s">
        <v>3057</v>
      </c>
      <c r="E305" s="15" t="s">
        <v>104</v>
      </c>
      <c r="F305" s="15" t="s">
        <v>715</v>
      </c>
      <c r="G305" s="15" t="s">
        <v>2337</v>
      </c>
      <c r="H305" s="16" t="n">
        <v>260</v>
      </c>
      <c r="I305" s="15" t="n">
        <v>52</v>
      </c>
      <c r="J305" s="15" t="s">
        <v>5227</v>
      </c>
      <c r="K305" s="15" t="s">
        <v>5392</v>
      </c>
      <c r="L305" s="15" t="n">
        <v>3</v>
      </c>
      <c r="M305" s="15" t="s">
        <v>5161</v>
      </c>
      <c r="N305" s="18" t="str">
        <f aca="false">IFERROR(IF(ISNUMBER(SEARCH(D305,INDEX(Pages!$J$2:$J$824,MATCH(A305,Pages!$B$2:$B$824,0)))),"Yes","No"),"Page not found")</f>
        <v>Yes</v>
      </c>
      <c r="O305" s="3" t="s">
        <v>5212</v>
      </c>
      <c r="P305" s="3"/>
    </row>
    <row r="306" customFormat="false" ht="15" hidden="false" customHeight="false" outlineLevel="0" collapsed="false">
      <c r="A306" s="15" t="s">
        <v>493</v>
      </c>
      <c r="B306" s="15" t="s">
        <v>384</v>
      </c>
      <c r="C306" s="15" t="s">
        <v>90</v>
      </c>
      <c r="D306" s="15" t="s">
        <v>497</v>
      </c>
      <c r="E306" s="15" t="s">
        <v>147</v>
      </c>
      <c r="F306" s="15"/>
      <c r="G306" s="15"/>
      <c r="H306" s="16" t="n">
        <v>260</v>
      </c>
      <c r="I306" s="15" t="n">
        <v>25</v>
      </c>
      <c r="J306" s="15" t="s">
        <v>5159</v>
      </c>
      <c r="K306" s="15" t="s">
        <v>5351</v>
      </c>
      <c r="L306" s="15" t="n">
        <v>3</v>
      </c>
      <c r="M306" s="15" t="s">
        <v>5161</v>
      </c>
      <c r="N306" s="18" t="str">
        <f aca="false">IFERROR(IF(ISNUMBER(SEARCH(D306,INDEX(Pages!$J$2:$J$824,MATCH(A306,Pages!$B$2:$B$824,0)))),"Yes","No"),"Page not found")</f>
        <v>Yes</v>
      </c>
      <c r="O306" s="3" t="s">
        <v>5355</v>
      </c>
      <c r="P306" s="3" t="s">
        <v>5487</v>
      </c>
    </row>
    <row r="307" customFormat="false" ht="15" hidden="false" customHeight="false" outlineLevel="0" collapsed="false">
      <c r="A307" s="15" t="s">
        <v>511</v>
      </c>
      <c r="B307" s="15" t="s">
        <v>384</v>
      </c>
      <c r="C307" s="15" t="s">
        <v>90</v>
      </c>
      <c r="D307" s="15" t="s">
        <v>515</v>
      </c>
      <c r="E307" s="15" t="s">
        <v>147</v>
      </c>
      <c r="F307" s="15"/>
      <c r="G307" s="15"/>
      <c r="H307" s="16" t="n">
        <v>260</v>
      </c>
      <c r="I307" s="15" t="n">
        <v>25</v>
      </c>
      <c r="J307" s="15" t="s">
        <v>5159</v>
      </c>
      <c r="K307" s="15" t="s">
        <v>5351</v>
      </c>
      <c r="L307" s="15" t="n">
        <v>3</v>
      </c>
      <c r="M307" s="15" t="s">
        <v>5161</v>
      </c>
      <c r="N307" s="18" t="str">
        <f aca="false">IFERROR(IF(ISNUMBER(SEARCH(D307,INDEX(Pages!$J$2:$J$824,MATCH(A307,Pages!$B$2:$B$824,0)))),"Yes","No"),"Page not found")</f>
        <v>Yes</v>
      </c>
      <c r="O307" s="3" t="s">
        <v>5212</v>
      </c>
      <c r="P307" s="3" t="s">
        <v>5492</v>
      </c>
    </row>
    <row r="308" customFormat="false" ht="15" hidden="false" customHeight="false" outlineLevel="0" collapsed="false">
      <c r="A308" s="15" t="s">
        <v>517</v>
      </c>
      <c r="B308" s="15" t="s">
        <v>384</v>
      </c>
      <c r="C308" s="15" t="s">
        <v>90</v>
      </c>
      <c r="D308" s="15" t="s">
        <v>521</v>
      </c>
      <c r="E308" s="15" t="s">
        <v>147</v>
      </c>
      <c r="F308" s="15"/>
      <c r="G308" s="15"/>
      <c r="H308" s="16" t="n">
        <v>260</v>
      </c>
      <c r="I308" s="15" t="n">
        <v>25</v>
      </c>
      <c r="J308" s="15" t="s">
        <v>5159</v>
      </c>
      <c r="K308" s="15" t="s">
        <v>5351</v>
      </c>
      <c r="L308" s="15" t="n">
        <v>3</v>
      </c>
      <c r="M308" s="15" t="s">
        <v>5161</v>
      </c>
      <c r="N308" s="18" t="str">
        <f aca="false">IFERROR(IF(ISNUMBER(SEARCH(D308,INDEX(Pages!$J$2:$J$824,MATCH(A308,Pages!$B$2:$B$824,0)))),"Yes","No"),"Page not found")</f>
        <v>No</v>
      </c>
      <c r="O308" s="3" t="s">
        <v>5355</v>
      </c>
      <c r="P308" s="3" t="s">
        <v>5487</v>
      </c>
    </row>
    <row r="309" customFormat="false" ht="15" hidden="false" customHeight="false" outlineLevel="0" collapsed="false">
      <c r="A309" s="15" t="s">
        <v>3461</v>
      </c>
      <c r="B309" s="15" t="s">
        <v>2076</v>
      </c>
      <c r="C309" s="15" t="s">
        <v>84</v>
      </c>
      <c r="D309" s="15" t="s">
        <v>3465</v>
      </c>
      <c r="E309" s="15" t="s">
        <v>104</v>
      </c>
      <c r="F309" s="15" t="s">
        <v>715</v>
      </c>
      <c r="G309" s="15" t="s">
        <v>2407</v>
      </c>
      <c r="H309" s="16" t="n">
        <v>260</v>
      </c>
      <c r="I309" s="15" t="n">
        <v>64</v>
      </c>
      <c r="J309" s="15" t="s">
        <v>5227</v>
      </c>
      <c r="K309" s="15" t="s">
        <v>5392</v>
      </c>
      <c r="L309" s="15" t="n">
        <v>3</v>
      </c>
      <c r="M309" s="15" t="s">
        <v>5161</v>
      </c>
      <c r="N309" s="18" t="str">
        <f aca="false">IFERROR(IF(ISNUMBER(SEARCH(D309,INDEX(Pages!$J$2:$J$824,MATCH(A309,Pages!$B$2:$B$824,0)))),"Yes","No"),"Page not found")</f>
        <v>Yes</v>
      </c>
      <c r="O309" s="3" t="s">
        <v>5182</v>
      </c>
      <c r="P309" s="3"/>
    </row>
    <row r="310" customFormat="false" ht="15" hidden="false" customHeight="false" outlineLevel="0" collapsed="false">
      <c r="A310" s="15" t="s">
        <v>2591</v>
      </c>
      <c r="B310" s="15" t="s">
        <v>2076</v>
      </c>
      <c r="C310" s="15" t="s">
        <v>82</v>
      </c>
      <c r="D310" s="15" t="s">
        <v>2595</v>
      </c>
      <c r="E310" s="15" t="s">
        <v>104</v>
      </c>
      <c r="F310" s="15" t="s">
        <v>680</v>
      </c>
      <c r="G310" s="15" t="s">
        <v>2204</v>
      </c>
      <c r="H310" s="16" t="n">
        <v>250</v>
      </c>
      <c r="I310" s="15" t="n">
        <v>56</v>
      </c>
      <c r="J310" s="15" t="s">
        <v>5227</v>
      </c>
      <c r="K310" s="15" t="s">
        <v>5228</v>
      </c>
      <c r="L310" s="15" t="n">
        <v>3</v>
      </c>
      <c r="M310" s="15" t="s">
        <v>5161</v>
      </c>
      <c r="N310" s="18" t="str">
        <f aca="false">IFERROR(IF(ISNUMBER(SEARCH(D310,INDEX(Pages!$J$2:$J$824,MATCH(A310,Pages!$B$2:$B$824,0)))),"Yes","No"),"Page not found")</f>
        <v>Yes</v>
      </c>
      <c r="O310" s="3" t="s">
        <v>5376</v>
      </c>
      <c r="P310" s="3"/>
    </row>
    <row r="311" customFormat="false" ht="15" hidden="false" customHeight="false" outlineLevel="0" collapsed="false">
      <c r="A311" s="15" t="s">
        <v>3509</v>
      </c>
      <c r="B311" s="15" t="s">
        <v>2076</v>
      </c>
      <c r="C311" s="15" t="s">
        <v>84</v>
      </c>
      <c r="D311" s="15" t="s">
        <v>3513</v>
      </c>
      <c r="E311" s="15" t="s">
        <v>104</v>
      </c>
      <c r="F311" s="15" t="s">
        <v>736</v>
      </c>
      <c r="G311" s="15" t="s">
        <v>2463</v>
      </c>
      <c r="H311" s="16" t="n">
        <v>250</v>
      </c>
      <c r="I311" s="15" t="n">
        <v>52</v>
      </c>
      <c r="J311" s="15" t="s">
        <v>5227</v>
      </c>
      <c r="K311" s="15" t="s">
        <v>5392</v>
      </c>
      <c r="L311" s="15" t="n">
        <v>3</v>
      </c>
      <c r="M311" s="15" t="s">
        <v>5161</v>
      </c>
      <c r="N311" s="18" t="str">
        <f aca="false">IFERROR(IF(ISNUMBER(SEARCH(D311,INDEX(Pages!$J$2:$J$824,MATCH(A311,Pages!$B$2:$B$824,0)))),"Yes","No"),"Page not found")</f>
        <v>Yes</v>
      </c>
      <c r="O311" s="3" t="s">
        <v>5376</v>
      </c>
      <c r="P311" s="3"/>
    </row>
    <row r="312" customFormat="false" ht="23.85" hidden="false" customHeight="false" outlineLevel="0" collapsed="false">
      <c r="A312" s="15" t="s">
        <v>3695</v>
      </c>
      <c r="B312" s="15" t="s">
        <v>2076</v>
      </c>
      <c r="C312" s="15" t="s">
        <v>74</v>
      </c>
      <c r="D312" s="15" t="s">
        <v>3699</v>
      </c>
      <c r="E312" s="15" t="s">
        <v>104</v>
      </c>
      <c r="F312" s="15" t="s">
        <v>715</v>
      </c>
      <c r="G312" s="15" t="s">
        <v>2274</v>
      </c>
      <c r="H312" s="16" t="n">
        <v>250</v>
      </c>
      <c r="I312" s="15" t="n">
        <v>47</v>
      </c>
      <c r="J312" s="15" t="s">
        <v>5227</v>
      </c>
      <c r="K312" s="15" t="s">
        <v>5444</v>
      </c>
      <c r="L312" s="15" t="n">
        <v>1</v>
      </c>
      <c r="M312" s="15" t="s">
        <v>5161</v>
      </c>
      <c r="N312" s="18" t="str">
        <f aca="false">IFERROR(IF(ISNUMBER(SEARCH(D312,INDEX(Pages!$J$2:$J$824,MATCH(A312,Pages!$B$2:$B$824,0)))),"Yes","No"),"Page not found")</f>
        <v>Yes</v>
      </c>
      <c r="O312" s="3" t="s">
        <v>5488</v>
      </c>
      <c r="P312" s="3" t="s">
        <v>5230</v>
      </c>
    </row>
    <row r="313" customFormat="false" ht="23.85" hidden="false" customHeight="false" outlineLevel="0" collapsed="false">
      <c r="A313" s="15" t="s">
        <v>2735</v>
      </c>
      <c r="B313" s="15" t="s">
        <v>2076</v>
      </c>
      <c r="C313" s="15" t="s">
        <v>82</v>
      </c>
      <c r="D313" s="15" t="s">
        <v>2739</v>
      </c>
      <c r="E313" s="15" t="s">
        <v>104</v>
      </c>
      <c r="F313" s="15" t="s">
        <v>715</v>
      </c>
      <c r="G313" s="15" t="s">
        <v>2372</v>
      </c>
      <c r="H313" s="16" t="n">
        <v>240</v>
      </c>
      <c r="I313" s="15" t="n">
        <v>64</v>
      </c>
      <c r="J313" s="15" t="s">
        <v>5227</v>
      </c>
      <c r="K313" s="15" t="s">
        <v>5228</v>
      </c>
      <c r="L313" s="15" t="n">
        <v>5</v>
      </c>
      <c r="M313" s="15" t="s">
        <v>5161</v>
      </c>
      <c r="N313" s="18" t="str">
        <f aca="false">IFERROR(IF(ISNUMBER(SEARCH(D313,INDEX(Pages!$J$2:$J$824,MATCH(A313,Pages!$B$2:$B$824,0)))),"Yes","No"),"Page not found")</f>
        <v>Yes</v>
      </c>
      <c r="O313" s="3" t="s">
        <v>5226</v>
      </c>
      <c r="P313" s="3" t="s">
        <v>5483</v>
      </c>
    </row>
    <row r="314" customFormat="false" ht="15" hidden="false" customHeight="false" outlineLevel="0" collapsed="false">
      <c r="A314" s="15" t="s">
        <v>953</v>
      </c>
      <c r="B314" s="15" t="s">
        <v>656</v>
      </c>
      <c r="C314" s="15" t="s">
        <v>90</v>
      </c>
      <c r="D314" s="15" t="s">
        <v>957</v>
      </c>
      <c r="E314" s="15" t="s">
        <v>662</v>
      </c>
      <c r="F314" s="15" t="s">
        <v>715</v>
      </c>
      <c r="G314" s="15"/>
      <c r="H314" s="16" t="n">
        <v>240</v>
      </c>
      <c r="I314" s="15" t="n">
        <v>37</v>
      </c>
      <c r="J314" s="15" t="s">
        <v>5159</v>
      </c>
      <c r="K314" s="15" t="s">
        <v>5425</v>
      </c>
      <c r="L314" s="15" t="n">
        <v>2</v>
      </c>
      <c r="M314" s="15" t="s">
        <v>5161</v>
      </c>
      <c r="N314" s="18" t="str">
        <f aca="false">IFERROR(IF(ISNUMBER(SEARCH(D314,INDEX(Pages!$J$2:$J$824,MATCH(A314,Pages!$B$2:$B$824,0)))),"Yes","No"),"Page not found")</f>
        <v>No</v>
      </c>
      <c r="O314" s="3" t="s">
        <v>5426</v>
      </c>
      <c r="P314" s="3"/>
    </row>
    <row r="315" customFormat="false" ht="15" hidden="false" customHeight="false" outlineLevel="0" collapsed="false">
      <c r="A315" s="15" t="s">
        <v>1277</v>
      </c>
      <c r="B315" s="15" t="s">
        <v>656</v>
      </c>
      <c r="C315" s="15" t="s">
        <v>78</v>
      </c>
      <c r="D315" s="15" t="s">
        <v>1281</v>
      </c>
      <c r="E315" s="15" t="s">
        <v>662</v>
      </c>
      <c r="F315" s="15" t="s">
        <v>729</v>
      </c>
      <c r="G315" s="15"/>
      <c r="H315" s="16" t="n">
        <v>240</v>
      </c>
      <c r="I315" s="15" t="n">
        <v>49</v>
      </c>
      <c r="J315" s="15" t="s">
        <v>5159</v>
      </c>
      <c r="K315" s="15" t="s">
        <v>5418</v>
      </c>
      <c r="L315" s="15" t="n">
        <v>4</v>
      </c>
      <c r="M315" s="15" t="s">
        <v>5161</v>
      </c>
      <c r="N315" s="18" t="str">
        <f aca="false">IFERROR(IF(ISNUMBER(SEARCH(D315,INDEX(Pages!$J$2:$J$824,MATCH(A315,Pages!$B$2:$B$824,0)))),"Yes","No"),"Page not found")</f>
        <v>No</v>
      </c>
      <c r="O315" s="3" t="s">
        <v>5426</v>
      </c>
      <c r="P315" s="3" t="s">
        <v>5378</v>
      </c>
    </row>
    <row r="316" customFormat="false" ht="15" hidden="false" customHeight="false" outlineLevel="0" collapsed="false">
      <c r="A316" s="15" t="s">
        <v>3239</v>
      </c>
      <c r="B316" s="15" t="s">
        <v>2076</v>
      </c>
      <c r="C316" s="15" t="s">
        <v>84</v>
      </c>
      <c r="D316" s="15" t="s">
        <v>3243</v>
      </c>
      <c r="E316" s="15" t="s">
        <v>104</v>
      </c>
      <c r="F316" s="15" t="s">
        <v>666</v>
      </c>
      <c r="G316" s="15" t="s">
        <v>2148</v>
      </c>
      <c r="H316" s="16" t="n">
        <v>240</v>
      </c>
      <c r="I316" s="15" t="n">
        <v>40</v>
      </c>
      <c r="J316" s="15" t="s">
        <v>5227</v>
      </c>
      <c r="K316" s="15" t="s">
        <v>5392</v>
      </c>
      <c r="L316" s="15" t="n">
        <v>2</v>
      </c>
      <c r="M316" s="15" t="s">
        <v>5161</v>
      </c>
      <c r="N316" s="18" t="str">
        <f aca="false">IFERROR(IF(ISNUMBER(SEARCH(D316,INDEX(Pages!$J$2:$J$824,MATCH(A316,Pages!$B$2:$B$824,0)))),"Yes","No"),"Page not found")</f>
        <v>No</v>
      </c>
      <c r="O316" s="3" t="s">
        <v>5426</v>
      </c>
      <c r="P316" s="3"/>
    </row>
    <row r="317" customFormat="false" ht="15" hidden="false" customHeight="false" outlineLevel="0" collapsed="false">
      <c r="A317" s="15" t="s">
        <v>1331</v>
      </c>
      <c r="B317" s="15" t="s">
        <v>656</v>
      </c>
      <c r="C317" s="15" t="s">
        <v>84</v>
      </c>
      <c r="D317" s="15" t="s">
        <v>1335</v>
      </c>
      <c r="E317" s="15" t="s">
        <v>662</v>
      </c>
      <c r="F317" s="15" t="s">
        <v>701</v>
      </c>
      <c r="G317" s="15"/>
      <c r="H317" s="16" t="n">
        <v>240</v>
      </c>
      <c r="I317" s="15" t="n">
        <v>43</v>
      </c>
      <c r="J317" s="15" t="s">
        <v>5159</v>
      </c>
      <c r="K317" s="15" t="s">
        <v>5321</v>
      </c>
      <c r="L317" s="15" t="n">
        <v>3</v>
      </c>
      <c r="M317" s="15" t="s">
        <v>5161</v>
      </c>
      <c r="N317" s="18" t="str">
        <f aca="false">IFERROR(IF(ISNUMBER(SEARCH(D317,INDEX(Pages!$J$2:$J$824,MATCH(A317,Pages!$B$2:$B$824,0)))),"Yes","No"),"Page not found")</f>
        <v>No</v>
      </c>
      <c r="O317" s="3" t="s">
        <v>5376</v>
      </c>
      <c r="P317" s="3"/>
    </row>
    <row r="318" customFormat="false" ht="15" hidden="false" customHeight="false" outlineLevel="0" collapsed="false">
      <c r="A318" s="15" t="s">
        <v>3389</v>
      </c>
      <c r="B318" s="15" t="s">
        <v>2076</v>
      </c>
      <c r="C318" s="15" t="s">
        <v>84</v>
      </c>
      <c r="D318" s="15" t="s">
        <v>3393</v>
      </c>
      <c r="E318" s="15" t="s">
        <v>104</v>
      </c>
      <c r="F318" s="15" t="s">
        <v>715</v>
      </c>
      <c r="G318" s="15" t="s">
        <v>2323</v>
      </c>
      <c r="H318" s="16" t="n">
        <v>240</v>
      </c>
      <c r="I318" s="15" t="n">
        <v>48</v>
      </c>
      <c r="J318" s="15" t="s">
        <v>5227</v>
      </c>
      <c r="K318" s="15" t="s">
        <v>5392</v>
      </c>
      <c r="L318" s="15" t="n">
        <v>3</v>
      </c>
      <c r="M318" s="15" t="s">
        <v>5161</v>
      </c>
      <c r="N318" s="18" t="str">
        <f aca="false">IFERROR(IF(ISNUMBER(SEARCH(D318,INDEX(Pages!$J$2:$J$824,MATCH(A318,Pages!$B$2:$B$824,0)))),"Yes","No"),"Page not found")</f>
        <v>Yes</v>
      </c>
      <c r="O318" s="3" t="s">
        <v>5426</v>
      </c>
      <c r="P318" s="3"/>
    </row>
    <row r="319" customFormat="false" ht="15" hidden="false" customHeight="false" outlineLevel="0" collapsed="false">
      <c r="A319" s="15" t="s">
        <v>4681</v>
      </c>
      <c r="B319" s="15" t="s">
        <v>4572</v>
      </c>
      <c r="C319" s="15" t="s">
        <v>94</v>
      </c>
      <c r="D319" s="15" t="s">
        <v>4685</v>
      </c>
      <c r="E319" s="15" t="s">
        <v>104</v>
      </c>
      <c r="F319" s="15" t="s">
        <v>673</v>
      </c>
      <c r="G319" s="15" t="s">
        <v>2183</v>
      </c>
      <c r="H319" s="16" t="n">
        <v>240</v>
      </c>
      <c r="I319" s="15" t="n">
        <v>30</v>
      </c>
      <c r="J319" s="15" t="s">
        <v>5227</v>
      </c>
      <c r="K319" s="15" t="s">
        <v>5243</v>
      </c>
      <c r="L319" s="15" t="n">
        <v>2</v>
      </c>
      <c r="M319" s="15" t="s">
        <v>5161</v>
      </c>
      <c r="N319" s="18" t="str">
        <f aca="false">IFERROR(IF(ISNUMBER(SEARCH(D319,INDEX(Pages!$J$2:$J$824,MATCH(A319,Pages!$B$2:$B$824,0)))),"Yes","No"),"Page not found")</f>
        <v>No</v>
      </c>
      <c r="O319" s="3" t="s">
        <v>5471</v>
      </c>
      <c r="P319" s="3" t="s">
        <v>5472</v>
      </c>
    </row>
    <row r="320" customFormat="false" ht="15" hidden="false" customHeight="false" outlineLevel="0" collapsed="false">
      <c r="A320" s="15" t="s">
        <v>3593</v>
      </c>
      <c r="B320" s="15" t="s">
        <v>2076</v>
      </c>
      <c r="C320" s="15" t="s">
        <v>74</v>
      </c>
      <c r="D320" s="15" t="s">
        <v>3597</v>
      </c>
      <c r="E320" s="15" t="s">
        <v>104</v>
      </c>
      <c r="F320" s="15" t="s">
        <v>666</v>
      </c>
      <c r="G320" s="15" t="s">
        <v>2155</v>
      </c>
      <c r="H320" s="16" t="n">
        <v>240</v>
      </c>
      <c r="I320" s="15" t="n">
        <v>35</v>
      </c>
      <c r="J320" s="15" t="s">
        <v>5227</v>
      </c>
      <c r="K320" s="15" t="s">
        <v>5444</v>
      </c>
      <c r="L320" s="15" t="n">
        <v>1</v>
      </c>
      <c r="M320" s="15" t="s">
        <v>5161</v>
      </c>
      <c r="N320" s="18" t="str">
        <f aca="false">IFERROR(IF(ISNUMBER(SEARCH(D320,INDEX(Pages!$J$2:$J$824,MATCH(A320,Pages!$B$2:$B$824,0)))),"Yes","No"),"Page not found")</f>
        <v>Yes</v>
      </c>
      <c r="O320" s="3" t="s">
        <v>5426</v>
      </c>
      <c r="P320" s="3"/>
    </row>
    <row r="321" customFormat="false" ht="15" hidden="false" customHeight="false" outlineLevel="0" collapsed="false">
      <c r="A321" s="15" t="s">
        <v>4415</v>
      </c>
      <c r="B321" s="15" t="s">
        <v>2076</v>
      </c>
      <c r="C321" s="15" t="s">
        <v>86</v>
      </c>
      <c r="D321" s="15" t="s">
        <v>4419</v>
      </c>
      <c r="E321" s="15" t="s">
        <v>104</v>
      </c>
      <c r="F321" s="15" t="s">
        <v>715</v>
      </c>
      <c r="G321" s="15" t="s">
        <v>2302</v>
      </c>
      <c r="H321" s="16" t="n">
        <v>240</v>
      </c>
      <c r="I321" s="15" t="n">
        <v>48</v>
      </c>
      <c r="J321" s="15" t="s">
        <v>5227</v>
      </c>
      <c r="K321" s="15" t="s">
        <v>5392</v>
      </c>
      <c r="L321" s="15" t="n">
        <v>4</v>
      </c>
      <c r="M321" s="15" t="s">
        <v>5161</v>
      </c>
      <c r="N321" s="18" t="str">
        <f aca="false">IFERROR(IF(ISNUMBER(SEARCH(D321,INDEX(Pages!$J$2:$J$824,MATCH(A321,Pages!$B$2:$B$824,0)))),"Yes","No"),"Page not found")</f>
        <v>Yes</v>
      </c>
      <c r="O321" s="3" t="s">
        <v>5426</v>
      </c>
      <c r="P321" s="3"/>
    </row>
    <row r="322" customFormat="false" ht="15" hidden="false" customHeight="false" outlineLevel="0" collapsed="false">
      <c r="A322" s="15" t="s">
        <v>1889</v>
      </c>
      <c r="B322" s="15" t="s">
        <v>656</v>
      </c>
      <c r="C322" s="15" t="s">
        <v>74</v>
      </c>
      <c r="D322" s="15" t="s">
        <v>1893</v>
      </c>
      <c r="E322" s="15" t="s">
        <v>662</v>
      </c>
      <c r="F322" s="15" t="s">
        <v>715</v>
      </c>
      <c r="G322" s="15"/>
      <c r="H322" s="16" t="n">
        <v>240</v>
      </c>
      <c r="I322" s="15" t="n">
        <v>46</v>
      </c>
      <c r="J322" s="15" t="s">
        <v>5159</v>
      </c>
      <c r="K322" s="15" t="s">
        <v>5440</v>
      </c>
      <c r="L322" s="15" t="n">
        <v>2</v>
      </c>
      <c r="M322" s="15" t="s">
        <v>5161</v>
      </c>
      <c r="N322" s="18" t="str">
        <f aca="false">IFERROR(IF(ISNUMBER(SEARCH(D322,INDEX(Pages!$J$2:$J$824,MATCH(A322,Pages!$B$2:$B$824,0)))),"Yes","No"),"Page not found")</f>
        <v>No</v>
      </c>
      <c r="O322" s="3" t="s">
        <v>5224</v>
      </c>
      <c r="P322" s="3"/>
    </row>
    <row r="323" customFormat="false" ht="15" hidden="false" customHeight="false" outlineLevel="0" collapsed="false">
      <c r="A323" s="15" t="s">
        <v>2525</v>
      </c>
      <c r="B323" s="15" t="s">
        <v>2076</v>
      </c>
      <c r="C323" s="15" t="s">
        <v>82</v>
      </c>
      <c r="D323" s="15" t="s">
        <v>2529</v>
      </c>
      <c r="E323" s="15" t="s">
        <v>104</v>
      </c>
      <c r="F323" s="15" t="s">
        <v>666</v>
      </c>
      <c r="G323" s="15" t="s">
        <v>2127</v>
      </c>
      <c r="H323" s="16" t="n">
        <v>230</v>
      </c>
      <c r="I323" s="15" t="n">
        <v>52</v>
      </c>
      <c r="J323" s="15" t="s">
        <v>5227</v>
      </c>
      <c r="K323" s="15" t="s">
        <v>5228</v>
      </c>
      <c r="L323" s="15" t="n">
        <v>5</v>
      </c>
      <c r="M323" s="15" t="s">
        <v>5161</v>
      </c>
      <c r="N323" s="18" t="str">
        <f aca="false">IFERROR(IF(ISNUMBER(SEARCH(D323,INDEX(Pages!$J$2:$J$824,MATCH(A323,Pages!$B$2:$B$824,0)))),"Yes","No"),"Page not found")</f>
        <v>Yes</v>
      </c>
      <c r="O323" s="3" t="s">
        <v>5426</v>
      </c>
      <c r="P323" s="3" t="s">
        <v>5377</v>
      </c>
    </row>
    <row r="324" customFormat="false" ht="15" hidden="false" customHeight="false" outlineLevel="0" collapsed="false">
      <c r="A324" s="15" t="s">
        <v>3413</v>
      </c>
      <c r="B324" s="15" t="s">
        <v>2076</v>
      </c>
      <c r="C324" s="15" t="s">
        <v>84</v>
      </c>
      <c r="D324" s="15" t="s">
        <v>3417</v>
      </c>
      <c r="E324" s="15" t="s">
        <v>104</v>
      </c>
      <c r="F324" s="15" t="s">
        <v>715</v>
      </c>
      <c r="G324" s="15" t="s">
        <v>2351</v>
      </c>
      <c r="H324" s="16" t="n">
        <v>230</v>
      </c>
      <c r="I324" s="15" t="n">
        <v>48</v>
      </c>
      <c r="J324" s="15" t="s">
        <v>5227</v>
      </c>
      <c r="K324" s="15" t="s">
        <v>5392</v>
      </c>
      <c r="L324" s="15" t="n">
        <v>3</v>
      </c>
      <c r="M324" s="15" t="s">
        <v>5161</v>
      </c>
      <c r="N324" s="18" t="str">
        <f aca="false">IFERROR(IF(ISNUMBER(SEARCH(D324,INDEX(Pages!$J$2:$J$824,MATCH(A324,Pages!$B$2:$B$824,0)))),"Yes","No"),"Page not found")</f>
        <v>Yes</v>
      </c>
      <c r="O324" s="3" t="s">
        <v>5426</v>
      </c>
      <c r="P324" s="3"/>
    </row>
    <row r="325" customFormat="false" ht="15" hidden="false" customHeight="false" outlineLevel="0" collapsed="false">
      <c r="A325" s="15" t="s">
        <v>4831</v>
      </c>
      <c r="B325" s="15" t="s">
        <v>4572</v>
      </c>
      <c r="C325" s="15" t="s">
        <v>94</v>
      </c>
      <c r="D325" s="15" t="s">
        <v>4835</v>
      </c>
      <c r="E325" s="15" t="s">
        <v>104</v>
      </c>
      <c r="F325" s="15" t="s">
        <v>715</v>
      </c>
      <c r="G325" s="15" t="s">
        <v>2316</v>
      </c>
      <c r="H325" s="16" t="n">
        <v>230</v>
      </c>
      <c r="I325" s="15" t="n">
        <v>30</v>
      </c>
      <c r="J325" s="15" t="s">
        <v>5227</v>
      </c>
      <c r="K325" s="15" t="s">
        <v>5243</v>
      </c>
      <c r="L325" s="15" t="n">
        <v>2</v>
      </c>
      <c r="M325" s="15" t="s">
        <v>5161</v>
      </c>
      <c r="N325" s="18" t="str">
        <f aca="false">IFERROR(IF(ISNUMBER(SEARCH(D325,INDEX(Pages!$J$2:$J$824,MATCH(A325,Pages!$B$2:$B$824,0)))),"Yes","No"),"Page not found")</f>
        <v>No</v>
      </c>
      <c r="O325" s="3" t="s">
        <v>5471</v>
      </c>
      <c r="P325" s="3" t="s">
        <v>5472</v>
      </c>
    </row>
    <row r="326" customFormat="false" ht="15" hidden="false" customHeight="false" outlineLevel="0" collapsed="false">
      <c r="A326" s="15" t="s">
        <v>3881</v>
      </c>
      <c r="B326" s="15" t="s">
        <v>2076</v>
      </c>
      <c r="C326" s="15" t="s">
        <v>81</v>
      </c>
      <c r="D326" s="15" t="s">
        <v>3885</v>
      </c>
      <c r="E326" s="15" t="s">
        <v>104</v>
      </c>
      <c r="F326" s="15" t="s">
        <v>657</v>
      </c>
      <c r="G326" s="15" t="s">
        <v>2084</v>
      </c>
      <c r="H326" s="16" t="n">
        <v>230</v>
      </c>
      <c r="I326" s="15" t="n">
        <v>36</v>
      </c>
      <c r="J326" s="15" t="s">
        <v>5227</v>
      </c>
      <c r="K326" s="15" t="s">
        <v>5235</v>
      </c>
      <c r="L326" s="15" t="n">
        <v>2</v>
      </c>
      <c r="M326" s="15" t="s">
        <v>5161</v>
      </c>
      <c r="N326" s="18" t="str">
        <f aca="false">IFERROR(IF(ISNUMBER(SEARCH(D326,INDEX(Pages!$J$2:$J$824,MATCH(A326,Pages!$B$2:$B$824,0)))),"Yes","No"),"Page not found")</f>
        <v>Yes</v>
      </c>
      <c r="O326" s="3" t="s">
        <v>5426</v>
      </c>
      <c r="P326" s="3"/>
    </row>
    <row r="327" customFormat="false" ht="15" hidden="false" customHeight="false" outlineLevel="0" collapsed="false">
      <c r="A327" s="15" t="s">
        <v>4487</v>
      </c>
      <c r="B327" s="15" t="s">
        <v>2076</v>
      </c>
      <c r="C327" s="15" t="s">
        <v>86</v>
      </c>
      <c r="D327" s="15" t="s">
        <v>4491</v>
      </c>
      <c r="E327" s="15" t="s">
        <v>104</v>
      </c>
      <c r="F327" s="15" t="s">
        <v>715</v>
      </c>
      <c r="G327" s="15" t="s">
        <v>2386</v>
      </c>
      <c r="H327" s="16" t="n">
        <v>230</v>
      </c>
      <c r="I327" s="15" t="n">
        <v>48</v>
      </c>
      <c r="J327" s="15" t="s">
        <v>5227</v>
      </c>
      <c r="K327" s="15" t="s">
        <v>5392</v>
      </c>
      <c r="L327" s="15" t="n">
        <v>4</v>
      </c>
      <c r="M327" s="15" t="s">
        <v>5161</v>
      </c>
      <c r="N327" s="18" t="str">
        <f aca="false">IFERROR(IF(ISNUMBER(SEARCH(D327,INDEX(Pages!$J$2:$J$824,MATCH(A327,Pages!$B$2:$B$824,0)))),"Yes","No"),"Page not found")</f>
        <v>Yes</v>
      </c>
      <c r="O327" s="3" t="s">
        <v>5426</v>
      </c>
      <c r="P327" s="3"/>
    </row>
    <row r="328" customFormat="false" ht="15" hidden="false" customHeight="false" outlineLevel="0" collapsed="false">
      <c r="A328" s="15" t="s">
        <v>2789</v>
      </c>
      <c r="B328" s="15" t="s">
        <v>2076</v>
      </c>
      <c r="C328" s="15" t="s">
        <v>82</v>
      </c>
      <c r="D328" s="15" t="s">
        <v>2793</v>
      </c>
      <c r="E328" s="15" t="s">
        <v>104</v>
      </c>
      <c r="F328" s="15" t="s">
        <v>729</v>
      </c>
      <c r="G328" s="15" t="s">
        <v>2435</v>
      </c>
      <c r="H328" s="16" t="n">
        <v>220</v>
      </c>
      <c r="I328" s="15" t="n">
        <v>52</v>
      </c>
      <c r="J328" s="15" t="s">
        <v>5227</v>
      </c>
      <c r="K328" s="15" t="s">
        <v>5228</v>
      </c>
      <c r="L328" s="15" t="n">
        <v>4</v>
      </c>
      <c r="M328" s="15" t="s">
        <v>5161</v>
      </c>
      <c r="N328" s="18" t="str">
        <f aca="false">IFERROR(IF(ISNUMBER(SEARCH(D328,INDEX(Pages!$J$2:$J$824,MATCH(A328,Pages!$B$2:$B$824,0)))),"Yes","No"),"Page not found")</f>
        <v>Yes</v>
      </c>
      <c r="O328" s="3" t="s">
        <v>5426</v>
      </c>
      <c r="P328" s="3" t="s">
        <v>5427</v>
      </c>
    </row>
    <row r="329" customFormat="false" ht="15" hidden="false" customHeight="false" outlineLevel="0" collapsed="false">
      <c r="A329" s="15" t="s">
        <v>827</v>
      </c>
      <c r="B329" s="15" t="s">
        <v>656</v>
      </c>
      <c r="C329" s="15" t="s">
        <v>85</v>
      </c>
      <c r="D329" s="15" t="s">
        <v>831</v>
      </c>
      <c r="E329" s="15" t="s">
        <v>662</v>
      </c>
      <c r="F329" s="15" t="s">
        <v>657</v>
      </c>
      <c r="G329" s="15"/>
      <c r="H329" s="16" t="n">
        <v>220</v>
      </c>
      <c r="I329" s="15" t="n">
        <v>47</v>
      </c>
      <c r="J329" s="15" t="s">
        <v>5159</v>
      </c>
      <c r="K329" s="15" t="s">
        <v>5321</v>
      </c>
      <c r="L329" s="15" t="n">
        <v>4</v>
      </c>
      <c r="M329" s="15" t="s">
        <v>5161</v>
      </c>
      <c r="N329" s="18" t="str">
        <f aca="false">IFERROR(IF(ISNUMBER(SEARCH(D329,INDEX(Pages!$J$2:$J$824,MATCH(A329,Pages!$B$2:$B$824,0)))),"Yes","No"),"Page not found")</f>
        <v>No</v>
      </c>
      <c r="O329" s="3" t="s">
        <v>5192</v>
      </c>
      <c r="P329" s="3"/>
    </row>
    <row r="330" customFormat="false" ht="15" hidden="false" customHeight="false" outlineLevel="0" collapsed="false">
      <c r="A330" s="15" t="s">
        <v>1031</v>
      </c>
      <c r="B330" s="15" t="s">
        <v>656</v>
      </c>
      <c r="C330" s="15" t="s">
        <v>76</v>
      </c>
      <c r="D330" s="15" t="s">
        <v>1035</v>
      </c>
      <c r="E330" s="15" t="s">
        <v>662</v>
      </c>
      <c r="F330" s="15" t="s">
        <v>715</v>
      </c>
      <c r="G330" s="15"/>
      <c r="H330" s="16" t="n">
        <v>220</v>
      </c>
      <c r="I330" s="15" t="n">
        <v>37</v>
      </c>
      <c r="J330" s="15" t="s">
        <v>5159</v>
      </c>
      <c r="K330" s="15" t="s">
        <v>5254</v>
      </c>
      <c r="L330" s="15" t="n">
        <v>1</v>
      </c>
      <c r="M330" s="15" t="s">
        <v>5161</v>
      </c>
      <c r="N330" s="18" t="str">
        <f aca="false">IFERROR(IF(ISNUMBER(SEARCH(D330,INDEX(Pages!$J$2:$J$824,MATCH(A330,Pages!$B$2:$B$824,0)))),"Yes","No"),"Page not found")</f>
        <v>No</v>
      </c>
      <c r="O330" s="3" t="s">
        <v>5426</v>
      </c>
      <c r="P330" s="3"/>
    </row>
    <row r="331" customFormat="false" ht="15" hidden="false" customHeight="false" outlineLevel="0" collapsed="false">
      <c r="A331" s="15" t="s">
        <v>3329</v>
      </c>
      <c r="B331" s="15" t="s">
        <v>2076</v>
      </c>
      <c r="C331" s="15" t="s">
        <v>84</v>
      </c>
      <c r="D331" s="15" t="s">
        <v>3333</v>
      </c>
      <c r="E331" s="15" t="s">
        <v>104</v>
      </c>
      <c r="F331" s="15" t="s">
        <v>715</v>
      </c>
      <c r="G331" s="15" t="s">
        <v>2253</v>
      </c>
      <c r="H331" s="16" t="n">
        <v>220</v>
      </c>
      <c r="I331" s="15" t="n">
        <v>48</v>
      </c>
      <c r="J331" s="15" t="s">
        <v>5227</v>
      </c>
      <c r="K331" s="15" t="s">
        <v>5392</v>
      </c>
      <c r="L331" s="15" t="n">
        <v>3</v>
      </c>
      <c r="M331" s="15" t="s">
        <v>5161</v>
      </c>
      <c r="N331" s="18" t="str">
        <f aca="false">IFERROR(IF(ISNUMBER(SEARCH(D331,INDEX(Pages!$J$2:$J$824,MATCH(A331,Pages!$B$2:$B$824,0)))),"Yes","No"),"Page not found")</f>
        <v>Yes</v>
      </c>
      <c r="O331" s="3" t="s">
        <v>5426</v>
      </c>
      <c r="P331" s="3"/>
    </row>
    <row r="332" customFormat="false" ht="15" hidden="false" customHeight="false" outlineLevel="0" collapsed="false">
      <c r="A332" s="15" t="s">
        <v>4657</v>
      </c>
      <c r="B332" s="15" t="s">
        <v>4572</v>
      </c>
      <c r="C332" s="15" t="s">
        <v>94</v>
      </c>
      <c r="D332" s="15" t="s">
        <v>4661</v>
      </c>
      <c r="E332" s="15" t="s">
        <v>104</v>
      </c>
      <c r="F332" s="15" t="s">
        <v>666</v>
      </c>
      <c r="G332" s="15" t="s">
        <v>2162</v>
      </c>
      <c r="H332" s="16" t="n">
        <v>220</v>
      </c>
      <c r="I332" s="15" t="n">
        <v>30</v>
      </c>
      <c r="J332" s="15" t="s">
        <v>5227</v>
      </c>
      <c r="K332" s="15" t="s">
        <v>5243</v>
      </c>
      <c r="L332" s="15" t="n">
        <v>2</v>
      </c>
      <c r="M332" s="15" t="s">
        <v>5161</v>
      </c>
      <c r="N332" s="18" t="str">
        <f aca="false">IFERROR(IF(ISNUMBER(SEARCH(D332,INDEX(Pages!$J$2:$J$824,MATCH(A332,Pages!$B$2:$B$824,0)))),"Yes","No"),"Page not found")</f>
        <v>No</v>
      </c>
      <c r="O332" s="3" t="s">
        <v>5471</v>
      </c>
      <c r="P332" s="3" t="s">
        <v>5472</v>
      </c>
    </row>
    <row r="333" customFormat="false" ht="15" hidden="false" customHeight="false" outlineLevel="0" collapsed="false">
      <c r="A333" s="15" t="s">
        <v>2182</v>
      </c>
      <c r="B333" s="15" t="s">
        <v>2076</v>
      </c>
      <c r="C333" s="15" t="s">
        <v>89</v>
      </c>
      <c r="D333" s="15" t="s">
        <v>2187</v>
      </c>
      <c r="E333" s="15" t="s">
        <v>104</v>
      </c>
      <c r="F333" s="15" t="s">
        <v>673</v>
      </c>
      <c r="G333" s="15" t="s">
        <v>2183</v>
      </c>
      <c r="H333" s="16" t="n">
        <v>210</v>
      </c>
      <c r="I333" s="15" t="n">
        <v>33</v>
      </c>
      <c r="J333" s="15" t="s">
        <v>5227</v>
      </c>
      <c r="K333" s="15" t="s">
        <v>5473</v>
      </c>
      <c r="L333" s="15" t="n">
        <v>1</v>
      </c>
      <c r="M333" s="15" t="s">
        <v>5161</v>
      </c>
      <c r="N333" s="18" t="str">
        <f aca="false">IFERROR(IF(ISNUMBER(SEARCH(D333,INDEX(Pages!$J$2:$J$824,MATCH(A333,Pages!$B$2:$B$824,0)))),"Yes","No"),"Page not found")</f>
        <v>Yes</v>
      </c>
      <c r="O333" s="3" t="s">
        <v>5426</v>
      </c>
      <c r="P333" s="3"/>
    </row>
    <row r="334" customFormat="false" ht="15" hidden="false" customHeight="false" outlineLevel="0" collapsed="false">
      <c r="A334" s="15" t="s">
        <v>728</v>
      </c>
      <c r="B334" s="15" t="s">
        <v>656</v>
      </c>
      <c r="C334" s="15" t="s">
        <v>89</v>
      </c>
      <c r="D334" s="15" t="s">
        <v>733</v>
      </c>
      <c r="E334" s="15" t="s">
        <v>662</v>
      </c>
      <c r="F334" s="15" t="s">
        <v>729</v>
      </c>
      <c r="G334" s="15"/>
      <c r="H334" s="16" t="n">
        <v>210</v>
      </c>
      <c r="I334" s="15" t="n">
        <v>44</v>
      </c>
      <c r="J334" s="15" t="s">
        <v>5159</v>
      </c>
      <c r="K334" s="15" t="s">
        <v>5425</v>
      </c>
      <c r="L334" s="15" t="n">
        <v>3</v>
      </c>
      <c r="M334" s="15" t="s">
        <v>5161</v>
      </c>
      <c r="N334" s="18" t="str">
        <f aca="false">IFERROR(IF(ISNUMBER(SEARCH(D334,INDEX(Pages!$J$2:$J$824,MATCH(A334,Pages!$B$2:$B$824,0)))),"Yes","No"),"Page not found")</f>
        <v>No</v>
      </c>
      <c r="O334" s="3" t="s">
        <v>5426</v>
      </c>
      <c r="P334" s="3" t="s">
        <v>5378</v>
      </c>
    </row>
    <row r="335" customFormat="false" ht="23.85" hidden="false" customHeight="false" outlineLevel="0" collapsed="false">
      <c r="A335" s="15" t="s">
        <v>433</v>
      </c>
      <c r="B335" s="15" t="s">
        <v>384</v>
      </c>
      <c r="C335" s="15" t="s">
        <v>82</v>
      </c>
      <c r="D335" s="15" t="s">
        <v>437</v>
      </c>
      <c r="E335" s="15" t="s">
        <v>147</v>
      </c>
      <c r="F335" s="15"/>
      <c r="G335" s="15"/>
      <c r="H335" s="16" t="n">
        <v>210</v>
      </c>
      <c r="I335" s="15" t="n">
        <v>15</v>
      </c>
      <c r="J335" s="15" t="s">
        <v>5177</v>
      </c>
      <c r="K335" s="15" t="s">
        <v>5268</v>
      </c>
      <c r="L335" s="15" t="n">
        <v>1</v>
      </c>
      <c r="M335" s="15" t="s">
        <v>5161</v>
      </c>
      <c r="N335" s="18" t="str">
        <f aca="false">IFERROR(IF(ISNUMBER(SEARCH(D335,INDEX(Pages!$J$2:$J$824,MATCH(A335,Pages!$B$2:$B$824,0)))),"Yes","No"),"Page not found")</f>
        <v>No</v>
      </c>
      <c r="O335" s="3" t="s">
        <v>5493</v>
      </c>
      <c r="P335" s="3" t="s">
        <v>5494</v>
      </c>
    </row>
    <row r="336" customFormat="false" ht="15" hidden="false" customHeight="false" outlineLevel="0" collapsed="false">
      <c r="A336" s="15" t="s">
        <v>2513</v>
      </c>
      <c r="B336" s="15" t="s">
        <v>2076</v>
      </c>
      <c r="C336" s="15" t="s">
        <v>82</v>
      </c>
      <c r="D336" s="15" t="s">
        <v>2517</v>
      </c>
      <c r="E336" s="15" t="s">
        <v>104</v>
      </c>
      <c r="F336" s="15" t="s">
        <v>666</v>
      </c>
      <c r="G336" s="15" t="s">
        <v>2113</v>
      </c>
      <c r="H336" s="16" t="n">
        <v>210</v>
      </c>
      <c r="I336" s="15" t="n">
        <v>56</v>
      </c>
      <c r="J336" s="15" t="s">
        <v>5227</v>
      </c>
      <c r="K336" s="15" t="s">
        <v>5228</v>
      </c>
      <c r="L336" s="15" t="n">
        <v>5</v>
      </c>
      <c r="M336" s="15" t="s">
        <v>5161</v>
      </c>
      <c r="N336" s="18" t="str">
        <f aca="false">IFERROR(IF(ISNUMBER(SEARCH(D336,INDEX(Pages!$J$2:$J$824,MATCH(A336,Pages!$B$2:$B$824,0)))),"Yes","No"),"Page not found")</f>
        <v>Yes</v>
      </c>
      <c r="O336" s="3" t="s">
        <v>5376</v>
      </c>
      <c r="P336" s="3" t="s">
        <v>5377</v>
      </c>
    </row>
    <row r="337" customFormat="false" ht="15" hidden="false" customHeight="false" outlineLevel="0" collapsed="false">
      <c r="A337" s="15" t="s">
        <v>2579</v>
      </c>
      <c r="B337" s="15" t="s">
        <v>2076</v>
      </c>
      <c r="C337" s="15" t="s">
        <v>82</v>
      </c>
      <c r="D337" s="15" t="s">
        <v>2583</v>
      </c>
      <c r="E337" s="15" t="s">
        <v>104</v>
      </c>
      <c r="F337" s="15" t="s">
        <v>680</v>
      </c>
      <c r="G337" s="15" t="s">
        <v>2190</v>
      </c>
      <c r="H337" s="16" t="n">
        <v>210</v>
      </c>
      <c r="I337" s="15" t="n">
        <v>56</v>
      </c>
      <c r="J337" s="15" t="s">
        <v>5227</v>
      </c>
      <c r="K337" s="15" t="s">
        <v>5228</v>
      </c>
      <c r="L337" s="15" t="n">
        <v>3</v>
      </c>
      <c r="M337" s="15" t="s">
        <v>5161</v>
      </c>
      <c r="N337" s="18" t="str">
        <f aca="false">IFERROR(IF(ISNUMBER(SEARCH(D337,INDEX(Pages!$J$2:$J$824,MATCH(A337,Pages!$B$2:$B$824,0)))),"Yes","No"),"Page not found")</f>
        <v>Yes</v>
      </c>
      <c r="O337" s="3" t="s">
        <v>5376</v>
      </c>
      <c r="P337" s="3"/>
    </row>
    <row r="338" customFormat="false" ht="15" hidden="false" customHeight="false" outlineLevel="0" collapsed="false">
      <c r="A338" s="15" t="s">
        <v>2777</v>
      </c>
      <c r="B338" s="15" t="s">
        <v>2076</v>
      </c>
      <c r="C338" s="15" t="s">
        <v>82</v>
      </c>
      <c r="D338" s="15" t="s">
        <v>2781</v>
      </c>
      <c r="E338" s="15" t="s">
        <v>104</v>
      </c>
      <c r="F338" s="15" t="s">
        <v>729</v>
      </c>
      <c r="G338" s="15" t="s">
        <v>2421</v>
      </c>
      <c r="H338" s="16" t="n">
        <v>210</v>
      </c>
      <c r="I338" s="15" t="n">
        <v>52</v>
      </c>
      <c r="J338" s="15" t="s">
        <v>5227</v>
      </c>
      <c r="K338" s="15" t="s">
        <v>5228</v>
      </c>
      <c r="L338" s="15" t="n">
        <v>4</v>
      </c>
      <c r="M338" s="15" t="s">
        <v>5161</v>
      </c>
      <c r="N338" s="18" t="str">
        <f aca="false">IFERROR(IF(ISNUMBER(SEARCH(D338,INDEX(Pages!$J$2:$J$824,MATCH(A338,Pages!$B$2:$B$824,0)))),"Yes","No"),"Page not found")</f>
        <v>Yes</v>
      </c>
      <c r="O338" s="3" t="s">
        <v>5426</v>
      </c>
      <c r="P338" s="3" t="s">
        <v>5427</v>
      </c>
    </row>
    <row r="339" customFormat="false" ht="15" hidden="false" customHeight="false" outlineLevel="0" collapsed="false">
      <c r="A339" s="15" t="s">
        <v>2921</v>
      </c>
      <c r="B339" s="15" t="s">
        <v>2076</v>
      </c>
      <c r="C339" s="15" t="s">
        <v>85</v>
      </c>
      <c r="D339" s="15" t="s">
        <v>2925</v>
      </c>
      <c r="E339" s="15" t="s">
        <v>104</v>
      </c>
      <c r="F339" s="15" t="s">
        <v>673</v>
      </c>
      <c r="G339" s="15" t="s">
        <v>2183</v>
      </c>
      <c r="H339" s="16" t="n">
        <v>210</v>
      </c>
      <c r="I339" s="15" t="n">
        <v>40</v>
      </c>
      <c r="J339" s="15" t="s">
        <v>5227</v>
      </c>
      <c r="K339" s="15" t="s">
        <v>5392</v>
      </c>
      <c r="L339" s="15" t="n">
        <v>3</v>
      </c>
      <c r="M339" s="15" t="s">
        <v>5161</v>
      </c>
      <c r="N339" s="18" t="str">
        <f aca="false">IFERROR(IF(ISNUMBER(SEARCH(D339,INDEX(Pages!$J$2:$J$824,MATCH(A339,Pages!$B$2:$B$824,0)))),"Yes","No"),"Page not found")</f>
        <v>Yes</v>
      </c>
      <c r="O339" s="3" t="s">
        <v>5426</v>
      </c>
      <c r="P339" s="3"/>
    </row>
    <row r="340" customFormat="false" ht="15" hidden="false" customHeight="false" outlineLevel="0" collapsed="false">
      <c r="A340" s="15" t="s">
        <v>499</v>
      </c>
      <c r="B340" s="15" t="s">
        <v>384</v>
      </c>
      <c r="C340" s="15" t="s">
        <v>90</v>
      </c>
      <c r="D340" s="15" t="s">
        <v>503</v>
      </c>
      <c r="E340" s="15" t="s">
        <v>147</v>
      </c>
      <c r="F340" s="15"/>
      <c r="G340" s="15"/>
      <c r="H340" s="16" t="n">
        <v>210</v>
      </c>
      <c r="I340" s="15" t="n">
        <v>25</v>
      </c>
      <c r="J340" s="15" t="s">
        <v>5159</v>
      </c>
      <c r="K340" s="15" t="s">
        <v>5351</v>
      </c>
      <c r="L340" s="15" t="n">
        <v>3</v>
      </c>
      <c r="M340" s="15" t="s">
        <v>5161</v>
      </c>
      <c r="N340" s="18" t="str">
        <f aca="false">IFERROR(IF(ISNUMBER(SEARCH(D340,INDEX(Pages!$J$2:$J$824,MATCH(A340,Pages!$B$2:$B$824,0)))),"Yes","No"),"Page not found")</f>
        <v>No</v>
      </c>
      <c r="O340" s="3" t="s">
        <v>5212</v>
      </c>
      <c r="P340" s="3" t="s">
        <v>5487</v>
      </c>
    </row>
    <row r="341" customFormat="false" ht="15" hidden="false" customHeight="false" outlineLevel="0" collapsed="false">
      <c r="A341" s="15" t="s">
        <v>3395</v>
      </c>
      <c r="B341" s="15" t="s">
        <v>2076</v>
      </c>
      <c r="C341" s="15" t="s">
        <v>84</v>
      </c>
      <c r="D341" s="15" t="s">
        <v>3399</v>
      </c>
      <c r="E341" s="15" t="s">
        <v>104</v>
      </c>
      <c r="F341" s="15" t="s">
        <v>715</v>
      </c>
      <c r="G341" s="15" t="s">
        <v>2330</v>
      </c>
      <c r="H341" s="16" t="n">
        <v>210</v>
      </c>
      <c r="I341" s="15" t="n">
        <v>52</v>
      </c>
      <c r="J341" s="15" t="s">
        <v>5227</v>
      </c>
      <c r="K341" s="15" t="s">
        <v>5392</v>
      </c>
      <c r="L341" s="15" t="n">
        <v>3</v>
      </c>
      <c r="M341" s="15" t="s">
        <v>5161</v>
      </c>
      <c r="N341" s="18" t="str">
        <f aca="false">IFERROR(IF(ISNUMBER(SEARCH(D341,INDEX(Pages!$J$2:$J$824,MATCH(A341,Pages!$B$2:$B$824,0)))),"Yes","No"),"Page not found")</f>
        <v>Yes</v>
      </c>
      <c r="O341" s="3" t="s">
        <v>5212</v>
      </c>
      <c r="P341" s="3"/>
    </row>
    <row r="342" customFormat="false" ht="15" hidden="false" customHeight="false" outlineLevel="0" collapsed="false">
      <c r="A342" s="15" t="s">
        <v>4771</v>
      </c>
      <c r="B342" s="15" t="s">
        <v>4572</v>
      </c>
      <c r="C342" s="15" t="s">
        <v>94</v>
      </c>
      <c r="D342" s="15" t="s">
        <v>4775</v>
      </c>
      <c r="E342" s="15" t="s">
        <v>104</v>
      </c>
      <c r="F342" s="15" t="s">
        <v>715</v>
      </c>
      <c r="G342" s="15" t="s">
        <v>2246</v>
      </c>
      <c r="H342" s="16" t="n">
        <v>210</v>
      </c>
      <c r="I342" s="15" t="n">
        <v>30</v>
      </c>
      <c r="J342" s="15" t="s">
        <v>5227</v>
      </c>
      <c r="K342" s="15" t="s">
        <v>5243</v>
      </c>
      <c r="L342" s="15" t="n">
        <v>2</v>
      </c>
      <c r="M342" s="15" t="s">
        <v>5161</v>
      </c>
      <c r="N342" s="18" t="str">
        <f aca="false">IFERROR(IF(ISNUMBER(SEARCH(D342,INDEX(Pages!$J$2:$J$824,MATCH(A342,Pages!$B$2:$B$824,0)))),"Yes","No"),"Page not found")</f>
        <v>No</v>
      </c>
      <c r="O342" s="3" t="s">
        <v>5471</v>
      </c>
      <c r="P342" s="3" t="s">
        <v>5472</v>
      </c>
    </row>
    <row r="343" customFormat="false" ht="15" hidden="false" customHeight="false" outlineLevel="0" collapsed="false">
      <c r="A343" s="15" t="s">
        <v>2315</v>
      </c>
      <c r="B343" s="15" t="s">
        <v>2076</v>
      </c>
      <c r="C343" s="15" t="s">
        <v>89</v>
      </c>
      <c r="D343" s="15" t="s">
        <v>2320</v>
      </c>
      <c r="E343" s="15" t="s">
        <v>104</v>
      </c>
      <c r="F343" s="15" t="s">
        <v>715</v>
      </c>
      <c r="G343" s="15" t="s">
        <v>2316</v>
      </c>
      <c r="H343" s="16" t="n">
        <v>200</v>
      </c>
      <c r="I343" s="15" t="n">
        <v>41</v>
      </c>
      <c r="J343" s="15" t="s">
        <v>5227</v>
      </c>
      <c r="K343" s="15" t="s">
        <v>5473</v>
      </c>
      <c r="L343" s="15" t="n">
        <v>2</v>
      </c>
      <c r="M343" s="15" t="s">
        <v>5161</v>
      </c>
      <c r="N343" s="18" t="str">
        <f aca="false">IFERROR(IF(ISNUMBER(SEARCH(D343,INDEX(Pages!$J$2:$J$824,MATCH(A343,Pages!$B$2:$B$824,0)))),"Yes","No"),"Page not found")</f>
        <v>Yes</v>
      </c>
      <c r="O343" s="3" t="s">
        <v>5426</v>
      </c>
      <c r="P343" s="3"/>
    </row>
    <row r="344" customFormat="false" ht="15" hidden="false" customHeight="false" outlineLevel="0" collapsed="false">
      <c r="A344" s="15" t="s">
        <v>2531</v>
      </c>
      <c r="B344" s="15" t="s">
        <v>2076</v>
      </c>
      <c r="C344" s="15" t="s">
        <v>82</v>
      </c>
      <c r="D344" s="15" t="s">
        <v>2535</v>
      </c>
      <c r="E344" s="15" t="s">
        <v>104</v>
      </c>
      <c r="F344" s="15" t="s">
        <v>666</v>
      </c>
      <c r="G344" s="15" t="s">
        <v>2134</v>
      </c>
      <c r="H344" s="16" t="n">
        <v>200</v>
      </c>
      <c r="I344" s="15" t="n">
        <v>64</v>
      </c>
      <c r="J344" s="15" t="s">
        <v>5227</v>
      </c>
      <c r="K344" s="15" t="s">
        <v>5228</v>
      </c>
      <c r="L344" s="15" t="n">
        <v>5</v>
      </c>
      <c r="M344" s="15" t="s">
        <v>5161</v>
      </c>
      <c r="N344" s="18" t="str">
        <f aca="false">IFERROR(IF(ISNUMBER(SEARCH(D344,INDEX(Pages!$J$2:$J$824,MATCH(A344,Pages!$B$2:$B$824,0)))),"Yes","No"),"Page not found")</f>
        <v>Yes</v>
      </c>
      <c r="O344" s="3" t="s">
        <v>5376</v>
      </c>
      <c r="P344" s="3" t="s">
        <v>5377</v>
      </c>
    </row>
    <row r="345" customFormat="false" ht="23.85" hidden="false" customHeight="false" outlineLevel="0" collapsed="false">
      <c r="A345" s="15" t="s">
        <v>2537</v>
      </c>
      <c r="B345" s="15" t="s">
        <v>2076</v>
      </c>
      <c r="C345" s="15" t="s">
        <v>82</v>
      </c>
      <c r="D345" s="15" t="s">
        <v>2541</v>
      </c>
      <c r="E345" s="15" t="s">
        <v>104</v>
      </c>
      <c r="F345" s="15" t="s">
        <v>666</v>
      </c>
      <c r="G345" s="15" t="s">
        <v>2141</v>
      </c>
      <c r="H345" s="16" t="n">
        <v>200</v>
      </c>
      <c r="I345" s="15" t="n">
        <v>44</v>
      </c>
      <c r="J345" s="15" t="s">
        <v>5227</v>
      </c>
      <c r="K345" s="15" t="s">
        <v>5228</v>
      </c>
      <c r="L345" s="15" t="n">
        <v>5</v>
      </c>
      <c r="M345" s="15" t="s">
        <v>5161</v>
      </c>
      <c r="N345" s="18" t="str">
        <f aca="false">IFERROR(IF(ISNUMBER(SEARCH(D345,INDEX(Pages!$J$2:$J$824,MATCH(A345,Pages!$B$2:$B$824,0)))),"Yes","No"),"Page not found")</f>
        <v>Yes</v>
      </c>
      <c r="O345" s="3" t="s">
        <v>5426</v>
      </c>
      <c r="P345" s="3" t="s">
        <v>5495</v>
      </c>
    </row>
    <row r="346" customFormat="false" ht="15" hidden="false" customHeight="false" outlineLevel="0" collapsed="false">
      <c r="A346" s="15" t="s">
        <v>3035</v>
      </c>
      <c r="B346" s="15" t="s">
        <v>2076</v>
      </c>
      <c r="C346" s="15" t="s">
        <v>85</v>
      </c>
      <c r="D346" s="15" t="s">
        <v>3039</v>
      </c>
      <c r="E346" s="15" t="s">
        <v>104</v>
      </c>
      <c r="F346" s="15" t="s">
        <v>715</v>
      </c>
      <c r="G346" s="15" t="s">
        <v>2316</v>
      </c>
      <c r="H346" s="16" t="n">
        <v>200</v>
      </c>
      <c r="I346" s="15" t="n">
        <v>52</v>
      </c>
      <c r="J346" s="15" t="s">
        <v>5227</v>
      </c>
      <c r="K346" s="15" t="s">
        <v>5392</v>
      </c>
      <c r="L346" s="15" t="n">
        <v>4</v>
      </c>
      <c r="M346" s="15" t="s">
        <v>5161</v>
      </c>
      <c r="N346" s="18" t="str">
        <f aca="false">IFERROR(IF(ISNUMBER(SEARCH(D346,INDEX(Pages!$J$2:$J$824,MATCH(A346,Pages!$B$2:$B$824,0)))),"Yes","No"),"Page not found")</f>
        <v>Yes</v>
      </c>
      <c r="O346" s="3" t="s">
        <v>5408</v>
      </c>
      <c r="P346" s="3"/>
    </row>
    <row r="347" customFormat="false" ht="23.85" hidden="false" customHeight="false" outlineLevel="0" collapsed="false">
      <c r="A347" s="15" t="s">
        <v>3425</v>
      </c>
      <c r="B347" s="15" t="s">
        <v>2076</v>
      </c>
      <c r="C347" s="15" t="s">
        <v>84</v>
      </c>
      <c r="D347" s="15" t="s">
        <v>3429</v>
      </c>
      <c r="E347" s="15" t="s">
        <v>104</v>
      </c>
      <c r="F347" s="15" t="s">
        <v>715</v>
      </c>
      <c r="G347" s="15" t="s">
        <v>2365</v>
      </c>
      <c r="H347" s="16" t="n">
        <v>200</v>
      </c>
      <c r="I347" s="15" t="n">
        <v>40</v>
      </c>
      <c r="J347" s="15" t="s">
        <v>5227</v>
      </c>
      <c r="K347" s="15" t="s">
        <v>5392</v>
      </c>
      <c r="L347" s="15" t="n">
        <v>3</v>
      </c>
      <c r="M347" s="15" t="s">
        <v>5161</v>
      </c>
      <c r="N347" s="18" t="str">
        <f aca="false">IFERROR(IF(ISNUMBER(SEARCH(D347,INDEX(Pages!$J$2:$J$824,MATCH(A347,Pages!$B$2:$B$824,0)))),"Yes","No"),"Page not found")</f>
        <v>Yes</v>
      </c>
      <c r="O347" s="3" t="s">
        <v>5426</v>
      </c>
      <c r="P347" s="3" t="s">
        <v>5483</v>
      </c>
    </row>
    <row r="348" customFormat="false" ht="15" hidden="false" customHeight="false" outlineLevel="0" collapsed="false">
      <c r="A348" s="15" t="s">
        <v>3653</v>
      </c>
      <c r="B348" s="15" t="s">
        <v>2076</v>
      </c>
      <c r="C348" s="15" t="s">
        <v>74</v>
      </c>
      <c r="D348" s="15" t="s">
        <v>3657</v>
      </c>
      <c r="E348" s="15" t="s">
        <v>104</v>
      </c>
      <c r="F348" s="15" t="s">
        <v>701</v>
      </c>
      <c r="G348" s="15" t="s">
        <v>2225</v>
      </c>
      <c r="H348" s="16" t="n">
        <v>200</v>
      </c>
      <c r="I348" s="15" t="n">
        <v>35</v>
      </c>
      <c r="J348" s="15" t="s">
        <v>5227</v>
      </c>
      <c r="K348" s="15" t="s">
        <v>5444</v>
      </c>
      <c r="L348" s="15" t="n">
        <v>1</v>
      </c>
      <c r="M348" s="15" t="s">
        <v>5161</v>
      </c>
      <c r="N348" s="18" t="str">
        <f aca="false">IFERROR(IF(ISNUMBER(SEARCH(D348,INDEX(Pages!$J$2:$J$824,MATCH(A348,Pages!$B$2:$B$824,0)))),"Yes","No"),"Page not found")</f>
        <v>Yes</v>
      </c>
      <c r="O348" s="3" t="s">
        <v>5426</v>
      </c>
      <c r="P348" s="3"/>
    </row>
    <row r="349" customFormat="false" ht="15" hidden="false" customHeight="false" outlineLevel="0" collapsed="false">
      <c r="A349" s="15" t="s">
        <v>4559</v>
      </c>
      <c r="B349" s="15" t="s">
        <v>2076</v>
      </c>
      <c r="C349" s="15" t="s">
        <v>86</v>
      </c>
      <c r="D349" s="15" t="s">
        <v>4563</v>
      </c>
      <c r="E349" s="15" t="s">
        <v>104</v>
      </c>
      <c r="F349" s="15" t="s">
        <v>736</v>
      </c>
      <c r="G349" s="15" t="s">
        <v>2470</v>
      </c>
      <c r="H349" s="16" t="n">
        <v>200</v>
      </c>
      <c r="I349" s="15" t="n">
        <v>40</v>
      </c>
      <c r="J349" s="15" t="s">
        <v>5227</v>
      </c>
      <c r="K349" s="15" t="s">
        <v>5392</v>
      </c>
      <c r="L349" s="15" t="n">
        <v>4</v>
      </c>
      <c r="M349" s="15" t="s">
        <v>5161</v>
      </c>
      <c r="N349" s="18" t="str">
        <f aca="false">IFERROR(IF(ISNUMBER(SEARCH(D349,INDEX(Pages!$J$2:$J$824,MATCH(A349,Pages!$B$2:$B$824,0)))),"Yes","No"),"Page not found")</f>
        <v>Yes</v>
      </c>
      <c r="O349" s="3" t="s">
        <v>5426</v>
      </c>
      <c r="P349" s="3"/>
    </row>
    <row r="350" customFormat="false" ht="15" hidden="false" customHeight="false" outlineLevel="0" collapsed="false">
      <c r="A350" s="15" t="s">
        <v>2161</v>
      </c>
      <c r="B350" s="15" t="s">
        <v>2076</v>
      </c>
      <c r="C350" s="15" t="s">
        <v>89</v>
      </c>
      <c r="D350" s="15" t="s">
        <v>2166</v>
      </c>
      <c r="E350" s="15" t="s">
        <v>104</v>
      </c>
      <c r="F350" s="15" t="s">
        <v>666</v>
      </c>
      <c r="G350" s="15" t="s">
        <v>2162</v>
      </c>
      <c r="H350" s="16" t="n">
        <v>190</v>
      </c>
      <c r="I350" s="15" t="n">
        <v>41</v>
      </c>
      <c r="J350" s="15" t="s">
        <v>5227</v>
      </c>
      <c r="K350" s="15" t="s">
        <v>5473</v>
      </c>
      <c r="L350" s="15" t="n">
        <v>2</v>
      </c>
      <c r="M350" s="15" t="s">
        <v>5161</v>
      </c>
      <c r="N350" s="18" t="str">
        <f aca="false">IFERROR(IF(ISNUMBER(SEARCH(D350,INDEX(Pages!$J$2:$J$824,MATCH(A350,Pages!$B$2:$B$824,0)))),"Yes","No"),"Page not found")</f>
        <v>Yes</v>
      </c>
      <c r="O350" s="3" t="s">
        <v>5426</v>
      </c>
      <c r="P350" s="3"/>
    </row>
    <row r="351" customFormat="false" ht="15" hidden="false" customHeight="false" outlineLevel="0" collapsed="false">
      <c r="A351" s="15" t="s">
        <v>2245</v>
      </c>
      <c r="B351" s="15" t="s">
        <v>2076</v>
      </c>
      <c r="C351" s="15" t="s">
        <v>89</v>
      </c>
      <c r="D351" s="15" t="s">
        <v>2250</v>
      </c>
      <c r="E351" s="15" t="s">
        <v>104</v>
      </c>
      <c r="F351" s="15" t="s">
        <v>715</v>
      </c>
      <c r="G351" s="15" t="s">
        <v>2246</v>
      </c>
      <c r="H351" s="16" t="n">
        <v>190</v>
      </c>
      <c r="I351" s="15" t="n">
        <v>41</v>
      </c>
      <c r="J351" s="15" t="s">
        <v>5227</v>
      </c>
      <c r="K351" s="15" t="s">
        <v>5473</v>
      </c>
      <c r="L351" s="15" t="n">
        <v>2</v>
      </c>
      <c r="M351" s="15" t="s">
        <v>5161</v>
      </c>
      <c r="N351" s="18" t="str">
        <f aca="false">IFERROR(IF(ISNUMBER(SEARCH(D351,INDEX(Pages!$J$2:$J$824,MATCH(A351,Pages!$B$2:$B$824,0)))),"Yes","No"),"Page not found")</f>
        <v>Yes</v>
      </c>
      <c r="O351" s="3" t="s">
        <v>5426</v>
      </c>
      <c r="P351" s="3"/>
    </row>
    <row r="352" customFormat="false" ht="15" hidden="false" customHeight="false" outlineLevel="0" collapsed="false">
      <c r="A352" s="15" t="s">
        <v>803</v>
      </c>
      <c r="B352" s="15" t="s">
        <v>656</v>
      </c>
      <c r="C352" s="15" t="s">
        <v>82</v>
      </c>
      <c r="D352" s="15" t="s">
        <v>807</v>
      </c>
      <c r="E352" s="15" t="s">
        <v>662</v>
      </c>
      <c r="F352" s="15" t="s">
        <v>722</v>
      </c>
      <c r="G352" s="15"/>
      <c r="H352" s="16" t="n">
        <v>190</v>
      </c>
      <c r="I352" s="15" t="n">
        <v>57</v>
      </c>
      <c r="J352" s="15" t="s">
        <v>5159</v>
      </c>
      <c r="K352" s="15" t="s">
        <v>5225</v>
      </c>
      <c r="L352" s="15" t="n">
        <v>4</v>
      </c>
      <c r="M352" s="15" t="s">
        <v>5161</v>
      </c>
      <c r="N352" s="18" t="str">
        <f aca="false">IFERROR(IF(ISNUMBER(SEARCH(D352,INDEX(Pages!$J$2:$J$824,MATCH(A352,Pages!$B$2:$B$824,0)))),"Yes","No"),"Page not found")</f>
        <v>No</v>
      </c>
      <c r="O352" s="3" t="s">
        <v>5192</v>
      </c>
      <c r="P352" s="3"/>
    </row>
    <row r="353" customFormat="false" ht="15" hidden="false" customHeight="false" outlineLevel="0" collapsed="false">
      <c r="A353" s="15" t="s">
        <v>2903</v>
      </c>
      <c r="B353" s="15" t="s">
        <v>2076</v>
      </c>
      <c r="C353" s="15" t="s">
        <v>85</v>
      </c>
      <c r="D353" s="15" t="s">
        <v>2907</v>
      </c>
      <c r="E353" s="15" t="s">
        <v>104</v>
      </c>
      <c r="F353" s="15" t="s">
        <v>666</v>
      </c>
      <c r="G353" s="15" t="s">
        <v>2162</v>
      </c>
      <c r="H353" s="16" t="n">
        <v>190</v>
      </c>
      <c r="I353" s="15" t="n">
        <v>52</v>
      </c>
      <c r="J353" s="15" t="s">
        <v>5227</v>
      </c>
      <c r="K353" s="15" t="s">
        <v>5392</v>
      </c>
      <c r="L353" s="15" t="n">
        <v>4</v>
      </c>
      <c r="M353" s="15" t="s">
        <v>5161</v>
      </c>
      <c r="N353" s="18" t="str">
        <f aca="false">IFERROR(IF(ISNUMBER(SEARCH(D353,INDEX(Pages!$J$2:$J$824,MATCH(A353,Pages!$B$2:$B$824,0)))),"Yes","No"),"Page not found")</f>
        <v>Yes</v>
      </c>
      <c r="O353" s="3" t="s">
        <v>5212</v>
      </c>
      <c r="P353" s="3"/>
    </row>
    <row r="354" customFormat="false" ht="15" hidden="false" customHeight="false" outlineLevel="0" collapsed="false">
      <c r="A354" s="15" t="s">
        <v>2975</v>
      </c>
      <c r="B354" s="15" t="s">
        <v>2076</v>
      </c>
      <c r="C354" s="15" t="s">
        <v>85</v>
      </c>
      <c r="D354" s="15" t="s">
        <v>2979</v>
      </c>
      <c r="E354" s="15" t="s">
        <v>104</v>
      </c>
      <c r="F354" s="15" t="s">
        <v>715</v>
      </c>
      <c r="G354" s="15" t="s">
        <v>2246</v>
      </c>
      <c r="H354" s="16" t="n">
        <v>190</v>
      </c>
      <c r="I354" s="15" t="n">
        <v>48</v>
      </c>
      <c r="J354" s="15" t="s">
        <v>5227</v>
      </c>
      <c r="K354" s="15" t="s">
        <v>5392</v>
      </c>
      <c r="L354" s="15" t="n">
        <v>3</v>
      </c>
      <c r="M354" s="15" t="s">
        <v>5161</v>
      </c>
      <c r="N354" s="18" t="str">
        <f aca="false">IFERROR(IF(ISNUMBER(SEARCH(D354,INDEX(Pages!$J$2:$J$824,MATCH(A354,Pages!$B$2:$B$824,0)))),"Yes","No"),"Page not found")</f>
        <v>Yes</v>
      </c>
      <c r="O354" s="3" t="s">
        <v>5426</v>
      </c>
      <c r="P354" s="3"/>
    </row>
    <row r="355" customFormat="false" ht="15" hidden="false" customHeight="false" outlineLevel="0" collapsed="false">
      <c r="A355" s="15" t="s">
        <v>3209</v>
      </c>
      <c r="B355" s="15" t="s">
        <v>2076</v>
      </c>
      <c r="C355" s="15" t="s">
        <v>84</v>
      </c>
      <c r="D355" s="15" t="s">
        <v>3213</v>
      </c>
      <c r="E355" s="15" t="s">
        <v>104</v>
      </c>
      <c r="F355" s="15" t="s">
        <v>666</v>
      </c>
      <c r="G355" s="15" t="s">
        <v>2113</v>
      </c>
      <c r="H355" s="16" t="n">
        <v>190</v>
      </c>
      <c r="I355" s="15" t="n">
        <v>40</v>
      </c>
      <c r="J355" s="15" t="s">
        <v>5227</v>
      </c>
      <c r="K355" s="15" t="s">
        <v>5392</v>
      </c>
      <c r="L355" s="15" t="n">
        <v>3</v>
      </c>
      <c r="M355" s="15" t="s">
        <v>5161</v>
      </c>
      <c r="N355" s="18" t="str">
        <f aca="false">IFERROR(IF(ISNUMBER(SEARCH(D355,INDEX(Pages!$J$2:$J$824,MATCH(A355,Pages!$B$2:$B$824,0)))),"Yes","No"),"Page not found")</f>
        <v>Yes</v>
      </c>
      <c r="O355" s="3" t="s">
        <v>5426</v>
      </c>
      <c r="P355" s="3"/>
    </row>
    <row r="356" customFormat="false" ht="15" hidden="false" customHeight="false" outlineLevel="0" collapsed="false">
      <c r="A356" s="15" t="s">
        <v>1313</v>
      </c>
      <c r="B356" s="15" t="s">
        <v>656</v>
      </c>
      <c r="C356" s="15" t="s">
        <v>84</v>
      </c>
      <c r="D356" s="15" t="s">
        <v>1317</v>
      </c>
      <c r="E356" s="15" t="s">
        <v>662</v>
      </c>
      <c r="F356" s="15" t="s">
        <v>680</v>
      </c>
      <c r="G356" s="15"/>
      <c r="H356" s="16" t="n">
        <v>190</v>
      </c>
      <c r="I356" s="15" t="n">
        <v>43</v>
      </c>
      <c r="J356" s="15" t="s">
        <v>5159</v>
      </c>
      <c r="K356" s="15" t="s">
        <v>5321</v>
      </c>
      <c r="L356" s="15" t="n">
        <v>3</v>
      </c>
      <c r="M356" s="15" t="s">
        <v>5161</v>
      </c>
      <c r="N356" s="18" t="str">
        <f aca="false">IFERROR(IF(ISNUMBER(SEARCH(D356,INDEX(Pages!$J$2:$J$824,MATCH(A356,Pages!$B$2:$B$824,0)))),"Yes","No"),"Page not found")</f>
        <v>No</v>
      </c>
      <c r="O356" s="3" t="s">
        <v>5408</v>
      </c>
      <c r="P356" s="3"/>
    </row>
    <row r="357" customFormat="false" ht="15" hidden="false" customHeight="false" outlineLevel="0" collapsed="false">
      <c r="A357" s="15" t="s">
        <v>4651</v>
      </c>
      <c r="B357" s="15" t="s">
        <v>4572</v>
      </c>
      <c r="C357" s="15" t="s">
        <v>94</v>
      </c>
      <c r="D357" s="15" t="s">
        <v>4655</v>
      </c>
      <c r="E357" s="15" t="s">
        <v>104</v>
      </c>
      <c r="F357" s="15" t="s">
        <v>666</v>
      </c>
      <c r="G357" s="15" t="s">
        <v>2155</v>
      </c>
      <c r="H357" s="16" t="n">
        <v>190</v>
      </c>
      <c r="I357" s="15" t="n">
        <v>30</v>
      </c>
      <c r="J357" s="15" t="s">
        <v>5227</v>
      </c>
      <c r="K357" s="15" t="s">
        <v>5243</v>
      </c>
      <c r="L357" s="15" t="n">
        <v>2</v>
      </c>
      <c r="M357" s="15" t="s">
        <v>5161</v>
      </c>
      <c r="N357" s="18" t="str">
        <f aca="false">IFERROR(IF(ISNUMBER(SEARCH(D357,INDEX(Pages!$J$2:$J$824,MATCH(A357,Pages!$B$2:$B$824,0)))),"Yes","No"),"Page not found")</f>
        <v>No</v>
      </c>
      <c r="O357" s="3" t="s">
        <v>5471</v>
      </c>
      <c r="P357" s="3" t="s">
        <v>5472</v>
      </c>
    </row>
    <row r="358" customFormat="false" ht="15" hidden="false" customHeight="false" outlineLevel="0" collapsed="false">
      <c r="A358" s="15" t="s">
        <v>4795</v>
      </c>
      <c r="B358" s="15" t="s">
        <v>4572</v>
      </c>
      <c r="C358" s="15" t="s">
        <v>94</v>
      </c>
      <c r="D358" s="15" t="s">
        <v>4799</v>
      </c>
      <c r="E358" s="15" t="s">
        <v>104</v>
      </c>
      <c r="F358" s="15" t="s">
        <v>715</v>
      </c>
      <c r="G358" s="15" t="s">
        <v>2274</v>
      </c>
      <c r="H358" s="16" t="n">
        <v>190</v>
      </c>
      <c r="I358" s="15" t="n">
        <v>30</v>
      </c>
      <c r="J358" s="15" t="s">
        <v>5227</v>
      </c>
      <c r="K358" s="15" t="s">
        <v>5243</v>
      </c>
      <c r="L358" s="15" t="n">
        <v>2</v>
      </c>
      <c r="M358" s="15" t="s">
        <v>5161</v>
      </c>
      <c r="N358" s="18" t="str">
        <f aca="false">IFERROR(IF(ISNUMBER(SEARCH(D358,INDEX(Pages!$J$2:$J$824,MATCH(A358,Pages!$B$2:$B$824,0)))),"Yes","No"),"Page not found")</f>
        <v>No</v>
      </c>
      <c r="O358" s="3" t="s">
        <v>5471</v>
      </c>
      <c r="P358" s="3" t="s">
        <v>5472</v>
      </c>
    </row>
    <row r="359" customFormat="false" ht="15" hidden="false" customHeight="false" outlineLevel="0" collapsed="false">
      <c r="A359" s="15" t="s">
        <v>3713</v>
      </c>
      <c r="B359" s="15" t="s">
        <v>2076</v>
      </c>
      <c r="C359" s="15" t="s">
        <v>74</v>
      </c>
      <c r="D359" s="15" t="s">
        <v>3717</v>
      </c>
      <c r="E359" s="15" t="s">
        <v>104</v>
      </c>
      <c r="F359" s="15" t="s">
        <v>715</v>
      </c>
      <c r="G359" s="15" t="s">
        <v>2295</v>
      </c>
      <c r="H359" s="16" t="n">
        <v>190</v>
      </c>
      <c r="I359" s="15" t="n">
        <v>43</v>
      </c>
      <c r="J359" s="15" t="s">
        <v>5227</v>
      </c>
      <c r="K359" s="15" t="s">
        <v>5444</v>
      </c>
      <c r="L359" s="15" t="n">
        <v>1</v>
      </c>
      <c r="M359" s="15" t="s">
        <v>5161</v>
      </c>
      <c r="N359" s="18" t="str">
        <f aca="false">IFERROR(IF(ISNUMBER(SEARCH(D359,INDEX(Pages!$J$2:$J$824,MATCH(A359,Pages!$B$2:$B$824,0)))),"Yes","No"),"Page not found")</f>
        <v>No</v>
      </c>
      <c r="O359" s="3" t="s">
        <v>5426</v>
      </c>
      <c r="P359" s="3"/>
    </row>
    <row r="360" customFormat="false" ht="15" hidden="false" customHeight="false" outlineLevel="0" collapsed="false">
      <c r="A360" s="15" t="s">
        <v>1691</v>
      </c>
      <c r="B360" s="15" t="s">
        <v>656</v>
      </c>
      <c r="C360" s="15" t="s">
        <v>81</v>
      </c>
      <c r="D360" s="15" t="s">
        <v>1695</v>
      </c>
      <c r="E360" s="15" t="s">
        <v>662</v>
      </c>
      <c r="F360" s="15" t="s">
        <v>666</v>
      </c>
      <c r="G360" s="15"/>
      <c r="H360" s="16" t="n">
        <v>190</v>
      </c>
      <c r="I360" s="15" t="n">
        <v>34</v>
      </c>
      <c r="J360" s="15" t="s">
        <v>5159</v>
      </c>
      <c r="K360" s="15" t="s">
        <v>5235</v>
      </c>
      <c r="L360" s="15" t="n">
        <v>3</v>
      </c>
      <c r="M360" s="15" t="s">
        <v>5161</v>
      </c>
      <c r="N360" s="18" t="str">
        <f aca="false">IFERROR(IF(ISNUMBER(SEARCH(D360,INDEX(Pages!$J$2:$J$824,MATCH(A360,Pages!$B$2:$B$824,0)))),"Yes","No"),"Page not found")</f>
        <v>No</v>
      </c>
      <c r="O360" s="3" t="s">
        <v>5426</v>
      </c>
      <c r="P360" s="3" t="s">
        <v>5482</v>
      </c>
    </row>
    <row r="361" customFormat="false" ht="15" hidden="false" customHeight="false" outlineLevel="0" collapsed="false">
      <c r="A361" s="15" t="s">
        <v>4079</v>
      </c>
      <c r="B361" s="15" t="s">
        <v>2076</v>
      </c>
      <c r="C361" s="15" t="s">
        <v>81</v>
      </c>
      <c r="D361" s="15" t="s">
        <v>4083</v>
      </c>
      <c r="E361" s="15" t="s">
        <v>104</v>
      </c>
      <c r="F361" s="15" t="s">
        <v>715</v>
      </c>
      <c r="G361" s="15" t="s">
        <v>2316</v>
      </c>
      <c r="H361" s="16" t="n">
        <v>190</v>
      </c>
      <c r="I361" s="15" t="n">
        <v>36</v>
      </c>
      <c r="J361" s="15" t="s">
        <v>5227</v>
      </c>
      <c r="K361" s="15" t="s">
        <v>5235</v>
      </c>
      <c r="L361" s="15" t="n">
        <v>3</v>
      </c>
      <c r="M361" s="15" t="s">
        <v>5161</v>
      </c>
      <c r="N361" s="18" t="str">
        <f aca="false">IFERROR(IF(ISNUMBER(SEARCH(D361,INDEX(Pages!$J$2:$J$824,MATCH(A361,Pages!$B$2:$B$824,0)))),"Yes","No"),"Page not found")</f>
        <v>Yes</v>
      </c>
      <c r="O361" s="3" t="s">
        <v>5426</v>
      </c>
      <c r="P361" s="3"/>
    </row>
    <row r="362" customFormat="false" ht="15" hidden="false" customHeight="false" outlineLevel="0" collapsed="false">
      <c r="A362" s="15" t="s">
        <v>4259</v>
      </c>
      <c r="B362" s="15" t="s">
        <v>2076</v>
      </c>
      <c r="C362" s="15" t="s">
        <v>86</v>
      </c>
      <c r="D362" s="15" t="s">
        <v>4263</v>
      </c>
      <c r="E362" s="15" t="s">
        <v>104</v>
      </c>
      <c r="F362" s="15" t="s">
        <v>666</v>
      </c>
      <c r="G362" s="15" t="s">
        <v>2120</v>
      </c>
      <c r="H362" s="16" t="n">
        <v>190</v>
      </c>
      <c r="I362" s="15" t="n">
        <v>40</v>
      </c>
      <c r="J362" s="15" t="s">
        <v>5227</v>
      </c>
      <c r="K362" s="15" t="s">
        <v>5392</v>
      </c>
      <c r="L362" s="15" t="n">
        <v>4</v>
      </c>
      <c r="M362" s="15" t="s">
        <v>5161</v>
      </c>
      <c r="N362" s="18" t="str">
        <f aca="false">IFERROR(IF(ISNUMBER(SEARCH(D362,INDEX(Pages!$J$2:$J$824,MATCH(A362,Pages!$B$2:$B$824,0)))),"Yes","No"),"Page not found")</f>
        <v>Yes</v>
      </c>
      <c r="O362" s="3" t="s">
        <v>5426</v>
      </c>
      <c r="P362" s="3"/>
    </row>
    <row r="363" customFormat="false" ht="15" hidden="false" customHeight="false" outlineLevel="0" collapsed="false">
      <c r="A363" s="15" t="s">
        <v>4403</v>
      </c>
      <c r="B363" s="15" t="s">
        <v>2076</v>
      </c>
      <c r="C363" s="15" t="s">
        <v>86</v>
      </c>
      <c r="D363" s="15" t="s">
        <v>4407</v>
      </c>
      <c r="E363" s="15" t="s">
        <v>104</v>
      </c>
      <c r="F363" s="15" t="s">
        <v>715</v>
      </c>
      <c r="G363" s="15" t="s">
        <v>2288</v>
      </c>
      <c r="H363" s="16" t="n">
        <v>190</v>
      </c>
      <c r="I363" s="15" t="n">
        <v>48</v>
      </c>
      <c r="J363" s="15" t="s">
        <v>5227</v>
      </c>
      <c r="K363" s="15" t="s">
        <v>5392</v>
      </c>
      <c r="L363" s="15" t="n">
        <v>4</v>
      </c>
      <c r="M363" s="15" t="s">
        <v>5161</v>
      </c>
      <c r="N363" s="18" t="str">
        <f aca="false">IFERROR(IF(ISNUMBER(SEARCH(D363,INDEX(Pages!$J$2:$J$824,MATCH(A363,Pages!$B$2:$B$824,0)))),"Yes","No"),"Page not found")</f>
        <v>Yes</v>
      </c>
      <c r="O363" s="3" t="s">
        <v>5426</v>
      </c>
      <c r="P363" s="3"/>
    </row>
    <row r="364" customFormat="false" ht="15" hidden="false" customHeight="false" outlineLevel="0" collapsed="false">
      <c r="A364" s="15" t="s">
        <v>3221</v>
      </c>
      <c r="B364" s="15" t="s">
        <v>2076</v>
      </c>
      <c r="C364" s="15" t="s">
        <v>84</v>
      </c>
      <c r="D364" s="15" t="s">
        <v>3225</v>
      </c>
      <c r="E364" s="15" t="s">
        <v>104</v>
      </c>
      <c r="F364" s="15" t="s">
        <v>666</v>
      </c>
      <c r="G364" s="15" t="s">
        <v>2127</v>
      </c>
      <c r="H364" s="16" t="n">
        <v>180</v>
      </c>
      <c r="I364" s="15" t="n">
        <v>40</v>
      </c>
      <c r="J364" s="15" t="s">
        <v>5227</v>
      </c>
      <c r="K364" s="15" t="s">
        <v>5392</v>
      </c>
      <c r="L364" s="15" t="n">
        <v>3</v>
      </c>
      <c r="M364" s="15" t="s">
        <v>5161</v>
      </c>
      <c r="N364" s="18" t="str">
        <f aca="false">IFERROR(IF(ISNUMBER(SEARCH(D364,INDEX(Pages!$J$2:$J$824,MATCH(A364,Pages!$B$2:$B$824,0)))),"Yes","No"),"Page not found")</f>
        <v>Yes</v>
      </c>
      <c r="O364" s="3" t="s">
        <v>5426</v>
      </c>
      <c r="P364" s="3"/>
    </row>
    <row r="365" customFormat="false" ht="15" hidden="false" customHeight="false" outlineLevel="0" collapsed="false">
      <c r="A365" s="15" t="s">
        <v>3227</v>
      </c>
      <c r="B365" s="15" t="s">
        <v>2076</v>
      </c>
      <c r="C365" s="15" t="s">
        <v>84</v>
      </c>
      <c r="D365" s="15" t="s">
        <v>3231</v>
      </c>
      <c r="E365" s="15" t="s">
        <v>104</v>
      </c>
      <c r="F365" s="15" t="s">
        <v>666</v>
      </c>
      <c r="G365" s="15" t="s">
        <v>2134</v>
      </c>
      <c r="H365" s="16" t="n">
        <v>180</v>
      </c>
      <c r="I365" s="15" t="n">
        <v>48</v>
      </c>
      <c r="J365" s="15" t="s">
        <v>5227</v>
      </c>
      <c r="K365" s="15" t="s">
        <v>5392</v>
      </c>
      <c r="L365" s="15" t="n">
        <v>3</v>
      </c>
      <c r="M365" s="15" t="s">
        <v>5161</v>
      </c>
      <c r="N365" s="18" t="str">
        <f aca="false">IFERROR(IF(ISNUMBER(SEARCH(D365,INDEX(Pages!$J$2:$J$824,MATCH(A365,Pages!$B$2:$B$824,0)))),"Yes","No"),"Page not found")</f>
        <v>Yes</v>
      </c>
      <c r="O365" s="3" t="s">
        <v>5426</v>
      </c>
      <c r="P365" s="3"/>
    </row>
    <row r="366" customFormat="false" ht="15" hidden="false" customHeight="false" outlineLevel="0" collapsed="false">
      <c r="A366" s="15" t="s">
        <v>3317</v>
      </c>
      <c r="B366" s="15" t="s">
        <v>2076</v>
      </c>
      <c r="C366" s="15" t="s">
        <v>84</v>
      </c>
      <c r="D366" s="15" t="s">
        <v>3321</v>
      </c>
      <c r="E366" s="15" t="s">
        <v>104</v>
      </c>
      <c r="F366" s="15" t="s">
        <v>715</v>
      </c>
      <c r="G366" s="15" t="s">
        <v>2239</v>
      </c>
      <c r="H366" s="16" t="n">
        <v>180</v>
      </c>
      <c r="I366" s="15" t="n">
        <v>48</v>
      </c>
      <c r="J366" s="15" t="s">
        <v>5227</v>
      </c>
      <c r="K366" s="15" t="s">
        <v>5392</v>
      </c>
      <c r="L366" s="15" t="n">
        <v>3</v>
      </c>
      <c r="M366" s="15" t="s">
        <v>5161</v>
      </c>
      <c r="N366" s="18" t="str">
        <f aca="false">IFERROR(IF(ISNUMBER(SEARCH(D366,INDEX(Pages!$J$2:$J$824,MATCH(A366,Pages!$B$2:$B$824,0)))),"Yes","No"),"Page not found")</f>
        <v>Yes</v>
      </c>
      <c r="O366" s="3" t="s">
        <v>5426</v>
      </c>
      <c r="P366" s="3"/>
    </row>
    <row r="367" customFormat="false" ht="15" hidden="false" customHeight="false" outlineLevel="0" collapsed="false">
      <c r="A367" s="15" t="s">
        <v>3341</v>
      </c>
      <c r="B367" s="15" t="s">
        <v>2076</v>
      </c>
      <c r="C367" s="15" t="s">
        <v>84</v>
      </c>
      <c r="D367" s="15" t="s">
        <v>3345</v>
      </c>
      <c r="E367" s="15" t="s">
        <v>104</v>
      </c>
      <c r="F367" s="15" t="s">
        <v>715</v>
      </c>
      <c r="G367" s="15" t="s">
        <v>2267</v>
      </c>
      <c r="H367" s="16" t="n">
        <v>180</v>
      </c>
      <c r="I367" s="15" t="n">
        <v>48</v>
      </c>
      <c r="J367" s="15" t="s">
        <v>5227</v>
      </c>
      <c r="K367" s="15" t="s">
        <v>5392</v>
      </c>
      <c r="L367" s="15" t="n">
        <v>3</v>
      </c>
      <c r="M367" s="15" t="s">
        <v>5161</v>
      </c>
      <c r="N367" s="18" t="str">
        <f aca="false">IFERROR(IF(ISNUMBER(SEARCH(D367,INDEX(Pages!$J$2:$J$824,MATCH(A367,Pages!$B$2:$B$824,0)))),"Yes","No"),"Page not found")</f>
        <v>Yes</v>
      </c>
      <c r="O367" s="3" t="s">
        <v>5426</v>
      </c>
      <c r="P367" s="3"/>
    </row>
    <row r="368" customFormat="false" ht="23.85" hidden="false" customHeight="false" outlineLevel="0" collapsed="false">
      <c r="A368" s="15" t="s">
        <v>3839</v>
      </c>
      <c r="B368" s="15" t="s">
        <v>2076</v>
      </c>
      <c r="C368" s="15" t="s">
        <v>74</v>
      </c>
      <c r="D368" s="15" t="s">
        <v>3843</v>
      </c>
      <c r="E368" s="15" t="s">
        <v>104</v>
      </c>
      <c r="F368" s="15" t="s">
        <v>729</v>
      </c>
      <c r="G368" s="15" t="s">
        <v>2442</v>
      </c>
      <c r="H368" s="16" t="n">
        <v>180</v>
      </c>
      <c r="I368" s="15" t="n">
        <v>39</v>
      </c>
      <c r="J368" s="15" t="s">
        <v>5227</v>
      </c>
      <c r="K368" s="15" t="s">
        <v>5444</v>
      </c>
      <c r="L368" s="15" t="n">
        <v>3</v>
      </c>
      <c r="M368" s="15" t="s">
        <v>5161</v>
      </c>
      <c r="N368" s="18" t="str">
        <f aca="false">IFERROR(IF(ISNUMBER(SEARCH(D368,INDEX(Pages!$J$2:$J$824,MATCH(A368,Pages!$B$2:$B$824,0)))),"Yes","No"),"Page not found")</f>
        <v>Yes</v>
      </c>
      <c r="O368" s="3" t="s">
        <v>5486</v>
      </c>
      <c r="P368" s="3" t="s">
        <v>5496</v>
      </c>
    </row>
    <row r="369" customFormat="false" ht="15" hidden="false" customHeight="false" outlineLevel="0" collapsed="false">
      <c r="A369" s="15" t="s">
        <v>3887</v>
      </c>
      <c r="B369" s="15" t="s">
        <v>2076</v>
      </c>
      <c r="C369" s="15" t="s">
        <v>81</v>
      </c>
      <c r="D369" s="15" t="s">
        <v>3891</v>
      </c>
      <c r="E369" s="15" t="s">
        <v>104</v>
      </c>
      <c r="F369" s="15" t="s">
        <v>657</v>
      </c>
      <c r="G369" s="15" t="s">
        <v>2092</v>
      </c>
      <c r="H369" s="16" t="n">
        <v>180</v>
      </c>
      <c r="I369" s="15" t="n">
        <v>36</v>
      </c>
      <c r="J369" s="15" t="s">
        <v>5227</v>
      </c>
      <c r="K369" s="15" t="s">
        <v>5235</v>
      </c>
      <c r="L369" s="15" t="n">
        <v>3</v>
      </c>
      <c r="M369" s="15" t="s">
        <v>5161</v>
      </c>
      <c r="N369" s="18" t="str">
        <f aca="false">IFERROR(IF(ISNUMBER(SEARCH(D369,INDEX(Pages!$J$2:$J$824,MATCH(A369,Pages!$B$2:$B$824,0)))),"Yes","No"),"Page not found")</f>
        <v>Yes</v>
      </c>
      <c r="O369" s="3" t="s">
        <v>5426</v>
      </c>
      <c r="P369" s="3"/>
    </row>
    <row r="370" customFormat="false" ht="15" hidden="false" customHeight="false" outlineLevel="0" collapsed="false">
      <c r="A370" s="15" t="s">
        <v>1775</v>
      </c>
      <c r="B370" s="15" t="s">
        <v>656</v>
      </c>
      <c r="C370" s="15" t="s">
        <v>86</v>
      </c>
      <c r="D370" s="15" t="s">
        <v>1779</v>
      </c>
      <c r="E370" s="15" t="s">
        <v>662</v>
      </c>
      <c r="F370" s="15" t="s">
        <v>673</v>
      </c>
      <c r="G370" s="15"/>
      <c r="H370" s="16" t="n">
        <v>180</v>
      </c>
      <c r="I370" s="15" t="n">
        <v>32</v>
      </c>
      <c r="J370" s="15" t="s">
        <v>5159</v>
      </c>
      <c r="K370" s="15" t="s">
        <v>5321</v>
      </c>
      <c r="L370" s="15" t="n">
        <v>4</v>
      </c>
      <c r="M370" s="15" t="s">
        <v>5161</v>
      </c>
      <c r="N370" s="18" t="str">
        <f aca="false">IFERROR(IF(ISNUMBER(SEARCH(D370,INDEX(Pages!$J$2:$J$824,MATCH(A370,Pages!$B$2:$B$824,0)))),"Yes","No"),"Page not found")</f>
        <v>No</v>
      </c>
      <c r="O370" s="3" t="s">
        <v>5426</v>
      </c>
      <c r="P370" s="3"/>
    </row>
    <row r="371" customFormat="false" ht="15" hidden="false" customHeight="false" outlineLevel="0" collapsed="false">
      <c r="A371" s="15" t="s">
        <v>4505</v>
      </c>
      <c r="B371" s="15" t="s">
        <v>2076</v>
      </c>
      <c r="C371" s="15" t="s">
        <v>86</v>
      </c>
      <c r="D371" s="15" t="s">
        <v>4509</v>
      </c>
      <c r="E371" s="15" t="s">
        <v>104</v>
      </c>
      <c r="F371" s="15" t="s">
        <v>715</v>
      </c>
      <c r="G371" s="15" t="s">
        <v>2407</v>
      </c>
      <c r="H371" s="16" t="n">
        <v>180</v>
      </c>
      <c r="I371" s="15" t="n">
        <v>48</v>
      </c>
      <c r="J371" s="15" t="s">
        <v>5227</v>
      </c>
      <c r="K371" s="15" t="s">
        <v>5392</v>
      </c>
      <c r="L371" s="15" t="n">
        <v>4</v>
      </c>
      <c r="M371" s="15" t="s">
        <v>5161</v>
      </c>
      <c r="N371" s="18" t="str">
        <f aca="false">IFERROR(IF(ISNUMBER(SEARCH(D371,INDEX(Pages!$J$2:$J$824,MATCH(A371,Pages!$B$2:$B$824,0)))),"Yes","No"),"Page not found")</f>
        <v>Yes</v>
      </c>
      <c r="O371" s="3" t="s">
        <v>5426</v>
      </c>
      <c r="P371" s="3"/>
    </row>
    <row r="372" customFormat="false" ht="15" hidden="false" customHeight="false" outlineLevel="0" collapsed="false">
      <c r="A372" s="15" t="s">
        <v>2154</v>
      </c>
      <c r="B372" s="15" t="s">
        <v>2076</v>
      </c>
      <c r="C372" s="15" t="s">
        <v>89</v>
      </c>
      <c r="D372" s="15" t="s">
        <v>2159</v>
      </c>
      <c r="E372" s="15" t="s">
        <v>104</v>
      </c>
      <c r="F372" s="15" t="s">
        <v>666</v>
      </c>
      <c r="G372" s="15" t="s">
        <v>2155</v>
      </c>
      <c r="H372" s="16" t="n">
        <v>170</v>
      </c>
      <c r="I372" s="15" t="n">
        <v>33</v>
      </c>
      <c r="J372" s="15" t="s">
        <v>5227</v>
      </c>
      <c r="K372" s="15" t="s">
        <v>5473</v>
      </c>
      <c r="L372" s="15" t="n">
        <v>2</v>
      </c>
      <c r="M372" s="15" t="s">
        <v>5161</v>
      </c>
      <c r="N372" s="18" t="str">
        <f aca="false">IFERROR(IF(ISNUMBER(SEARCH(D372,INDEX(Pages!$J$2:$J$824,MATCH(A372,Pages!$B$2:$B$824,0)))),"Yes","No"),"Page not found")</f>
        <v>Yes</v>
      </c>
      <c r="O372" s="3" t="s">
        <v>5426</v>
      </c>
      <c r="P372" s="3"/>
    </row>
    <row r="373" customFormat="false" ht="15" hidden="false" customHeight="false" outlineLevel="0" collapsed="false">
      <c r="A373" s="15" t="s">
        <v>2273</v>
      </c>
      <c r="B373" s="15" t="s">
        <v>2076</v>
      </c>
      <c r="C373" s="15" t="s">
        <v>89</v>
      </c>
      <c r="D373" s="15" t="s">
        <v>2278</v>
      </c>
      <c r="E373" s="15" t="s">
        <v>104</v>
      </c>
      <c r="F373" s="15" t="s">
        <v>715</v>
      </c>
      <c r="G373" s="15" t="s">
        <v>2274</v>
      </c>
      <c r="H373" s="16" t="n">
        <v>170</v>
      </c>
      <c r="I373" s="15" t="n">
        <v>41</v>
      </c>
      <c r="J373" s="15" t="s">
        <v>5227</v>
      </c>
      <c r="K373" s="15" t="s">
        <v>5473</v>
      </c>
      <c r="L373" s="15" t="n">
        <v>2</v>
      </c>
      <c r="M373" s="15" t="s">
        <v>5161</v>
      </c>
      <c r="N373" s="18" t="str">
        <f aca="false">IFERROR(IF(ISNUMBER(SEARCH(D373,INDEX(Pages!$J$2:$J$824,MATCH(A373,Pages!$B$2:$B$824,0)))),"Yes","No"),"Page not found")</f>
        <v>Yes</v>
      </c>
      <c r="O373" s="3" t="s">
        <v>5426</v>
      </c>
      <c r="P373" s="3"/>
    </row>
    <row r="374" customFormat="false" ht="15" hidden="false" customHeight="false" outlineLevel="0" collapsed="false">
      <c r="A374" s="15" t="s">
        <v>2897</v>
      </c>
      <c r="B374" s="15" t="s">
        <v>2076</v>
      </c>
      <c r="C374" s="15" t="s">
        <v>85</v>
      </c>
      <c r="D374" s="15" t="s">
        <v>2901</v>
      </c>
      <c r="E374" s="15" t="s">
        <v>104</v>
      </c>
      <c r="F374" s="15" t="s">
        <v>666</v>
      </c>
      <c r="G374" s="15" t="s">
        <v>2155</v>
      </c>
      <c r="H374" s="16" t="n">
        <v>170</v>
      </c>
      <c r="I374" s="15" t="n">
        <v>40</v>
      </c>
      <c r="J374" s="15" t="s">
        <v>5227</v>
      </c>
      <c r="K374" s="15" t="s">
        <v>5392</v>
      </c>
      <c r="L374" s="15" t="n">
        <v>3</v>
      </c>
      <c r="M374" s="15" t="s">
        <v>5161</v>
      </c>
      <c r="N374" s="18" t="str">
        <f aca="false">IFERROR(IF(ISNUMBER(SEARCH(D374,INDEX(Pages!$J$2:$J$824,MATCH(A374,Pages!$B$2:$B$824,0)))),"Yes","No"),"Page not found")</f>
        <v>Yes</v>
      </c>
      <c r="O374" s="3" t="s">
        <v>5426</v>
      </c>
      <c r="P374" s="3"/>
    </row>
    <row r="375" customFormat="false" ht="15" hidden="false" customHeight="false" outlineLevel="0" collapsed="false">
      <c r="A375" s="15" t="s">
        <v>2999</v>
      </c>
      <c r="B375" s="15" t="s">
        <v>2076</v>
      </c>
      <c r="C375" s="15" t="s">
        <v>85</v>
      </c>
      <c r="D375" s="15" t="s">
        <v>3003</v>
      </c>
      <c r="E375" s="15" t="s">
        <v>104</v>
      </c>
      <c r="F375" s="15" t="s">
        <v>715</v>
      </c>
      <c r="G375" s="15" t="s">
        <v>2274</v>
      </c>
      <c r="H375" s="16" t="n">
        <v>170</v>
      </c>
      <c r="I375" s="15" t="n">
        <v>48</v>
      </c>
      <c r="J375" s="15" t="s">
        <v>5227</v>
      </c>
      <c r="K375" s="15" t="s">
        <v>5392</v>
      </c>
      <c r="L375" s="15" t="n">
        <v>3</v>
      </c>
      <c r="M375" s="15" t="s">
        <v>5161</v>
      </c>
      <c r="N375" s="18" t="str">
        <f aca="false">IFERROR(IF(ISNUMBER(SEARCH(D375,INDEX(Pages!$J$2:$J$824,MATCH(A375,Pages!$B$2:$B$824,0)))),"Yes","No"),"Page not found")</f>
        <v>Yes</v>
      </c>
      <c r="O375" s="3" t="s">
        <v>5426</v>
      </c>
      <c r="P375" s="3"/>
    </row>
    <row r="376" customFormat="false" ht="23.85" hidden="false" customHeight="false" outlineLevel="0" collapsed="false">
      <c r="A376" s="15" t="s">
        <v>3233</v>
      </c>
      <c r="B376" s="15" t="s">
        <v>2076</v>
      </c>
      <c r="C376" s="15" t="s">
        <v>84</v>
      </c>
      <c r="D376" s="15" t="s">
        <v>3237</v>
      </c>
      <c r="E376" s="15" t="s">
        <v>104</v>
      </c>
      <c r="F376" s="15" t="s">
        <v>666</v>
      </c>
      <c r="G376" s="15" t="s">
        <v>2141</v>
      </c>
      <c r="H376" s="16" t="n">
        <v>170</v>
      </c>
      <c r="I376" s="15" t="n">
        <v>32</v>
      </c>
      <c r="J376" s="15" t="s">
        <v>5227</v>
      </c>
      <c r="K376" s="15" t="s">
        <v>5392</v>
      </c>
      <c r="L376" s="15" t="n">
        <v>3</v>
      </c>
      <c r="M376" s="15" t="s">
        <v>5161</v>
      </c>
      <c r="N376" s="18" t="str">
        <f aca="false">IFERROR(IF(ISNUMBER(SEARCH(D376,INDEX(Pages!$J$2:$J$824,MATCH(A376,Pages!$B$2:$B$824,0)))),"Yes","No"),"Page not found")</f>
        <v>Yes</v>
      </c>
      <c r="O376" s="3" t="s">
        <v>5426</v>
      </c>
      <c r="P376" s="3" t="s">
        <v>5483</v>
      </c>
    </row>
    <row r="377" customFormat="false" ht="23.85" hidden="false" customHeight="false" outlineLevel="0" collapsed="false">
      <c r="A377" s="15" t="s">
        <v>3335</v>
      </c>
      <c r="B377" s="15" t="s">
        <v>2076</v>
      </c>
      <c r="C377" s="15" t="s">
        <v>84</v>
      </c>
      <c r="D377" s="15" t="s">
        <v>3339</v>
      </c>
      <c r="E377" s="15" t="s">
        <v>104</v>
      </c>
      <c r="F377" s="15" t="s">
        <v>715</v>
      </c>
      <c r="G377" s="15" t="s">
        <v>2260</v>
      </c>
      <c r="H377" s="16" t="n">
        <v>170</v>
      </c>
      <c r="I377" s="15" t="n">
        <v>44</v>
      </c>
      <c r="J377" s="15" t="s">
        <v>5227</v>
      </c>
      <c r="K377" s="15" t="s">
        <v>5392</v>
      </c>
      <c r="L377" s="15" t="n">
        <v>4</v>
      </c>
      <c r="M377" s="15" t="s">
        <v>5161</v>
      </c>
      <c r="N377" s="18" t="str">
        <f aca="false">IFERROR(IF(ISNUMBER(SEARCH(D377,INDEX(Pages!$J$2:$J$824,MATCH(A377,Pages!$B$2:$B$824,0)))),"Yes","No"),"Page not found")</f>
        <v>Yes</v>
      </c>
      <c r="O377" s="3" t="s">
        <v>5212</v>
      </c>
      <c r="P377" s="3" t="s">
        <v>5483</v>
      </c>
    </row>
    <row r="378" customFormat="false" ht="15" hidden="false" customHeight="false" outlineLevel="0" collapsed="false">
      <c r="A378" s="15" t="s">
        <v>3353</v>
      </c>
      <c r="B378" s="15" t="s">
        <v>2076</v>
      </c>
      <c r="C378" s="15" t="s">
        <v>84</v>
      </c>
      <c r="D378" s="15" t="s">
        <v>3357</v>
      </c>
      <c r="E378" s="15" t="s">
        <v>104</v>
      </c>
      <c r="F378" s="15" t="s">
        <v>715</v>
      </c>
      <c r="G378" s="15" t="s">
        <v>2281</v>
      </c>
      <c r="H378" s="16" t="n">
        <v>170</v>
      </c>
      <c r="I378" s="15" t="n">
        <v>48</v>
      </c>
      <c r="J378" s="15" t="s">
        <v>5227</v>
      </c>
      <c r="K378" s="15" t="s">
        <v>5392</v>
      </c>
      <c r="L378" s="15" t="n">
        <v>3</v>
      </c>
      <c r="M378" s="15" t="s">
        <v>5161</v>
      </c>
      <c r="N378" s="18" t="str">
        <f aca="false">IFERROR(IF(ISNUMBER(SEARCH(D378,INDEX(Pages!$J$2:$J$824,MATCH(A378,Pages!$B$2:$B$824,0)))),"Yes","No"),"Page not found")</f>
        <v>Yes</v>
      </c>
      <c r="O378" s="3" t="s">
        <v>5426</v>
      </c>
      <c r="P378" s="3"/>
    </row>
    <row r="379" customFormat="false" ht="23.85" hidden="false" customHeight="false" outlineLevel="0" collapsed="false">
      <c r="A379" s="15" t="s">
        <v>3377</v>
      </c>
      <c r="B379" s="15" t="s">
        <v>2076</v>
      </c>
      <c r="C379" s="15" t="s">
        <v>84</v>
      </c>
      <c r="D379" s="15" t="s">
        <v>3381</v>
      </c>
      <c r="E379" s="15" t="s">
        <v>104</v>
      </c>
      <c r="F379" s="15" t="s">
        <v>715</v>
      </c>
      <c r="G379" s="15" t="s">
        <v>2309</v>
      </c>
      <c r="H379" s="16" t="n">
        <v>170</v>
      </c>
      <c r="I379" s="15" t="n">
        <v>40</v>
      </c>
      <c r="J379" s="15" t="s">
        <v>5227</v>
      </c>
      <c r="K379" s="15" t="s">
        <v>5392</v>
      </c>
      <c r="L379" s="15" t="n">
        <v>4</v>
      </c>
      <c r="M379" s="15" t="s">
        <v>5161</v>
      </c>
      <c r="N379" s="18" t="str">
        <f aca="false">IFERROR(IF(ISNUMBER(SEARCH(D379,INDEX(Pages!$J$2:$J$824,MATCH(A379,Pages!$B$2:$B$824,0)))),"Yes","No"),"Page not found")</f>
        <v>Yes</v>
      </c>
      <c r="O379" s="3" t="s">
        <v>5426</v>
      </c>
      <c r="P379" s="3" t="s">
        <v>5483</v>
      </c>
    </row>
    <row r="380" customFormat="false" ht="15" hidden="false" customHeight="false" outlineLevel="0" collapsed="false">
      <c r="A380" s="15" t="s">
        <v>3419</v>
      </c>
      <c r="B380" s="15" t="s">
        <v>2076</v>
      </c>
      <c r="C380" s="15" t="s">
        <v>84</v>
      </c>
      <c r="D380" s="15" t="s">
        <v>3423</v>
      </c>
      <c r="E380" s="15" t="s">
        <v>104</v>
      </c>
      <c r="F380" s="15" t="s">
        <v>715</v>
      </c>
      <c r="G380" s="15" t="s">
        <v>2358</v>
      </c>
      <c r="H380" s="16" t="n">
        <v>170</v>
      </c>
      <c r="I380" s="15" t="n">
        <v>52</v>
      </c>
      <c r="J380" s="15" t="s">
        <v>5227</v>
      </c>
      <c r="K380" s="15" t="s">
        <v>5392</v>
      </c>
      <c r="L380" s="15" t="n">
        <v>3</v>
      </c>
      <c r="M380" s="15" t="s">
        <v>5161</v>
      </c>
      <c r="N380" s="18" t="str">
        <f aca="false">IFERROR(IF(ISNUMBER(SEARCH(D380,INDEX(Pages!$J$2:$J$824,MATCH(A380,Pages!$B$2:$B$824,0)))),"Yes","No"),"Page not found")</f>
        <v>No</v>
      </c>
      <c r="O380" s="3" t="s">
        <v>5212</v>
      </c>
      <c r="P380" s="3"/>
    </row>
    <row r="381" customFormat="false" ht="23.85" hidden="false" customHeight="false" outlineLevel="0" collapsed="false">
      <c r="A381" s="15" t="s">
        <v>3455</v>
      </c>
      <c r="B381" s="15" t="s">
        <v>2076</v>
      </c>
      <c r="C381" s="15" t="s">
        <v>84</v>
      </c>
      <c r="D381" s="15" t="s">
        <v>3459</v>
      </c>
      <c r="E381" s="15" t="s">
        <v>104</v>
      </c>
      <c r="F381" s="15" t="s">
        <v>715</v>
      </c>
      <c r="G381" s="15" t="s">
        <v>2400</v>
      </c>
      <c r="H381" s="16" t="n">
        <v>170</v>
      </c>
      <c r="I381" s="15" t="n">
        <v>40</v>
      </c>
      <c r="J381" s="15" t="s">
        <v>5227</v>
      </c>
      <c r="K381" s="15" t="s">
        <v>5392</v>
      </c>
      <c r="L381" s="15" t="n">
        <v>4</v>
      </c>
      <c r="M381" s="15" t="s">
        <v>5161</v>
      </c>
      <c r="N381" s="18" t="str">
        <f aca="false">IFERROR(IF(ISNUMBER(SEARCH(D381,INDEX(Pages!$J$2:$J$824,MATCH(A381,Pages!$B$2:$B$824,0)))),"Yes","No"),"Page not found")</f>
        <v>Yes</v>
      </c>
      <c r="O381" s="3" t="s">
        <v>5426</v>
      </c>
      <c r="P381" s="3" t="s">
        <v>5483</v>
      </c>
    </row>
    <row r="382" customFormat="false" ht="15" hidden="false" customHeight="false" outlineLevel="0" collapsed="false">
      <c r="A382" s="15" t="s">
        <v>1499</v>
      </c>
      <c r="B382" s="15" t="s">
        <v>656</v>
      </c>
      <c r="C382" s="15" t="s">
        <v>75</v>
      </c>
      <c r="D382" s="15" t="s">
        <v>1503</v>
      </c>
      <c r="E382" s="15" t="s">
        <v>662</v>
      </c>
      <c r="F382" s="15" t="s">
        <v>715</v>
      </c>
      <c r="G382" s="15"/>
      <c r="H382" s="16" t="n">
        <v>170</v>
      </c>
      <c r="I382" s="15" t="n">
        <v>37</v>
      </c>
      <c r="J382" s="15" t="s">
        <v>5159</v>
      </c>
      <c r="K382" s="15" t="s">
        <v>5324</v>
      </c>
      <c r="L382" s="15" t="n">
        <v>2</v>
      </c>
      <c r="M382" s="15" t="s">
        <v>5161</v>
      </c>
      <c r="N382" s="18" t="str">
        <f aca="false">IFERROR(IF(ISNUMBER(SEARCH(D382,INDEX(Pages!$J$2:$J$824,MATCH(A382,Pages!$B$2:$B$824,0)))),"Yes","No"),"Page not found")</f>
        <v>No</v>
      </c>
      <c r="O382" s="3" t="s">
        <v>5426</v>
      </c>
      <c r="P382" s="3"/>
    </row>
    <row r="383" customFormat="false" ht="15" hidden="false" customHeight="false" outlineLevel="0" collapsed="false">
      <c r="A383" s="15" t="s">
        <v>1685</v>
      </c>
      <c r="B383" s="15" t="s">
        <v>656</v>
      </c>
      <c r="C383" s="15" t="s">
        <v>81</v>
      </c>
      <c r="D383" s="15" t="s">
        <v>1689</v>
      </c>
      <c r="E383" s="15" t="s">
        <v>662</v>
      </c>
      <c r="F383" s="15" t="s">
        <v>657</v>
      </c>
      <c r="G383" s="15"/>
      <c r="H383" s="16" t="n">
        <v>170</v>
      </c>
      <c r="I383" s="15" t="n">
        <v>34</v>
      </c>
      <c r="J383" s="15" t="s">
        <v>5159</v>
      </c>
      <c r="K383" s="15" t="s">
        <v>5235</v>
      </c>
      <c r="L383" s="15" t="n">
        <v>3</v>
      </c>
      <c r="M383" s="15" t="s">
        <v>5161</v>
      </c>
      <c r="N383" s="18" t="str">
        <f aca="false">IFERROR(IF(ISNUMBER(SEARCH(D383,INDEX(Pages!$J$2:$J$824,MATCH(A383,Pages!$B$2:$B$824,0)))),"Yes","No"),"Page not found")</f>
        <v>No</v>
      </c>
      <c r="O383" s="3" t="s">
        <v>5426</v>
      </c>
      <c r="P383" s="3" t="s">
        <v>5482</v>
      </c>
    </row>
    <row r="384" customFormat="false" ht="15" hidden="false" customHeight="false" outlineLevel="0" collapsed="false">
      <c r="A384" s="15" t="s">
        <v>3965</v>
      </c>
      <c r="B384" s="15" t="s">
        <v>2076</v>
      </c>
      <c r="C384" s="15" t="s">
        <v>81</v>
      </c>
      <c r="D384" s="15" t="s">
        <v>3969</v>
      </c>
      <c r="E384" s="15" t="s">
        <v>104</v>
      </c>
      <c r="F384" s="15" t="s">
        <v>673</v>
      </c>
      <c r="G384" s="15" t="s">
        <v>2183</v>
      </c>
      <c r="H384" s="16" t="n">
        <v>170</v>
      </c>
      <c r="I384" s="15" t="n">
        <v>28</v>
      </c>
      <c r="J384" s="15" t="s">
        <v>5227</v>
      </c>
      <c r="K384" s="15" t="s">
        <v>5235</v>
      </c>
      <c r="L384" s="15" t="n">
        <v>3</v>
      </c>
      <c r="M384" s="15" t="s">
        <v>5161</v>
      </c>
      <c r="N384" s="18" t="str">
        <f aca="false">IFERROR(IF(ISNUMBER(SEARCH(D384,INDEX(Pages!$J$2:$J$824,MATCH(A384,Pages!$B$2:$B$824,0)))),"Yes","No"),"Page not found")</f>
        <v>Yes</v>
      </c>
      <c r="O384" s="3" t="s">
        <v>5426</v>
      </c>
      <c r="P384" s="3"/>
    </row>
    <row r="385" customFormat="false" ht="15" hidden="false" customHeight="false" outlineLevel="0" collapsed="false">
      <c r="A385" s="15" t="s">
        <v>4433</v>
      </c>
      <c r="B385" s="15" t="s">
        <v>2076</v>
      </c>
      <c r="C385" s="15" t="s">
        <v>86</v>
      </c>
      <c r="D385" s="15" t="s">
        <v>4437</v>
      </c>
      <c r="E385" s="15" t="s">
        <v>104</v>
      </c>
      <c r="F385" s="15" t="s">
        <v>715</v>
      </c>
      <c r="G385" s="15" t="s">
        <v>2323</v>
      </c>
      <c r="H385" s="16" t="n">
        <v>170</v>
      </c>
      <c r="I385" s="15" t="n">
        <v>40</v>
      </c>
      <c r="J385" s="15" t="s">
        <v>5227</v>
      </c>
      <c r="K385" s="15" t="s">
        <v>5392</v>
      </c>
      <c r="L385" s="15" t="n">
        <v>4</v>
      </c>
      <c r="M385" s="15" t="s">
        <v>5161</v>
      </c>
      <c r="N385" s="18" t="str">
        <f aca="false">IFERROR(IF(ISNUMBER(SEARCH(D385,INDEX(Pages!$J$2:$J$824,MATCH(A385,Pages!$B$2:$B$824,0)))),"Yes","No"),"Page not found")</f>
        <v>Yes</v>
      </c>
      <c r="O385" s="3" t="s">
        <v>5426</v>
      </c>
      <c r="P385" s="3"/>
    </row>
    <row r="386" customFormat="false" ht="15" hidden="false" customHeight="false" outlineLevel="0" collapsed="false">
      <c r="A386" s="15" t="s">
        <v>4553</v>
      </c>
      <c r="B386" s="15" t="s">
        <v>2076</v>
      </c>
      <c r="C386" s="15" t="s">
        <v>86</v>
      </c>
      <c r="D386" s="15" t="s">
        <v>4557</v>
      </c>
      <c r="E386" s="15" t="s">
        <v>104</v>
      </c>
      <c r="F386" s="15" t="s">
        <v>736</v>
      </c>
      <c r="G386" s="15" t="s">
        <v>2463</v>
      </c>
      <c r="H386" s="16" t="n">
        <v>170</v>
      </c>
      <c r="I386" s="15" t="n">
        <v>40</v>
      </c>
      <c r="J386" s="15" t="s">
        <v>5227</v>
      </c>
      <c r="K386" s="15" t="s">
        <v>5392</v>
      </c>
      <c r="L386" s="15" t="n">
        <v>4</v>
      </c>
      <c r="M386" s="15" t="s">
        <v>5161</v>
      </c>
      <c r="N386" s="18" t="str">
        <f aca="false">IFERROR(IF(ISNUMBER(SEARCH(D386,INDEX(Pages!$J$2:$J$824,MATCH(A386,Pages!$B$2:$B$824,0)))),"Yes","No"),"Page not found")</f>
        <v>Yes</v>
      </c>
      <c r="O386" s="3" t="s">
        <v>5426</v>
      </c>
      <c r="P386" s="3"/>
    </row>
    <row r="387" customFormat="false" ht="23.85" hidden="false" customHeight="false" outlineLevel="0" collapsed="false">
      <c r="A387" s="15" t="s">
        <v>3311</v>
      </c>
      <c r="B387" s="15" t="s">
        <v>2076</v>
      </c>
      <c r="C387" s="15" t="s">
        <v>84</v>
      </c>
      <c r="D387" s="15" t="s">
        <v>3315</v>
      </c>
      <c r="E387" s="15" t="s">
        <v>104</v>
      </c>
      <c r="F387" s="15" t="s">
        <v>715</v>
      </c>
      <c r="G387" s="15" t="s">
        <v>2232</v>
      </c>
      <c r="H387" s="16" t="n">
        <v>160</v>
      </c>
      <c r="I387" s="15" t="n">
        <v>40</v>
      </c>
      <c r="J387" s="15" t="s">
        <v>5227</v>
      </c>
      <c r="K387" s="15" t="s">
        <v>5392</v>
      </c>
      <c r="L387" s="15" t="n">
        <v>4</v>
      </c>
      <c r="M387" s="15" t="s">
        <v>5161</v>
      </c>
      <c r="N387" s="18" t="str">
        <f aca="false">IFERROR(IF(ISNUMBER(SEARCH(D387,INDEX(Pages!$J$2:$J$824,MATCH(A387,Pages!$B$2:$B$824,0)))),"Yes","No"),"Page not found")</f>
        <v>Yes</v>
      </c>
      <c r="O387" s="3" t="s">
        <v>5426</v>
      </c>
      <c r="P387" s="3" t="s">
        <v>5483</v>
      </c>
    </row>
    <row r="388" customFormat="false" ht="15" hidden="false" customHeight="false" outlineLevel="0" collapsed="false">
      <c r="A388" s="15" t="s">
        <v>3497</v>
      </c>
      <c r="B388" s="15" t="s">
        <v>2076</v>
      </c>
      <c r="C388" s="15" t="s">
        <v>84</v>
      </c>
      <c r="D388" s="15" t="s">
        <v>3501</v>
      </c>
      <c r="E388" s="15" t="s">
        <v>104</v>
      </c>
      <c r="F388" s="15" t="s">
        <v>729</v>
      </c>
      <c r="G388" s="15" t="s">
        <v>2449</v>
      </c>
      <c r="H388" s="16" t="n">
        <v>160</v>
      </c>
      <c r="I388" s="15" t="n">
        <v>52</v>
      </c>
      <c r="J388" s="15" t="s">
        <v>5227</v>
      </c>
      <c r="K388" s="15" t="s">
        <v>5392</v>
      </c>
      <c r="L388" s="15" t="n">
        <v>5</v>
      </c>
      <c r="M388" s="15" t="s">
        <v>5161</v>
      </c>
      <c r="N388" s="18" t="str">
        <f aca="false">IFERROR(IF(ISNUMBER(SEARCH(D388,INDEX(Pages!$J$2:$J$824,MATCH(A388,Pages!$B$2:$B$824,0)))),"Yes","No"),"Page not found")</f>
        <v>Yes</v>
      </c>
      <c r="O388" s="3" t="s">
        <v>5408</v>
      </c>
      <c r="P388" s="3" t="s">
        <v>5427</v>
      </c>
    </row>
    <row r="389" customFormat="false" ht="15" hidden="false" customHeight="false" outlineLevel="0" collapsed="false">
      <c r="A389" s="15" t="s">
        <v>4741</v>
      </c>
      <c r="B389" s="15" t="s">
        <v>4572</v>
      </c>
      <c r="C389" s="15" t="s">
        <v>94</v>
      </c>
      <c r="D389" s="15" t="s">
        <v>4745</v>
      </c>
      <c r="E389" s="15" t="s">
        <v>104</v>
      </c>
      <c r="F389" s="15" t="s">
        <v>701</v>
      </c>
      <c r="G389" s="15" t="s">
        <v>2225</v>
      </c>
      <c r="H389" s="16" t="n">
        <v>160</v>
      </c>
      <c r="I389" s="15" t="n">
        <v>30</v>
      </c>
      <c r="J389" s="15" t="s">
        <v>5227</v>
      </c>
      <c r="K389" s="15" t="s">
        <v>5243</v>
      </c>
      <c r="L389" s="15" t="n">
        <v>2</v>
      </c>
      <c r="M389" s="15" t="s">
        <v>5161</v>
      </c>
      <c r="N389" s="18" t="str">
        <f aca="false">IFERROR(IF(ISNUMBER(SEARCH(D389,INDEX(Pages!$J$2:$J$824,MATCH(A389,Pages!$B$2:$B$824,0)))),"Yes","No"),"Page not found")</f>
        <v>No</v>
      </c>
      <c r="O389" s="3" t="s">
        <v>5471</v>
      </c>
      <c r="P389" s="3" t="s">
        <v>5472</v>
      </c>
    </row>
    <row r="390" customFormat="false" ht="15" hidden="false" customHeight="false" outlineLevel="0" collapsed="false">
      <c r="A390" s="15" t="s">
        <v>3719</v>
      </c>
      <c r="B390" s="15" t="s">
        <v>2076</v>
      </c>
      <c r="C390" s="15" t="s">
        <v>74</v>
      </c>
      <c r="D390" s="15" t="s">
        <v>3723</v>
      </c>
      <c r="E390" s="15" t="s">
        <v>104</v>
      </c>
      <c r="F390" s="15" t="s">
        <v>715</v>
      </c>
      <c r="G390" s="15" t="s">
        <v>2302</v>
      </c>
      <c r="H390" s="16" t="n">
        <v>160</v>
      </c>
      <c r="I390" s="15" t="n">
        <v>43</v>
      </c>
      <c r="J390" s="15" t="s">
        <v>5227</v>
      </c>
      <c r="K390" s="15" t="s">
        <v>5444</v>
      </c>
      <c r="L390" s="15" t="n">
        <v>2</v>
      </c>
      <c r="M390" s="15" t="s">
        <v>5161</v>
      </c>
      <c r="N390" s="18" t="str">
        <f aca="false">IFERROR(IF(ISNUMBER(SEARCH(D390,INDEX(Pages!$J$2:$J$824,MATCH(A390,Pages!$B$2:$B$824,0)))),"Yes","No"),"Page not found")</f>
        <v>Yes</v>
      </c>
      <c r="O390" s="3" t="s">
        <v>5426</v>
      </c>
      <c r="P390" s="3"/>
    </row>
    <row r="391" customFormat="false" ht="15" hidden="false" customHeight="false" outlineLevel="0" collapsed="false">
      <c r="A391" s="15" t="s">
        <v>3791</v>
      </c>
      <c r="B391" s="15" t="s">
        <v>2076</v>
      </c>
      <c r="C391" s="15" t="s">
        <v>74</v>
      </c>
      <c r="D391" s="15" t="s">
        <v>3795</v>
      </c>
      <c r="E391" s="15" t="s">
        <v>104</v>
      </c>
      <c r="F391" s="15" t="s">
        <v>715</v>
      </c>
      <c r="G391" s="15" t="s">
        <v>2386</v>
      </c>
      <c r="H391" s="16" t="n">
        <v>160</v>
      </c>
      <c r="I391" s="15" t="n">
        <v>43</v>
      </c>
      <c r="J391" s="15" t="s">
        <v>5227</v>
      </c>
      <c r="K391" s="15" t="s">
        <v>5444</v>
      </c>
      <c r="L391" s="15" t="n">
        <v>2</v>
      </c>
      <c r="M391" s="15" t="s">
        <v>5161</v>
      </c>
      <c r="N391" s="18" t="str">
        <f aca="false">IFERROR(IF(ISNUMBER(SEARCH(D391,INDEX(Pages!$J$2:$J$824,MATCH(A391,Pages!$B$2:$B$824,0)))),"Yes","No"),"Page not found")</f>
        <v>Yes</v>
      </c>
      <c r="O391" s="3" t="s">
        <v>5426</v>
      </c>
      <c r="P391" s="3"/>
    </row>
    <row r="392" customFormat="false" ht="15" hidden="false" customHeight="false" outlineLevel="0" collapsed="false">
      <c r="A392" s="15" t="s">
        <v>1433</v>
      </c>
      <c r="B392" s="15" t="s">
        <v>656</v>
      </c>
      <c r="C392" s="15" t="s">
        <v>74</v>
      </c>
      <c r="D392" s="15" t="s">
        <v>1437</v>
      </c>
      <c r="E392" s="15" t="s">
        <v>662</v>
      </c>
      <c r="F392" s="15" t="s">
        <v>729</v>
      </c>
      <c r="G392" s="15"/>
      <c r="H392" s="16" t="n">
        <v>160</v>
      </c>
      <c r="I392" s="15" t="n">
        <v>44</v>
      </c>
      <c r="J392" s="15" t="s">
        <v>5159</v>
      </c>
      <c r="K392" s="15" t="s">
        <v>5440</v>
      </c>
      <c r="L392" s="15" t="n">
        <v>3</v>
      </c>
      <c r="M392" s="15" t="s">
        <v>5161</v>
      </c>
      <c r="N392" s="18" t="str">
        <f aca="false">IFERROR(IF(ISNUMBER(SEARCH(D392,INDEX(Pages!$J$2:$J$824,MATCH(A392,Pages!$B$2:$B$824,0)))),"Yes","No"),"Page not found")</f>
        <v>No</v>
      </c>
      <c r="O392" s="3" t="s">
        <v>5426</v>
      </c>
      <c r="P392" s="3" t="s">
        <v>5378</v>
      </c>
    </row>
    <row r="393" customFormat="false" ht="15" hidden="false" customHeight="false" outlineLevel="0" collapsed="false">
      <c r="A393" s="15" t="s">
        <v>4283</v>
      </c>
      <c r="B393" s="15" t="s">
        <v>2076</v>
      </c>
      <c r="C393" s="15" t="s">
        <v>86</v>
      </c>
      <c r="D393" s="15" t="s">
        <v>4287</v>
      </c>
      <c r="E393" s="15" t="s">
        <v>104</v>
      </c>
      <c r="F393" s="15" t="s">
        <v>666</v>
      </c>
      <c r="G393" s="15" t="s">
        <v>2148</v>
      </c>
      <c r="H393" s="16" t="n">
        <v>160</v>
      </c>
      <c r="I393" s="15" t="n">
        <v>32</v>
      </c>
      <c r="J393" s="15" t="s">
        <v>5227</v>
      </c>
      <c r="K393" s="15" t="s">
        <v>5392</v>
      </c>
      <c r="L393" s="15" t="n">
        <v>4</v>
      </c>
      <c r="M393" s="15" t="s">
        <v>5161</v>
      </c>
      <c r="N393" s="18" t="str">
        <f aca="false">IFERROR(IF(ISNUMBER(SEARCH(D393,INDEX(Pages!$J$2:$J$824,MATCH(A393,Pages!$B$2:$B$824,0)))),"Yes","No"),"Page not found")</f>
        <v>No</v>
      </c>
      <c r="O393" s="3" t="s">
        <v>5426</v>
      </c>
      <c r="P393" s="3"/>
    </row>
    <row r="394" customFormat="false" ht="15" hidden="false" customHeight="false" outlineLevel="0" collapsed="false">
      <c r="A394" s="15" t="s">
        <v>4457</v>
      </c>
      <c r="B394" s="15" t="s">
        <v>2076</v>
      </c>
      <c r="C394" s="15" t="s">
        <v>86</v>
      </c>
      <c r="D394" s="15" t="s">
        <v>4461</v>
      </c>
      <c r="E394" s="15" t="s">
        <v>104</v>
      </c>
      <c r="F394" s="15" t="s">
        <v>715</v>
      </c>
      <c r="G394" s="15" t="s">
        <v>2351</v>
      </c>
      <c r="H394" s="16" t="n">
        <v>160</v>
      </c>
      <c r="I394" s="15" t="n">
        <v>40</v>
      </c>
      <c r="J394" s="15" t="s">
        <v>5227</v>
      </c>
      <c r="K394" s="15" t="s">
        <v>5392</v>
      </c>
      <c r="L394" s="15" t="n">
        <v>4</v>
      </c>
      <c r="M394" s="15" t="s">
        <v>5161</v>
      </c>
      <c r="N394" s="18" t="str">
        <f aca="false">IFERROR(IF(ISNUMBER(SEARCH(D394,INDEX(Pages!$J$2:$J$824,MATCH(A394,Pages!$B$2:$B$824,0)))),"Yes","No"),"Page not found")</f>
        <v>Yes</v>
      </c>
      <c r="O394" s="3" t="s">
        <v>5426</v>
      </c>
      <c r="P394" s="3"/>
    </row>
    <row r="395" customFormat="false" ht="15" hidden="false" customHeight="false" outlineLevel="0" collapsed="false">
      <c r="A395" s="15" t="s">
        <v>2771</v>
      </c>
      <c r="B395" s="15" t="s">
        <v>2076</v>
      </c>
      <c r="C395" s="15" t="s">
        <v>82</v>
      </c>
      <c r="D395" s="15" t="s">
        <v>2775</v>
      </c>
      <c r="E395" s="15" t="s">
        <v>104</v>
      </c>
      <c r="F395" s="15" t="s">
        <v>722</v>
      </c>
      <c r="G395" s="15" t="s">
        <v>2414</v>
      </c>
      <c r="H395" s="16" t="n">
        <v>150</v>
      </c>
      <c r="I395" s="15" t="n">
        <v>52</v>
      </c>
      <c r="J395" s="15" t="s">
        <v>5227</v>
      </c>
      <c r="K395" s="15" t="s">
        <v>5228</v>
      </c>
      <c r="L395" s="15" t="n">
        <v>3</v>
      </c>
      <c r="M395" s="15" t="s">
        <v>5161</v>
      </c>
      <c r="N395" s="18" t="str">
        <f aca="false">IFERROR(IF(ISNUMBER(SEARCH(D395,INDEX(Pages!$J$2:$J$824,MATCH(A395,Pages!$B$2:$B$824,0)))),"Yes","No"),"Page not found")</f>
        <v>Yes</v>
      </c>
      <c r="O395" s="3" t="s">
        <v>5426</v>
      </c>
      <c r="P395" s="3"/>
    </row>
    <row r="396" customFormat="false" ht="15" hidden="false" customHeight="false" outlineLevel="0" collapsed="false">
      <c r="A396" s="15" t="s">
        <v>1187</v>
      </c>
      <c r="B396" s="15" t="s">
        <v>656</v>
      </c>
      <c r="C396" s="15" t="s">
        <v>79</v>
      </c>
      <c r="D396" s="15" t="s">
        <v>1191</v>
      </c>
      <c r="E396" s="15" t="s">
        <v>662</v>
      </c>
      <c r="F396" s="15" t="s">
        <v>715</v>
      </c>
      <c r="G396" s="15"/>
      <c r="H396" s="16" t="n">
        <v>150</v>
      </c>
      <c r="I396" s="15" t="n">
        <v>37</v>
      </c>
      <c r="J396" s="15" t="s">
        <v>5159</v>
      </c>
      <c r="K396" s="15" t="s">
        <v>5384</v>
      </c>
      <c r="L396" s="15" t="n">
        <v>1</v>
      </c>
      <c r="M396" s="15" t="s">
        <v>5161</v>
      </c>
      <c r="N396" s="18" t="str">
        <f aca="false">IFERROR(IF(ISNUMBER(SEARCH(D396,INDEX(Pages!$J$2:$J$824,MATCH(A396,Pages!$B$2:$B$824,0)))),"Yes","No"),"Page not found")</f>
        <v>No</v>
      </c>
      <c r="O396" s="3" t="s">
        <v>5426</v>
      </c>
      <c r="P396" s="3"/>
    </row>
    <row r="397" customFormat="false" ht="15" hidden="false" customHeight="false" outlineLevel="0" collapsed="false">
      <c r="A397" s="15" t="s">
        <v>3449</v>
      </c>
      <c r="B397" s="15" t="s">
        <v>2076</v>
      </c>
      <c r="C397" s="15" t="s">
        <v>84</v>
      </c>
      <c r="D397" s="15" t="s">
        <v>3453</v>
      </c>
      <c r="E397" s="15" t="s">
        <v>104</v>
      </c>
      <c r="F397" s="15" t="s">
        <v>715</v>
      </c>
      <c r="G397" s="15" t="s">
        <v>2393</v>
      </c>
      <c r="H397" s="16" t="n">
        <v>150</v>
      </c>
      <c r="I397" s="15" t="n">
        <v>52</v>
      </c>
      <c r="J397" s="15" t="s">
        <v>5227</v>
      </c>
      <c r="K397" s="15" t="s">
        <v>5392</v>
      </c>
      <c r="L397" s="15" t="n">
        <v>3</v>
      </c>
      <c r="M397" s="15" t="s">
        <v>5161</v>
      </c>
      <c r="N397" s="18" t="str">
        <f aca="false">IFERROR(IF(ISNUMBER(SEARCH(D397,INDEX(Pages!$J$2:$J$824,MATCH(A397,Pages!$B$2:$B$824,0)))),"Yes","No"),"Page not found")</f>
        <v>Yes</v>
      </c>
      <c r="O397" s="3" t="s">
        <v>5212</v>
      </c>
      <c r="P397" s="3"/>
    </row>
    <row r="398" customFormat="false" ht="15" hidden="false" customHeight="false" outlineLevel="0" collapsed="false">
      <c r="A398" s="15" t="s">
        <v>4813</v>
      </c>
      <c r="B398" s="15" t="s">
        <v>4572</v>
      </c>
      <c r="C398" s="15" t="s">
        <v>94</v>
      </c>
      <c r="D398" s="15" t="s">
        <v>4817</v>
      </c>
      <c r="E398" s="15" t="s">
        <v>104</v>
      </c>
      <c r="F398" s="15" t="s">
        <v>715</v>
      </c>
      <c r="G398" s="15" t="s">
        <v>2295</v>
      </c>
      <c r="H398" s="16" t="n">
        <v>150</v>
      </c>
      <c r="I398" s="15" t="n">
        <v>30</v>
      </c>
      <c r="J398" s="15" t="s">
        <v>5227</v>
      </c>
      <c r="K398" s="15" t="s">
        <v>5243</v>
      </c>
      <c r="L398" s="15" t="n">
        <v>2</v>
      </c>
      <c r="M398" s="15" t="s">
        <v>5161</v>
      </c>
      <c r="N398" s="18" t="str">
        <f aca="false">IFERROR(IF(ISNUMBER(SEARCH(D398,INDEX(Pages!$J$2:$J$824,MATCH(A398,Pages!$B$2:$B$824,0)))),"Yes","No"),"Page not found")</f>
        <v>No</v>
      </c>
      <c r="O398" s="3" t="s">
        <v>5471</v>
      </c>
      <c r="P398" s="3" t="s">
        <v>5472</v>
      </c>
    </row>
    <row r="399" customFormat="false" ht="15" hidden="false" customHeight="false" outlineLevel="0" collapsed="false">
      <c r="A399" s="15" t="s">
        <v>4373</v>
      </c>
      <c r="B399" s="15" t="s">
        <v>2076</v>
      </c>
      <c r="C399" s="15" t="s">
        <v>86</v>
      </c>
      <c r="D399" s="15" t="s">
        <v>4377</v>
      </c>
      <c r="E399" s="15" t="s">
        <v>104</v>
      </c>
      <c r="F399" s="15" t="s">
        <v>715</v>
      </c>
      <c r="G399" s="15" t="s">
        <v>2253</v>
      </c>
      <c r="H399" s="16" t="n">
        <v>150</v>
      </c>
      <c r="I399" s="15" t="n">
        <v>40</v>
      </c>
      <c r="J399" s="15" t="s">
        <v>5227</v>
      </c>
      <c r="K399" s="15" t="s">
        <v>5392</v>
      </c>
      <c r="L399" s="15" t="n">
        <v>4</v>
      </c>
      <c r="M399" s="15" t="s">
        <v>5161</v>
      </c>
      <c r="N399" s="18" t="str">
        <f aca="false">IFERROR(IF(ISNUMBER(SEARCH(D399,INDEX(Pages!$J$2:$J$824,MATCH(A399,Pages!$B$2:$B$824,0)))),"Yes","No"),"Page not found")</f>
        <v>Yes</v>
      </c>
      <c r="O399" s="3" t="s">
        <v>5426</v>
      </c>
      <c r="P399" s="3"/>
    </row>
    <row r="400" customFormat="false" ht="15" hidden="false" customHeight="false" outlineLevel="0" collapsed="false">
      <c r="A400" s="15" t="s">
        <v>1829</v>
      </c>
      <c r="B400" s="15" t="s">
        <v>656</v>
      </c>
      <c r="C400" s="15" t="s">
        <v>86</v>
      </c>
      <c r="D400" s="15" t="s">
        <v>1833</v>
      </c>
      <c r="E400" s="15" t="s">
        <v>662</v>
      </c>
      <c r="F400" s="15" t="s">
        <v>736</v>
      </c>
      <c r="G400" s="15"/>
      <c r="H400" s="16" t="n">
        <v>150</v>
      </c>
      <c r="I400" s="15" t="n">
        <v>32</v>
      </c>
      <c r="J400" s="15" t="s">
        <v>5159</v>
      </c>
      <c r="K400" s="15" t="s">
        <v>5321</v>
      </c>
      <c r="L400" s="15" t="n">
        <v>4</v>
      </c>
      <c r="M400" s="15" t="s">
        <v>5161</v>
      </c>
      <c r="N400" s="18" t="str">
        <f aca="false">IFERROR(IF(ISNUMBER(SEARCH(D400,INDEX(Pages!$J$2:$J$824,MATCH(A400,Pages!$B$2:$B$824,0)))),"Yes","No"),"Page not found")</f>
        <v>No</v>
      </c>
      <c r="O400" s="3" t="s">
        <v>5426</v>
      </c>
      <c r="P400" s="3"/>
    </row>
    <row r="401" customFormat="false" ht="15" hidden="false" customHeight="false" outlineLevel="0" collapsed="false">
      <c r="A401" s="15" t="s">
        <v>154</v>
      </c>
      <c r="B401" s="15" t="s">
        <v>125</v>
      </c>
      <c r="C401" s="15" t="s">
        <v>89</v>
      </c>
      <c r="D401" s="15" t="s">
        <v>158</v>
      </c>
      <c r="E401" s="15" t="s">
        <v>147</v>
      </c>
      <c r="F401" s="15"/>
      <c r="G401" s="15"/>
      <c r="H401" s="16" t="n">
        <v>140</v>
      </c>
      <c r="I401" s="15" t="n">
        <v>15</v>
      </c>
      <c r="J401" s="15" t="s">
        <v>5169</v>
      </c>
      <c r="K401" s="15" t="s">
        <v>5193</v>
      </c>
      <c r="L401" s="15" t="n">
        <v>3</v>
      </c>
      <c r="M401" s="15" t="s">
        <v>5161</v>
      </c>
      <c r="N401" s="18" t="str">
        <f aca="false">IFERROR(IF(ISNUMBER(SEARCH(D401,INDEX(Pages!$J$2:$J$824,MATCH(A401,Pages!$B$2:$B$824,0)))),"Yes","No"),"Page not found")</f>
        <v>No</v>
      </c>
      <c r="O401" s="3" t="s">
        <v>5426</v>
      </c>
      <c r="P401" s="3"/>
    </row>
    <row r="402" customFormat="false" ht="15" hidden="false" customHeight="false" outlineLevel="0" collapsed="false">
      <c r="A402" s="15" t="s">
        <v>1229</v>
      </c>
      <c r="B402" s="15" t="s">
        <v>656</v>
      </c>
      <c r="C402" s="15" t="s">
        <v>78</v>
      </c>
      <c r="D402" s="15" t="s">
        <v>1233</v>
      </c>
      <c r="E402" s="15" t="s">
        <v>662</v>
      </c>
      <c r="F402" s="15" t="s">
        <v>673</v>
      </c>
      <c r="G402" s="15"/>
      <c r="H402" s="16" t="n">
        <v>140</v>
      </c>
      <c r="I402" s="15" t="n">
        <v>39</v>
      </c>
      <c r="J402" s="15" t="s">
        <v>5159</v>
      </c>
      <c r="K402" s="15" t="s">
        <v>5418</v>
      </c>
      <c r="L402" s="15" t="n">
        <v>3</v>
      </c>
      <c r="M402" s="15" t="s">
        <v>5161</v>
      </c>
      <c r="N402" s="18" t="str">
        <f aca="false">IFERROR(IF(ISNUMBER(SEARCH(D402,INDEX(Pages!$J$2:$J$824,MATCH(A402,Pages!$B$2:$B$824,0)))),"Yes","No"),"Page not found")</f>
        <v>No</v>
      </c>
      <c r="O402" s="3" t="s">
        <v>5426</v>
      </c>
      <c r="P402" s="3"/>
    </row>
    <row r="403" customFormat="false" ht="15" hidden="false" customHeight="false" outlineLevel="0" collapsed="false">
      <c r="A403" s="15" t="s">
        <v>3293</v>
      </c>
      <c r="B403" s="15" t="s">
        <v>2076</v>
      </c>
      <c r="C403" s="15" t="s">
        <v>84</v>
      </c>
      <c r="D403" s="15" t="s">
        <v>3297</v>
      </c>
      <c r="E403" s="15" t="s">
        <v>104</v>
      </c>
      <c r="F403" s="15" t="s">
        <v>687</v>
      </c>
      <c r="G403" s="15" t="s">
        <v>2211</v>
      </c>
      <c r="H403" s="16" t="n">
        <v>140</v>
      </c>
      <c r="I403" s="15" t="n">
        <v>52</v>
      </c>
      <c r="J403" s="15" t="s">
        <v>5227</v>
      </c>
      <c r="K403" s="15" t="s">
        <v>5392</v>
      </c>
      <c r="L403" s="15" t="n">
        <v>3</v>
      </c>
      <c r="M403" s="15" t="s">
        <v>5161</v>
      </c>
      <c r="N403" s="18" t="str">
        <f aca="false">IFERROR(IF(ISNUMBER(SEARCH(D403,INDEX(Pages!$J$2:$J$824,MATCH(A403,Pages!$B$2:$B$824,0)))),"Yes","No"),"Page not found")</f>
        <v>No</v>
      </c>
      <c r="O403" s="3" t="s">
        <v>5376</v>
      </c>
      <c r="P403" s="3"/>
    </row>
    <row r="404" customFormat="false" ht="23.85" hidden="false" customHeight="false" outlineLevel="0" collapsed="false">
      <c r="A404" s="15" t="s">
        <v>3431</v>
      </c>
      <c r="B404" s="15" t="s">
        <v>2076</v>
      </c>
      <c r="C404" s="15" t="s">
        <v>84</v>
      </c>
      <c r="D404" s="15" t="s">
        <v>3435</v>
      </c>
      <c r="E404" s="15" t="s">
        <v>104</v>
      </c>
      <c r="F404" s="15" t="s">
        <v>715</v>
      </c>
      <c r="G404" s="15" t="s">
        <v>2372</v>
      </c>
      <c r="H404" s="16" t="n">
        <v>140</v>
      </c>
      <c r="I404" s="15" t="n">
        <v>40</v>
      </c>
      <c r="J404" s="15" t="s">
        <v>5227</v>
      </c>
      <c r="K404" s="15" t="s">
        <v>5392</v>
      </c>
      <c r="L404" s="15" t="n">
        <v>4</v>
      </c>
      <c r="M404" s="15" t="s">
        <v>5161</v>
      </c>
      <c r="N404" s="18" t="str">
        <f aca="false">IFERROR(IF(ISNUMBER(SEARCH(D404,INDEX(Pages!$J$2:$J$824,MATCH(A404,Pages!$B$2:$B$824,0)))),"Yes","No"),"Page not found")</f>
        <v>Yes</v>
      </c>
      <c r="O404" s="3" t="s">
        <v>5426</v>
      </c>
      <c r="P404" s="3" t="s">
        <v>5483</v>
      </c>
    </row>
    <row r="405" customFormat="false" ht="15" hidden="false" customHeight="false" outlineLevel="0" collapsed="false">
      <c r="A405" s="15" t="s">
        <v>4439</v>
      </c>
      <c r="B405" s="15" t="s">
        <v>2076</v>
      </c>
      <c r="C405" s="15" t="s">
        <v>86</v>
      </c>
      <c r="D405" s="15" t="s">
        <v>4443</v>
      </c>
      <c r="E405" s="15" t="s">
        <v>104</v>
      </c>
      <c r="F405" s="15" t="s">
        <v>715</v>
      </c>
      <c r="G405" s="15" t="s">
        <v>2330</v>
      </c>
      <c r="H405" s="16" t="n">
        <v>140</v>
      </c>
      <c r="I405" s="15" t="n">
        <v>40</v>
      </c>
      <c r="J405" s="15" t="s">
        <v>5227</v>
      </c>
      <c r="K405" s="15" t="s">
        <v>5392</v>
      </c>
      <c r="L405" s="15" t="n">
        <v>4</v>
      </c>
      <c r="M405" s="15" t="s">
        <v>5161</v>
      </c>
      <c r="N405" s="18" t="str">
        <f aca="false">IFERROR(IF(ISNUMBER(SEARCH(D405,INDEX(Pages!$J$2:$J$824,MATCH(A405,Pages!$B$2:$B$824,0)))),"Yes","No"),"Page not found")</f>
        <v>Yes</v>
      </c>
      <c r="O405" s="3" t="s">
        <v>5426</v>
      </c>
      <c r="P405" s="3"/>
    </row>
    <row r="406" customFormat="false" ht="23.85" hidden="false" customHeight="false" outlineLevel="0" collapsed="false">
      <c r="A406" s="15" t="s">
        <v>4469</v>
      </c>
      <c r="B406" s="15" t="s">
        <v>2076</v>
      </c>
      <c r="C406" s="15" t="s">
        <v>86</v>
      </c>
      <c r="D406" s="15" t="s">
        <v>4473</v>
      </c>
      <c r="E406" s="15" t="s">
        <v>104</v>
      </c>
      <c r="F406" s="15" t="s">
        <v>715</v>
      </c>
      <c r="G406" s="15" t="s">
        <v>2365</v>
      </c>
      <c r="H406" s="16" t="n">
        <v>140</v>
      </c>
      <c r="I406" s="15" t="n">
        <v>32</v>
      </c>
      <c r="J406" s="15" t="s">
        <v>5227</v>
      </c>
      <c r="K406" s="15" t="s">
        <v>5392</v>
      </c>
      <c r="L406" s="15" t="n">
        <v>5</v>
      </c>
      <c r="M406" s="15" t="s">
        <v>5161</v>
      </c>
      <c r="N406" s="18" t="str">
        <f aca="false">IFERROR(IF(ISNUMBER(SEARCH(D406,INDEX(Pages!$J$2:$J$824,MATCH(A406,Pages!$B$2:$B$824,0)))),"Yes","No"),"Page not found")</f>
        <v>Yes</v>
      </c>
      <c r="O406" s="3" t="s">
        <v>5426</v>
      </c>
      <c r="P406" s="3" t="s">
        <v>5483</v>
      </c>
    </row>
    <row r="407" customFormat="false" ht="15" hidden="false" customHeight="false" outlineLevel="0" collapsed="false">
      <c r="A407" s="15" t="s">
        <v>672</v>
      </c>
      <c r="B407" s="15" t="s">
        <v>656</v>
      </c>
      <c r="C407" s="15" t="s">
        <v>89</v>
      </c>
      <c r="D407" s="15" t="s">
        <v>677</v>
      </c>
      <c r="E407" s="15" t="s">
        <v>662</v>
      </c>
      <c r="F407" s="15" t="s">
        <v>673</v>
      </c>
      <c r="G407" s="15"/>
      <c r="H407" s="16" t="n">
        <v>130</v>
      </c>
      <c r="I407" s="15" t="n">
        <v>34</v>
      </c>
      <c r="J407" s="15" t="s">
        <v>5159</v>
      </c>
      <c r="K407" s="15" t="s">
        <v>5425</v>
      </c>
      <c r="L407" s="15" t="n">
        <v>2</v>
      </c>
      <c r="M407" s="15" t="s">
        <v>5161</v>
      </c>
      <c r="N407" s="18" t="str">
        <f aca="false">IFERROR(IF(ISNUMBER(SEARCH(D407,INDEX(Pages!$J$2:$J$824,MATCH(A407,Pages!$B$2:$B$824,0)))),"Yes","No"),"Page not found")</f>
        <v>No</v>
      </c>
      <c r="O407" s="3" t="s">
        <v>5426</v>
      </c>
      <c r="P407" s="3"/>
    </row>
    <row r="408" customFormat="false" ht="15" hidden="false" customHeight="false" outlineLevel="0" collapsed="false">
      <c r="A408" s="15" t="s">
        <v>2224</v>
      </c>
      <c r="B408" s="15" t="s">
        <v>2076</v>
      </c>
      <c r="C408" s="15" t="s">
        <v>89</v>
      </c>
      <c r="D408" s="15" t="s">
        <v>2229</v>
      </c>
      <c r="E408" s="15" t="s">
        <v>104</v>
      </c>
      <c r="F408" s="15" t="s">
        <v>701</v>
      </c>
      <c r="G408" s="15" t="s">
        <v>2225</v>
      </c>
      <c r="H408" s="16" t="n">
        <v>130</v>
      </c>
      <c r="I408" s="15" t="n">
        <v>33</v>
      </c>
      <c r="J408" s="15" t="s">
        <v>5227</v>
      </c>
      <c r="K408" s="15" t="s">
        <v>5473</v>
      </c>
      <c r="L408" s="15" t="n">
        <v>2</v>
      </c>
      <c r="M408" s="15" t="s">
        <v>5161</v>
      </c>
      <c r="N408" s="18" t="str">
        <f aca="false">IFERROR(IF(ISNUMBER(SEARCH(D408,INDEX(Pages!$J$2:$J$824,MATCH(A408,Pages!$B$2:$B$824,0)))),"Yes","No"),"Page not found")</f>
        <v>Yes</v>
      </c>
      <c r="O408" s="3" t="s">
        <v>5426</v>
      </c>
      <c r="P408" s="3"/>
    </row>
    <row r="409" customFormat="false" ht="15" hidden="false" customHeight="false" outlineLevel="0" collapsed="false">
      <c r="A409" s="15" t="s">
        <v>2294</v>
      </c>
      <c r="B409" s="15" t="s">
        <v>2076</v>
      </c>
      <c r="C409" s="15" t="s">
        <v>89</v>
      </c>
      <c r="D409" s="15" t="s">
        <v>2299</v>
      </c>
      <c r="E409" s="15" t="s">
        <v>104</v>
      </c>
      <c r="F409" s="15" t="s">
        <v>715</v>
      </c>
      <c r="G409" s="15" t="s">
        <v>2295</v>
      </c>
      <c r="H409" s="16" t="n">
        <v>130</v>
      </c>
      <c r="I409" s="15" t="n">
        <v>41</v>
      </c>
      <c r="J409" s="15" t="s">
        <v>5227</v>
      </c>
      <c r="K409" s="15" t="s">
        <v>5473</v>
      </c>
      <c r="L409" s="15" t="n">
        <v>2</v>
      </c>
      <c r="M409" s="15" t="s">
        <v>5161</v>
      </c>
      <c r="N409" s="18" t="str">
        <f aca="false">IFERROR(IF(ISNUMBER(SEARCH(D409,INDEX(Pages!$J$2:$J$824,MATCH(A409,Pages!$B$2:$B$824,0)))),"Yes","No"),"Page not found")</f>
        <v>No</v>
      </c>
      <c r="O409" s="3" t="s">
        <v>5426</v>
      </c>
      <c r="P409" s="3"/>
    </row>
    <row r="410" customFormat="false" ht="15" hidden="false" customHeight="false" outlineLevel="0" collapsed="false">
      <c r="A410" s="15" t="s">
        <v>2561</v>
      </c>
      <c r="B410" s="15" t="s">
        <v>2076</v>
      </c>
      <c r="C410" s="15" t="s">
        <v>82</v>
      </c>
      <c r="D410" s="15" t="s">
        <v>2565</v>
      </c>
      <c r="E410" s="15" t="s">
        <v>104</v>
      </c>
      <c r="F410" s="15" t="s">
        <v>666</v>
      </c>
      <c r="G410" s="15" t="s">
        <v>2169</v>
      </c>
      <c r="H410" s="16" t="n">
        <v>130</v>
      </c>
      <c r="I410" s="15" t="n">
        <v>64</v>
      </c>
      <c r="J410" s="15" t="s">
        <v>5227</v>
      </c>
      <c r="K410" s="15" t="s">
        <v>5228</v>
      </c>
      <c r="L410" s="15" t="n">
        <v>5</v>
      </c>
      <c r="M410" s="15" t="s">
        <v>5161</v>
      </c>
      <c r="N410" s="18" t="str">
        <f aca="false">IFERROR(IF(ISNUMBER(SEARCH(D410,INDEX(Pages!$J$2:$J$824,MATCH(A410,Pages!$B$2:$B$824,0)))),"Yes","No"),"Page not found")</f>
        <v>Yes</v>
      </c>
      <c r="O410" s="3" t="s">
        <v>5376</v>
      </c>
      <c r="P410" s="3" t="s">
        <v>5377</v>
      </c>
    </row>
    <row r="411" customFormat="false" ht="15" hidden="false" customHeight="false" outlineLevel="0" collapsed="false">
      <c r="A411" s="15" t="s">
        <v>2957</v>
      </c>
      <c r="B411" s="15" t="s">
        <v>2076</v>
      </c>
      <c r="C411" s="15" t="s">
        <v>85</v>
      </c>
      <c r="D411" s="15" t="s">
        <v>2961</v>
      </c>
      <c r="E411" s="15" t="s">
        <v>104</v>
      </c>
      <c r="F411" s="15" t="s">
        <v>701</v>
      </c>
      <c r="G411" s="15" t="s">
        <v>2225</v>
      </c>
      <c r="H411" s="16" t="n">
        <v>130</v>
      </c>
      <c r="I411" s="15" t="n">
        <v>40</v>
      </c>
      <c r="J411" s="15" t="s">
        <v>5227</v>
      </c>
      <c r="K411" s="15" t="s">
        <v>5392</v>
      </c>
      <c r="L411" s="15" t="n">
        <v>4</v>
      </c>
      <c r="M411" s="15" t="s">
        <v>5161</v>
      </c>
      <c r="N411" s="18" t="str">
        <f aca="false">IFERROR(IF(ISNUMBER(SEARCH(D411,INDEX(Pages!$J$2:$J$824,MATCH(A411,Pages!$B$2:$B$824,0)))),"Yes","No"),"Page not found")</f>
        <v>Yes</v>
      </c>
      <c r="O411" s="3" t="s">
        <v>5426</v>
      </c>
      <c r="P411" s="3"/>
    </row>
    <row r="412" customFormat="false" ht="15" hidden="false" customHeight="false" outlineLevel="0" collapsed="false">
      <c r="A412" s="15" t="s">
        <v>3017</v>
      </c>
      <c r="B412" s="15" t="s">
        <v>2076</v>
      </c>
      <c r="C412" s="15" t="s">
        <v>85</v>
      </c>
      <c r="D412" s="15" t="s">
        <v>3021</v>
      </c>
      <c r="E412" s="15" t="s">
        <v>104</v>
      </c>
      <c r="F412" s="15" t="s">
        <v>715</v>
      </c>
      <c r="G412" s="15" t="s">
        <v>2295</v>
      </c>
      <c r="H412" s="16" t="n">
        <v>130</v>
      </c>
      <c r="I412" s="15" t="n">
        <v>48</v>
      </c>
      <c r="J412" s="15" t="s">
        <v>5227</v>
      </c>
      <c r="K412" s="15" t="s">
        <v>5392</v>
      </c>
      <c r="L412" s="15" t="n">
        <v>4</v>
      </c>
      <c r="M412" s="15" t="s">
        <v>5161</v>
      </c>
      <c r="N412" s="18" t="str">
        <f aca="false">IFERROR(IF(ISNUMBER(SEARCH(D412,INDEX(Pages!$J$2:$J$824,MATCH(A412,Pages!$B$2:$B$824,0)))),"Yes","No"),"Page not found")</f>
        <v>No</v>
      </c>
      <c r="O412" s="3" t="s">
        <v>5426</v>
      </c>
      <c r="P412" s="3"/>
    </row>
    <row r="413" customFormat="false" ht="15" hidden="false" customHeight="false" outlineLevel="0" collapsed="false">
      <c r="A413" s="15" t="s">
        <v>887</v>
      </c>
      <c r="B413" s="15" t="s">
        <v>656</v>
      </c>
      <c r="C413" s="15" t="s">
        <v>85</v>
      </c>
      <c r="D413" s="15" t="s">
        <v>891</v>
      </c>
      <c r="E413" s="15" t="s">
        <v>662</v>
      </c>
      <c r="F413" s="15" t="s">
        <v>729</v>
      </c>
      <c r="G413" s="15"/>
      <c r="H413" s="16" t="n">
        <v>130</v>
      </c>
      <c r="I413" s="15" t="n">
        <v>43</v>
      </c>
      <c r="J413" s="15" t="s">
        <v>5159</v>
      </c>
      <c r="K413" s="15" t="s">
        <v>5321</v>
      </c>
      <c r="L413" s="15" t="n">
        <v>5</v>
      </c>
      <c r="M413" s="15" t="s">
        <v>5161</v>
      </c>
      <c r="N413" s="18" t="str">
        <f aca="false">IFERROR(IF(ISNUMBER(SEARCH(D413,INDEX(Pages!$J$2:$J$824,MATCH(A413,Pages!$B$2:$B$824,0)))),"Yes","No"),"Page not found")</f>
        <v>No</v>
      </c>
      <c r="O413" s="3" t="s">
        <v>5408</v>
      </c>
      <c r="P413" s="3" t="s">
        <v>5378</v>
      </c>
    </row>
    <row r="414" customFormat="false" ht="15" hidden="false" customHeight="false" outlineLevel="0" collapsed="false">
      <c r="A414" s="15" t="s">
        <v>3197</v>
      </c>
      <c r="B414" s="15" t="s">
        <v>2076</v>
      </c>
      <c r="C414" s="15" t="s">
        <v>84</v>
      </c>
      <c r="D414" s="15" t="s">
        <v>3201</v>
      </c>
      <c r="E414" s="15" t="s">
        <v>104</v>
      </c>
      <c r="F414" s="15" t="s">
        <v>657</v>
      </c>
      <c r="G414" s="15" t="s">
        <v>2099</v>
      </c>
      <c r="H414" s="16" t="n">
        <v>130</v>
      </c>
      <c r="I414" s="15" t="n">
        <v>40</v>
      </c>
      <c r="J414" s="15" t="s">
        <v>5227</v>
      </c>
      <c r="K414" s="15" t="s">
        <v>5392</v>
      </c>
      <c r="L414" s="15" t="n">
        <v>3</v>
      </c>
      <c r="M414" s="15" t="s">
        <v>5161</v>
      </c>
      <c r="N414" s="18" t="str">
        <f aca="false">IFERROR(IF(ISNUMBER(SEARCH(D414,INDEX(Pages!$J$2:$J$824,MATCH(A414,Pages!$B$2:$B$824,0)))),"Yes","No"),"Page not found")</f>
        <v>Yes</v>
      </c>
      <c r="O414" s="3" t="s">
        <v>5426</v>
      </c>
      <c r="P414" s="3"/>
    </row>
    <row r="415" customFormat="false" ht="15" hidden="false" customHeight="false" outlineLevel="0" collapsed="false">
      <c r="A415" s="15" t="s">
        <v>3203</v>
      </c>
      <c r="B415" s="15" t="s">
        <v>2076</v>
      </c>
      <c r="C415" s="15" t="s">
        <v>84</v>
      </c>
      <c r="D415" s="15" t="s">
        <v>3207</v>
      </c>
      <c r="E415" s="15" t="s">
        <v>104</v>
      </c>
      <c r="F415" s="15" t="s">
        <v>657</v>
      </c>
      <c r="G415" s="15" t="s">
        <v>2106</v>
      </c>
      <c r="H415" s="16" t="n">
        <v>130</v>
      </c>
      <c r="I415" s="15" t="n">
        <v>40</v>
      </c>
      <c r="J415" s="15" t="s">
        <v>5227</v>
      </c>
      <c r="K415" s="15" t="s">
        <v>5392</v>
      </c>
      <c r="L415" s="15" t="n">
        <v>3</v>
      </c>
      <c r="M415" s="15" t="s">
        <v>5161</v>
      </c>
      <c r="N415" s="18" t="str">
        <f aca="false">IFERROR(IF(ISNUMBER(SEARCH(D415,INDEX(Pages!$J$2:$J$824,MATCH(A415,Pages!$B$2:$B$824,0)))),"Yes","No"),"Page not found")</f>
        <v>Yes</v>
      </c>
      <c r="O415" s="3" t="s">
        <v>5426</v>
      </c>
      <c r="P415" s="3"/>
    </row>
    <row r="416" customFormat="false" ht="15" hidden="false" customHeight="false" outlineLevel="0" collapsed="false">
      <c r="A416" s="15" t="s">
        <v>1319</v>
      </c>
      <c r="B416" s="15" t="s">
        <v>656</v>
      </c>
      <c r="C416" s="15" t="s">
        <v>84</v>
      </c>
      <c r="D416" s="15" t="s">
        <v>1323</v>
      </c>
      <c r="E416" s="15" t="s">
        <v>662</v>
      </c>
      <c r="F416" s="15" t="s">
        <v>687</v>
      </c>
      <c r="G416" s="15"/>
      <c r="H416" s="16" t="n">
        <v>130</v>
      </c>
      <c r="I416" s="15" t="n">
        <v>39</v>
      </c>
      <c r="J416" s="15" t="s">
        <v>5159</v>
      </c>
      <c r="K416" s="15" t="s">
        <v>5321</v>
      </c>
      <c r="L416" s="15" t="n">
        <v>3</v>
      </c>
      <c r="M416" s="15" t="s">
        <v>5161</v>
      </c>
      <c r="N416" s="18" t="str">
        <f aca="false">IFERROR(IF(ISNUMBER(SEARCH(D416,INDEX(Pages!$J$2:$J$824,MATCH(A416,Pages!$B$2:$B$824,0)))),"Yes","No"),"Page not found")</f>
        <v>No</v>
      </c>
      <c r="O416" s="3" t="s">
        <v>5426</v>
      </c>
      <c r="P416" s="3"/>
    </row>
    <row r="417" customFormat="false" ht="23.85" hidden="false" customHeight="false" outlineLevel="0" collapsed="false">
      <c r="A417" s="15" t="s">
        <v>3407</v>
      </c>
      <c r="B417" s="15" t="s">
        <v>2076</v>
      </c>
      <c r="C417" s="15" t="s">
        <v>84</v>
      </c>
      <c r="D417" s="15" t="s">
        <v>3411</v>
      </c>
      <c r="E417" s="15" t="s">
        <v>104</v>
      </c>
      <c r="F417" s="15" t="s">
        <v>715</v>
      </c>
      <c r="G417" s="15" t="s">
        <v>2344</v>
      </c>
      <c r="H417" s="16" t="n">
        <v>130</v>
      </c>
      <c r="I417" s="15" t="n">
        <v>40</v>
      </c>
      <c r="J417" s="15" t="s">
        <v>5227</v>
      </c>
      <c r="K417" s="15" t="s">
        <v>5392</v>
      </c>
      <c r="L417" s="15" t="n">
        <v>4</v>
      </c>
      <c r="M417" s="15" t="s">
        <v>5161</v>
      </c>
      <c r="N417" s="18" t="str">
        <f aca="false">IFERROR(IF(ISNUMBER(SEARCH(D417,INDEX(Pages!$J$2:$J$824,MATCH(A417,Pages!$B$2:$B$824,0)))),"Yes","No"),"Page not found")</f>
        <v>Yes</v>
      </c>
      <c r="O417" s="3" t="s">
        <v>5426</v>
      </c>
      <c r="P417" s="3" t="s">
        <v>5483</v>
      </c>
    </row>
    <row r="418" customFormat="false" ht="15" hidden="false" customHeight="false" outlineLevel="0" collapsed="false">
      <c r="A418" s="15" t="s">
        <v>3479</v>
      </c>
      <c r="B418" s="15" t="s">
        <v>2076</v>
      </c>
      <c r="C418" s="15" t="s">
        <v>84</v>
      </c>
      <c r="D418" s="15" t="s">
        <v>3483</v>
      </c>
      <c r="E418" s="15" t="s">
        <v>104</v>
      </c>
      <c r="F418" s="15" t="s">
        <v>729</v>
      </c>
      <c r="G418" s="15" t="s">
        <v>2428</v>
      </c>
      <c r="H418" s="16" t="n">
        <v>130</v>
      </c>
      <c r="I418" s="15" t="n">
        <v>52</v>
      </c>
      <c r="J418" s="15" t="s">
        <v>5227</v>
      </c>
      <c r="K418" s="15" t="s">
        <v>5392</v>
      </c>
      <c r="L418" s="15" t="n">
        <v>5</v>
      </c>
      <c r="M418" s="15" t="s">
        <v>5161</v>
      </c>
      <c r="N418" s="18" t="str">
        <f aca="false">IFERROR(IF(ISNUMBER(SEARCH(D418,INDEX(Pages!$J$2:$J$824,MATCH(A418,Pages!$B$2:$B$824,0)))),"Yes","No"),"Page not found")</f>
        <v>Yes</v>
      </c>
      <c r="O418" s="3" t="s">
        <v>5408</v>
      </c>
      <c r="P418" s="3" t="s">
        <v>5427</v>
      </c>
    </row>
    <row r="419" customFormat="false" ht="15" hidden="false" customHeight="false" outlineLevel="0" collapsed="false">
      <c r="A419" s="15" t="s">
        <v>4819</v>
      </c>
      <c r="B419" s="15" t="s">
        <v>4572</v>
      </c>
      <c r="C419" s="15" t="s">
        <v>94</v>
      </c>
      <c r="D419" s="15" t="s">
        <v>4823</v>
      </c>
      <c r="E419" s="15" t="s">
        <v>104</v>
      </c>
      <c r="F419" s="15" t="s">
        <v>715</v>
      </c>
      <c r="G419" s="15" t="s">
        <v>2302</v>
      </c>
      <c r="H419" s="16" t="n">
        <v>130</v>
      </c>
      <c r="I419" s="15" t="n">
        <v>30</v>
      </c>
      <c r="J419" s="15" t="s">
        <v>5227</v>
      </c>
      <c r="K419" s="15" t="s">
        <v>5243</v>
      </c>
      <c r="L419" s="15" t="n">
        <v>3</v>
      </c>
      <c r="M419" s="15" t="s">
        <v>5161</v>
      </c>
      <c r="N419" s="18" t="str">
        <f aca="false">IFERROR(IF(ISNUMBER(SEARCH(D419,INDEX(Pages!$J$2:$J$824,MATCH(A419,Pages!$B$2:$B$824,0)))),"Yes","No"),"Page not found")</f>
        <v>No</v>
      </c>
      <c r="O419" s="3" t="s">
        <v>5471</v>
      </c>
      <c r="P419" s="3" t="s">
        <v>5472</v>
      </c>
    </row>
    <row r="420" customFormat="false" ht="15" hidden="false" customHeight="false" outlineLevel="0" collapsed="false">
      <c r="A420" s="15" t="s">
        <v>3563</v>
      </c>
      <c r="B420" s="15" t="s">
        <v>2076</v>
      </c>
      <c r="C420" s="15" t="s">
        <v>74</v>
      </c>
      <c r="D420" s="15" t="s">
        <v>3567</v>
      </c>
      <c r="E420" s="15" t="s">
        <v>104</v>
      </c>
      <c r="F420" s="15" t="s">
        <v>666</v>
      </c>
      <c r="G420" s="15" t="s">
        <v>2120</v>
      </c>
      <c r="H420" s="16" t="n">
        <v>130</v>
      </c>
      <c r="I420" s="15" t="n">
        <v>35</v>
      </c>
      <c r="J420" s="15" t="s">
        <v>5227</v>
      </c>
      <c r="K420" s="15" t="s">
        <v>5444</v>
      </c>
      <c r="L420" s="15" t="n">
        <v>2</v>
      </c>
      <c r="M420" s="15" t="s">
        <v>5161</v>
      </c>
      <c r="N420" s="18" t="str">
        <f aca="false">IFERROR(IF(ISNUMBER(SEARCH(D420,INDEX(Pages!$J$2:$J$824,MATCH(A420,Pages!$B$2:$B$824,0)))),"Yes","No"),"Page not found")</f>
        <v>Yes</v>
      </c>
      <c r="O420" s="3" t="s">
        <v>5426</v>
      </c>
      <c r="P420" s="3"/>
    </row>
    <row r="421" customFormat="false" ht="15" hidden="false" customHeight="false" outlineLevel="0" collapsed="false">
      <c r="A421" s="15" t="s">
        <v>3707</v>
      </c>
      <c r="B421" s="15" t="s">
        <v>2076</v>
      </c>
      <c r="C421" s="15" t="s">
        <v>74</v>
      </c>
      <c r="D421" s="15" t="s">
        <v>3711</v>
      </c>
      <c r="E421" s="15" t="s">
        <v>104</v>
      </c>
      <c r="F421" s="15" t="s">
        <v>715</v>
      </c>
      <c r="G421" s="15" t="s">
        <v>2288</v>
      </c>
      <c r="H421" s="16" t="n">
        <v>130</v>
      </c>
      <c r="I421" s="15" t="n">
        <v>43</v>
      </c>
      <c r="J421" s="15" t="s">
        <v>5227</v>
      </c>
      <c r="K421" s="15" t="s">
        <v>5444</v>
      </c>
      <c r="L421" s="15" t="n">
        <v>2</v>
      </c>
      <c r="M421" s="15" t="s">
        <v>5161</v>
      </c>
      <c r="N421" s="18" t="str">
        <f aca="false">IFERROR(IF(ISNUMBER(SEARCH(D421,INDEX(Pages!$J$2:$J$824,MATCH(A421,Pages!$B$2:$B$824,0)))),"Yes","No"),"Page not found")</f>
        <v>Yes</v>
      </c>
      <c r="O421" s="3" t="s">
        <v>5426</v>
      </c>
      <c r="P421" s="3"/>
    </row>
    <row r="422" customFormat="false" ht="15" hidden="false" customHeight="false" outlineLevel="0" collapsed="false">
      <c r="A422" s="15" t="s">
        <v>3863</v>
      </c>
      <c r="B422" s="15" t="s">
        <v>2076</v>
      </c>
      <c r="C422" s="15" t="s">
        <v>74</v>
      </c>
      <c r="D422" s="15" t="s">
        <v>3867</v>
      </c>
      <c r="E422" s="15" t="s">
        <v>104</v>
      </c>
      <c r="F422" s="15" t="s">
        <v>736</v>
      </c>
      <c r="G422" s="15" t="s">
        <v>2470</v>
      </c>
      <c r="H422" s="16" t="n">
        <v>130</v>
      </c>
      <c r="I422" s="15" t="n">
        <v>35</v>
      </c>
      <c r="J422" s="15" t="s">
        <v>5227</v>
      </c>
      <c r="K422" s="15" t="s">
        <v>5444</v>
      </c>
      <c r="L422" s="15" t="n">
        <v>2</v>
      </c>
      <c r="M422" s="15" t="s">
        <v>5161</v>
      </c>
      <c r="N422" s="18" t="str">
        <f aca="false">IFERROR(IF(ISNUMBER(SEARCH(D422,INDEX(Pages!$J$2:$J$824,MATCH(A422,Pages!$B$2:$B$824,0)))),"Yes","No"),"Page not found")</f>
        <v>Yes</v>
      </c>
      <c r="O422" s="3" t="s">
        <v>5426</v>
      </c>
      <c r="P422" s="3"/>
    </row>
    <row r="423" customFormat="false" ht="15" hidden="false" customHeight="false" outlineLevel="0" collapsed="false">
      <c r="A423" s="15" t="s">
        <v>4253</v>
      </c>
      <c r="B423" s="15" t="s">
        <v>2076</v>
      </c>
      <c r="C423" s="15" t="s">
        <v>86</v>
      </c>
      <c r="D423" s="15" t="s">
        <v>4257</v>
      </c>
      <c r="E423" s="15" t="s">
        <v>104</v>
      </c>
      <c r="F423" s="15" t="s">
        <v>666</v>
      </c>
      <c r="G423" s="15" t="s">
        <v>2113</v>
      </c>
      <c r="H423" s="16" t="n">
        <v>130</v>
      </c>
      <c r="I423" s="15" t="n">
        <v>32</v>
      </c>
      <c r="J423" s="15" t="s">
        <v>5227</v>
      </c>
      <c r="K423" s="15" t="s">
        <v>5392</v>
      </c>
      <c r="L423" s="15" t="n">
        <v>4</v>
      </c>
      <c r="M423" s="15" t="s">
        <v>5161</v>
      </c>
      <c r="N423" s="18" t="str">
        <f aca="false">IFERROR(IF(ISNUMBER(SEARCH(D423,INDEX(Pages!$J$2:$J$824,MATCH(A423,Pages!$B$2:$B$824,0)))),"Yes","No"),"Page not found")</f>
        <v>Yes</v>
      </c>
      <c r="O423" s="3" t="s">
        <v>5426</v>
      </c>
      <c r="P423" s="3"/>
    </row>
    <row r="424" customFormat="false" ht="15" hidden="false" customHeight="false" outlineLevel="0" collapsed="false">
      <c r="A424" s="15" t="s">
        <v>1799</v>
      </c>
      <c r="B424" s="15" t="s">
        <v>656</v>
      </c>
      <c r="C424" s="15" t="s">
        <v>86</v>
      </c>
      <c r="D424" s="15" t="s">
        <v>1803</v>
      </c>
      <c r="E424" s="15" t="s">
        <v>662</v>
      </c>
      <c r="F424" s="15" t="s">
        <v>701</v>
      </c>
      <c r="G424" s="15"/>
      <c r="H424" s="16" t="n">
        <v>130</v>
      </c>
      <c r="I424" s="15" t="n">
        <v>36</v>
      </c>
      <c r="J424" s="15" t="s">
        <v>5159</v>
      </c>
      <c r="K424" s="15" t="s">
        <v>5321</v>
      </c>
      <c r="L424" s="15" t="n">
        <v>5</v>
      </c>
      <c r="M424" s="15" t="s">
        <v>5161</v>
      </c>
      <c r="N424" s="18" t="str">
        <f aca="false">IFERROR(IF(ISNUMBER(SEARCH(D424,INDEX(Pages!$J$2:$J$824,MATCH(A424,Pages!$B$2:$B$824,0)))),"Yes","No"),"Page not found")</f>
        <v>No</v>
      </c>
      <c r="O424" s="3" t="s">
        <v>5376</v>
      </c>
      <c r="P424" s="3"/>
    </row>
    <row r="425" customFormat="false" ht="15" hidden="false" customHeight="false" outlineLevel="0" collapsed="false">
      <c r="A425" s="15" t="s">
        <v>2441</v>
      </c>
      <c r="B425" s="15" t="s">
        <v>2076</v>
      </c>
      <c r="C425" s="15" t="s">
        <v>89</v>
      </c>
      <c r="D425" s="15" t="s">
        <v>2446</v>
      </c>
      <c r="E425" s="15" t="s">
        <v>104</v>
      </c>
      <c r="F425" s="15" t="s">
        <v>729</v>
      </c>
      <c r="G425" s="15" t="s">
        <v>2442</v>
      </c>
      <c r="H425" s="16" t="n">
        <v>120</v>
      </c>
      <c r="I425" s="15" t="n">
        <v>33</v>
      </c>
      <c r="J425" s="15" t="s">
        <v>5227</v>
      </c>
      <c r="K425" s="15" t="s">
        <v>5473</v>
      </c>
      <c r="L425" s="15" t="n">
        <v>3</v>
      </c>
      <c r="M425" s="15" t="s">
        <v>5161</v>
      </c>
      <c r="N425" s="18" t="str">
        <f aca="false">IFERROR(IF(ISNUMBER(SEARCH(D425,INDEX(Pages!$J$2:$J$824,MATCH(A425,Pages!$B$2:$B$824,0)))),"Yes","No"),"Page not found")</f>
        <v>Yes</v>
      </c>
      <c r="O425" s="3" t="s">
        <v>5426</v>
      </c>
      <c r="P425" s="3" t="s">
        <v>5427</v>
      </c>
    </row>
    <row r="426" customFormat="false" ht="23.85" hidden="false" customHeight="false" outlineLevel="0" collapsed="false">
      <c r="A426" s="15" t="s">
        <v>2807</v>
      </c>
      <c r="B426" s="15" t="s">
        <v>2076</v>
      </c>
      <c r="C426" s="15" t="s">
        <v>82</v>
      </c>
      <c r="D426" s="15" t="s">
        <v>2811</v>
      </c>
      <c r="E426" s="15" t="s">
        <v>104</v>
      </c>
      <c r="F426" s="15" t="s">
        <v>729</v>
      </c>
      <c r="G426" s="15" t="s">
        <v>2456</v>
      </c>
      <c r="H426" s="16" t="n">
        <v>120</v>
      </c>
      <c r="I426" s="15" t="n">
        <v>44</v>
      </c>
      <c r="J426" s="15" t="s">
        <v>5227</v>
      </c>
      <c r="K426" s="15" t="s">
        <v>5228</v>
      </c>
      <c r="L426" s="15" t="n">
        <v>5</v>
      </c>
      <c r="M426" s="15" t="s">
        <v>5161</v>
      </c>
      <c r="N426" s="18" t="str">
        <f aca="false">IFERROR(IF(ISNUMBER(SEARCH(D426,INDEX(Pages!$J$2:$J$824,MATCH(A426,Pages!$B$2:$B$824,0)))),"Yes","No"),"Page not found")</f>
        <v>Yes</v>
      </c>
      <c r="O426" s="3" t="s">
        <v>5426</v>
      </c>
      <c r="P426" s="3" t="s">
        <v>5497</v>
      </c>
    </row>
    <row r="427" customFormat="false" ht="15" hidden="false" customHeight="false" outlineLevel="0" collapsed="false">
      <c r="A427" s="15" t="s">
        <v>3143</v>
      </c>
      <c r="B427" s="15" t="s">
        <v>2076</v>
      </c>
      <c r="C427" s="15" t="s">
        <v>85</v>
      </c>
      <c r="D427" s="15" t="s">
        <v>3147</v>
      </c>
      <c r="E427" s="15" t="s">
        <v>104</v>
      </c>
      <c r="F427" s="15" t="s">
        <v>729</v>
      </c>
      <c r="G427" s="15" t="s">
        <v>2442</v>
      </c>
      <c r="H427" s="16" t="n">
        <v>120</v>
      </c>
      <c r="I427" s="15" t="n">
        <v>40</v>
      </c>
      <c r="J427" s="15" t="s">
        <v>5227</v>
      </c>
      <c r="K427" s="15" t="s">
        <v>5392</v>
      </c>
      <c r="L427" s="15" t="n">
        <v>5</v>
      </c>
      <c r="M427" s="15" t="s">
        <v>5161</v>
      </c>
      <c r="N427" s="18" t="str">
        <f aca="false">IFERROR(IF(ISNUMBER(SEARCH(D427,INDEX(Pages!$J$2:$J$824,MATCH(A427,Pages!$B$2:$B$824,0)))),"Yes","No"),"Page not found")</f>
        <v>Yes</v>
      </c>
      <c r="O427" s="3" t="s">
        <v>5426</v>
      </c>
      <c r="P427" s="3" t="s">
        <v>5427</v>
      </c>
    </row>
    <row r="428" customFormat="false" ht="15" hidden="false" customHeight="false" outlineLevel="0" collapsed="false">
      <c r="A428" s="15" t="s">
        <v>1283</v>
      </c>
      <c r="B428" s="15" t="s">
        <v>656</v>
      </c>
      <c r="C428" s="15" t="s">
        <v>78</v>
      </c>
      <c r="D428" s="15" t="s">
        <v>1287</v>
      </c>
      <c r="E428" s="15" t="s">
        <v>662</v>
      </c>
      <c r="F428" s="15" t="s">
        <v>736</v>
      </c>
      <c r="G428" s="15"/>
      <c r="H428" s="16" t="n">
        <v>120</v>
      </c>
      <c r="I428" s="15" t="n">
        <v>39</v>
      </c>
      <c r="J428" s="15" t="s">
        <v>5159</v>
      </c>
      <c r="K428" s="15" t="s">
        <v>5418</v>
      </c>
      <c r="L428" s="15" t="n">
        <v>3</v>
      </c>
      <c r="M428" s="15" t="s">
        <v>5161</v>
      </c>
      <c r="N428" s="18" t="str">
        <f aca="false">IFERROR(IF(ISNUMBER(SEARCH(D428,INDEX(Pages!$J$2:$J$824,MATCH(A428,Pages!$B$2:$B$824,0)))),"Yes","No"),"Page not found")</f>
        <v>No</v>
      </c>
      <c r="O428" s="3" t="s">
        <v>5426</v>
      </c>
      <c r="P428" s="3"/>
    </row>
    <row r="429" customFormat="false" ht="15" hidden="false" customHeight="false" outlineLevel="0" collapsed="false">
      <c r="A429" s="15" t="s">
        <v>3257</v>
      </c>
      <c r="B429" s="15" t="s">
        <v>2076</v>
      </c>
      <c r="C429" s="15" t="s">
        <v>84</v>
      </c>
      <c r="D429" s="15" t="s">
        <v>3261</v>
      </c>
      <c r="E429" s="15" t="s">
        <v>104</v>
      </c>
      <c r="F429" s="15" t="s">
        <v>666</v>
      </c>
      <c r="G429" s="15" t="s">
        <v>2169</v>
      </c>
      <c r="H429" s="16" t="n">
        <v>120</v>
      </c>
      <c r="I429" s="15" t="n">
        <v>52</v>
      </c>
      <c r="J429" s="15" t="s">
        <v>5227</v>
      </c>
      <c r="K429" s="15" t="s">
        <v>5392</v>
      </c>
      <c r="L429" s="15" t="n">
        <v>4</v>
      </c>
      <c r="M429" s="15" t="s">
        <v>5161</v>
      </c>
      <c r="N429" s="18" t="str">
        <f aca="false">IFERROR(IF(ISNUMBER(SEARCH(D429,INDEX(Pages!$J$2:$J$824,MATCH(A429,Pages!$B$2:$B$824,0)))),"Yes","No"),"Page not found")</f>
        <v>Yes</v>
      </c>
      <c r="O429" s="3" t="s">
        <v>5376</v>
      </c>
      <c r="P429" s="3"/>
    </row>
    <row r="430" customFormat="false" ht="15" hidden="false" customHeight="false" outlineLevel="0" collapsed="false">
      <c r="A430" s="15" t="s">
        <v>4891</v>
      </c>
      <c r="B430" s="15" t="s">
        <v>4572</v>
      </c>
      <c r="C430" s="15" t="s">
        <v>94</v>
      </c>
      <c r="D430" s="15" t="s">
        <v>4895</v>
      </c>
      <c r="E430" s="15" t="s">
        <v>104</v>
      </c>
      <c r="F430" s="15" t="s">
        <v>715</v>
      </c>
      <c r="G430" s="15" t="s">
        <v>2386</v>
      </c>
      <c r="H430" s="16" t="n">
        <v>120</v>
      </c>
      <c r="I430" s="15" t="n">
        <v>30</v>
      </c>
      <c r="J430" s="15" t="s">
        <v>5227</v>
      </c>
      <c r="K430" s="15" t="s">
        <v>5243</v>
      </c>
      <c r="L430" s="15" t="n">
        <v>3</v>
      </c>
      <c r="M430" s="15" t="s">
        <v>5161</v>
      </c>
      <c r="N430" s="18" t="str">
        <f aca="false">IFERROR(IF(ISNUMBER(SEARCH(D430,INDEX(Pages!$J$2:$J$824,MATCH(A430,Pages!$B$2:$B$824,0)))),"Yes","No"),"Page not found")</f>
        <v>No</v>
      </c>
      <c r="O430" s="3" t="s">
        <v>5471</v>
      </c>
      <c r="P430" s="3" t="s">
        <v>5472</v>
      </c>
    </row>
    <row r="431" customFormat="false" ht="23.85" hidden="false" customHeight="false" outlineLevel="0" collapsed="false">
      <c r="A431" s="15" t="s">
        <v>3809</v>
      </c>
      <c r="B431" s="15" t="s">
        <v>2076</v>
      </c>
      <c r="C431" s="15" t="s">
        <v>74</v>
      </c>
      <c r="D431" s="15" t="s">
        <v>3813</v>
      </c>
      <c r="E431" s="15" t="s">
        <v>104</v>
      </c>
      <c r="F431" s="15" t="s">
        <v>715</v>
      </c>
      <c r="G431" s="15" t="s">
        <v>2407</v>
      </c>
      <c r="H431" s="16" t="n">
        <v>120</v>
      </c>
      <c r="I431" s="15" t="n">
        <v>47</v>
      </c>
      <c r="J431" s="15" t="s">
        <v>5227</v>
      </c>
      <c r="K431" s="15" t="s">
        <v>5444</v>
      </c>
      <c r="L431" s="15" t="n">
        <v>2</v>
      </c>
      <c r="M431" s="15" t="s">
        <v>5161</v>
      </c>
      <c r="N431" s="18" t="str">
        <f aca="false">IFERROR(IF(ISNUMBER(SEARCH(D431,INDEX(Pages!$J$2:$J$824,MATCH(A431,Pages!$B$2:$B$824,0)))),"Yes","No"),"Page not found")</f>
        <v>Yes</v>
      </c>
      <c r="O431" s="3" t="s">
        <v>5488</v>
      </c>
      <c r="P431" s="3" t="s">
        <v>5230</v>
      </c>
    </row>
    <row r="432" customFormat="false" ht="15" hidden="false" customHeight="false" outlineLevel="0" collapsed="false">
      <c r="A432" s="15" t="s">
        <v>3857</v>
      </c>
      <c r="B432" s="15" t="s">
        <v>2076</v>
      </c>
      <c r="C432" s="15" t="s">
        <v>74</v>
      </c>
      <c r="D432" s="15" t="s">
        <v>3861</v>
      </c>
      <c r="E432" s="15" t="s">
        <v>104</v>
      </c>
      <c r="F432" s="15" t="s">
        <v>736</v>
      </c>
      <c r="G432" s="15" t="s">
        <v>2463</v>
      </c>
      <c r="H432" s="16" t="n">
        <v>120</v>
      </c>
      <c r="I432" s="15" t="n">
        <v>35</v>
      </c>
      <c r="J432" s="15" t="s">
        <v>5227</v>
      </c>
      <c r="K432" s="15" t="s">
        <v>5444</v>
      </c>
      <c r="L432" s="15" t="n">
        <v>2</v>
      </c>
      <c r="M432" s="15" t="s">
        <v>5161</v>
      </c>
      <c r="N432" s="18" t="str">
        <f aca="false">IFERROR(IF(ISNUMBER(SEARCH(D432,INDEX(Pages!$J$2:$J$824,MATCH(A432,Pages!$B$2:$B$824,0)))),"Yes","No"),"Page not found")</f>
        <v>Yes</v>
      </c>
      <c r="O432" s="3" t="s">
        <v>5426</v>
      </c>
      <c r="P432" s="3"/>
    </row>
    <row r="433" customFormat="false" ht="15" hidden="false" customHeight="false" outlineLevel="0" collapsed="false">
      <c r="A433" s="15" t="s">
        <v>4265</v>
      </c>
      <c r="B433" s="15" t="s">
        <v>2076</v>
      </c>
      <c r="C433" s="15" t="s">
        <v>86</v>
      </c>
      <c r="D433" s="15" t="s">
        <v>4269</v>
      </c>
      <c r="E433" s="15" t="s">
        <v>104</v>
      </c>
      <c r="F433" s="15" t="s">
        <v>666</v>
      </c>
      <c r="G433" s="15" t="s">
        <v>2127</v>
      </c>
      <c r="H433" s="16" t="n">
        <v>120</v>
      </c>
      <c r="I433" s="15" t="n">
        <v>32</v>
      </c>
      <c r="J433" s="15" t="s">
        <v>5227</v>
      </c>
      <c r="K433" s="15" t="s">
        <v>5392</v>
      </c>
      <c r="L433" s="15" t="n">
        <v>4</v>
      </c>
      <c r="M433" s="15" t="s">
        <v>5161</v>
      </c>
      <c r="N433" s="18" t="str">
        <f aca="false">IFERROR(IF(ISNUMBER(SEARCH(D433,INDEX(Pages!$J$2:$J$824,MATCH(A433,Pages!$B$2:$B$824,0)))),"Yes","No"),"Page not found")</f>
        <v>Yes</v>
      </c>
      <c r="O433" s="3" t="s">
        <v>5426</v>
      </c>
      <c r="P433" s="3"/>
    </row>
    <row r="434" customFormat="false" ht="15" hidden="false" customHeight="false" outlineLevel="0" collapsed="false">
      <c r="A434" s="15" t="s">
        <v>4271</v>
      </c>
      <c r="B434" s="15" t="s">
        <v>2076</v>
      </c>
      <c r="C434" s="15" t="s">
        <v>86</v>
      </c>
      <c r="D434" s="15" t="s">
        <v>4275</v>
      </c>
      <c r="E434" s="15" t="s">
        <v>104</v>
      </c>
      <c r="F434" s="15" t="s">
        <v>666</v>
      </c>
      <c r="G434" s="15" t="s">
        <v>2134</v>
      </c>
      <c r="H434" s="16" t="n">
        <v>120</v>
      </c>
      <c r="I434" s="15" t="n">
        <v>40</v>
      </c>
      <c r="J434" s="15" t="s">
        <v>5227</v>
      </c>
      <c r="K434" s="15" t="s">
        <v>5392</v>
      </c>
      <c r="L434" s="15" t="n">
        <v>5</v>
      </c>
      <c r="M434" s="15" t="s">
        <v>5161</v>
      </c>
      <c r="N434" s="18" t="str">
        <f aca="false">IFERROR(IF(ISNUMBER(SEARCH(D434,INDEX(Pages!$J$2:$J$824,MATCH(A434,Pages!$B$2:$B$824,0)))),"Yes","No"),"Page not found")</f>
        <v>Yes</v>
      </c>
      <c r="O434" s="3" t="s">
        <v>5426</v>
      </c>
      <c r="P434" s="3"/>
    </row>
    <row r="435" customFormat="false" ht="15" hidden="false" customHeight="false" outlineLevel="0" collapsed="false">
      <c r="A435" s="15" t="s">
        <v>4361</v>
      </c>
      <c r="B435" s="15" t="s">
        <v>2076</v>
      </c>
      <c r="C435" s="15" t="s">
        <v>86</v>
      </c>
      <c r="D435" s="15" t="s">
        <v>4365</v>
      </c>
      <c r="E435" s="15" t="s">
        <v>104</v>
      </c>
      <c r="F435" s="15" t="s">
        <v>715</v>
      </c>
      <c r="G435" s="15" t="s">
        <v>2239</v>
      </c>
      <c r="H435" s="16" t="n">
        <v>120</v>
      </c>
      <c r="I435" s="15" t="n">
        <v>40</v>
      </c>
      <c r="J435" s="15" t="s">
        <v>5227</v>
      </c>
      <c r="K435" s="15" t="s">
        <v>5392</v>
      </c>
      <c r="L435" s="15" t="n">
        <v>5</v>
      </c>
      <c r="M435" s="15" t="s">
        <v>5161</v>
      </c>
      <c r="N435" s="18" t="str">
        <f aca="false">IFERROR(IF(ISNUMBER(SEARCH(D435,INDEX(Pages!$J$2:$J$824,MATCH(A435,Pages!$B$2:$B$824,0)))),"Yes","No"),"Page not found")</f>
        <v>Yes</v>
      </c>
      <c r="O435" s="3" t="s">
        <v>5426</v>
      </c>
      <c r="P435" s="3"/>
    </row>
    <row r="436" customFormat="false" ht="23.85" hidden="false" customHeight="false" outlineLevel="0" collapsed="false">
      <c r="A436" s="15" t="s">
        <v>4379</v>
      </c>
      <c r="B436" s="15" t="s">
        <v>2076</v>
      </c>
      <c r="C436" s="15" t="s">
        <v>86</v>
      </c>
      <c r="D436" s="15" t="s">
        <v>4383</v>
      </c>
      <c r="E436" s="15" t="s">
        <v>104</v>
      </c>
      <c r="F436" s="15" t="s">
        <v>715</v>
      </c>
      <c r="G436" s="15" t="s">
        <v>2260</v>
      </c>
      <c r="H436" s="16" t="n">
        <v>120</v>
      </c>
      <c r="I436" s="15" t="n">
        <v>32</v>
      </c>
      <c r="J436" s="15" t="s">
        <v>5227</v>
      </c>
      <c r="K436" s="15" t="s">
        <v>5392</v>
      </c>
      <c r="L436" s="15" t="n">
        <v>5</v>
      </c>
      <c r="M436" s="15" t="s">
        <v>5161</v>
      </c>
      <c r="N436" s="18" t="str">
        <f aca="false">IFERROR(IF(ISNUMBER(SEARCH(D436,INDEX(Pages!$J$2:$J$824,MATCH(A436,Pages!$B$2:$B$824,0)))),"Yes","No"),"Page not found")</f>
        <v>Yes</v>
      </c>
      <c r="O436" s="3" t="s">
        <v>5426</v>
      </c>
      <c r="P436" s="3" t="s">
        <v>5483</v>
      </c>
    </row>
    <row r="437" customFormat="false" ht="15" hidden="false" customHeight="false" outlineLevel="0" collapsed="false">
      <c r="A437" s="15" t="s">
        <v>4385</v>
      </c>
      <c r="B437" s="15" t="s">
        <v>2076</v>
      </c>
      <c r="C437" s="15" t="s">
        <v>86</v>
      </c>
      <c r="D437" s="15" t="s">
        <v>4389</v>
      </c>
      <c r="E437" s="15" t="s">
        <v>104</v>
      </c>
      <c r="F437" s="15" t="s">
        <v>715</v>
      </c>
      <c r="G437" s="15" t="s">
        <v>2267</v>
      </c>
      <c r="H437" s="16" t="n">
        <v>120</v>
      </c>
      <c r="I437" s="15" t="n">
        <v>40</v>
      </c>
      <c r="J437" s="15" t="s">
        <v>5227</v>
      </c>
      <c r="K437" s="15" t="s">
        <v>5392</v>
      </c>
      <c r="L437" s="15" t="n">
        <v>5</v>
      </c>
      <c r="M437" s="15" t="s">
        <v>5161</v>
      </c>
      <c r="N437" s="18" t="str">
        <f aca="false">IFERROR(IF(ISNUMBER(SEARCH(D437,INDEX(Pages!$J$2:$J$824,MATCH(A437,Pages!$B$2:$B$824,0)))),"Yes","No"),"Page not found")</f>
        <v>Yes</v>
      </c>
      <c r="O437" s="3" t="s">
        <v>5426</v>
      </c>
      <c r="P437" s="3"/>
    </row>
    <row r="438" customFormat="false" ht="15" hidden="false" customHeight="false" outlineLevel="0" collapsed="false">
      <c r="A438" s="15" t="s">
        <v>4463</v>
      </c>
      <c r="B438" s="15" t="s">
        <v>2076</v>
      </c>
      <c r="C438" s="15" t="s">
        <v>86</v>
      </c>
      <c r="D438" s="15" t="s">
        <v>4467</v>
      </c>
      <c r="E438" s="15" t="s">
        <v>104</v>
      </c>
      <c r="F438" s="15" t="s">
        <v>715</v>
      </c>
      <c r="G438" s="15" t="s">
        <v>2358</v>
      </c>
      <c r="H438" s="16" t="n">
        <v>120</v>
      </c>
      <c r="I438" s="15" t="n">
        <v>40</v>
      </c>
      <c r="J438" s="15" t="s">
        <v>5227</v>
      </c>
      <c r="K438" s="15" t="s">
        <v>5392</v>
      </c>
      <c r="L438" s="15" t="n">
        <v>5</v>
      </c>
      <c r="M438" s="15" t="s">
        <v>5161</v>
      </c>
      <c r="N438" s="18" t="str">
        <f aca="false">IFERROR(IF(ISNUMBER(SEARCH(D438,INDEX(Pages!$J$2:$J$824,MATCH(A438,Pages!$B$2:$B$824,0)))),"Yes","No"),"Page not found")</f>
        <v>No</v>
      </c>
      <c r="O438" s="3" t="s">
        <v>5426</v>
      </c>
      <c r="P438" s="3"/>
    </row>
    <row r="439" customFormat="false" ht="23.85" hidden="false" customHeight="false" outlineLevel="0" collapsed="false">
      <c r="A439" s="15" t="s">
        <v>4499</v>
      </c>
      <c r="B439" s="15" t="s">
        <v>2076</v>
      </c>
      <c r="C439" s="15" t="s">
        <v>86</v>
      </c>
      <c r="D439" s="15" t="s">
        <v>4503</v>
      </c>
      <c r="E439" s="15" t="s">
        <v>104</v>
      </c>
      <c r="F439" s="15" t="s">
        <v>715</v>
      </c>
      <c r="G439" s="15" t="s">
        <v>2400</v>
      </c>
      <c r="H439" s="16" t="n">
        <v>120</v>
      </c>
      <c r="I439" s="15" t="n">
        <v>32</v>
      </c>
      <c r="J439" s="15" t="s">
        <v>5227</v>
      </c>
      <c r="K439" s="15" t="s">
        <v>5392</v>
      </c>
      <c r="L439" s="15" t="n">
        <v>5</v>
      </c>
      <c r="M439" s="15" t="s">
        <v>5161</v>
      </c>
      <c r="N439" s="18" t="str">
        <f aca="false">IFERROR(IF(ISNUMBER(SEARCH(D439,INDEX(Pages!$J$2:$J$824,MATCH(A439,Pages!$B$2:$B$824,0)))),"Yes","No"),"Page not found")</f>
        <v>Yes</v>
      </c>
      <c r="O439" s="3" t="s">
        <v>5426</v>
      </c>
      <c r="P439" s="3" t="s">
        <v>5483</v>
      </c>
    </row>
    <row r="440" customFormat="false" ht="15" hidden="false" customHeight="false" outlineLevel="0" collapsed="false">
      <c r="A440" s="15" t="s">
        <v>2301</v>
      </c>
      <c r="B440" s="15" t="s">
        <v>2076</v>
      </c>
      <c r="C440" s="15" t="s">
        <v>89</v>
      </c>
      <c r="D440" s="15" t="s">
        <v>2306</v>
      </c>
      <c r="E440" s="15" t="s">
        <v>104</v>
      </c>
      <c r="F440" s="15" t="s">
        <v>715</v>
      </c>
      <c r="G440" s="15" t="s">
        <v>2302</v>
      </c>
      <c r="H440" s="16" t="n">
        <v>110</v>
      </c>
      <c r="I440" s="15" t="n">
        <v>41</v>
      </c>
      <c r="J440" s="15" t="s">
        <v>5227</v>
      </c>
      <c r="K440" s="15" t="s">
        <v>5473</v>
      </c>
      <c r="L440" s="15" t="n">
        <v>2</v>
      </c>
      <c r="M440" s="15" t="s">
        <v>5161</v>
      </c>
      <c r="N440" s="18" t="str">
        <f aca="false">IFERROR(IF(ISNUMBER(SEARCH(D440,INDEX(Pages!$J$2:$J$824,MATCH(A440,Pages!$B$2:$B$824,0)))),"Yes","No"),"Page not found")</f>
        <v>Yes</v>
      </c>
      <c r="O440" s="3" t="s">
        <v>5426</v>
      </c>
      <c r="P440" s="3"/>
    </row>
    <row r="441" customFormat="false" ht="15" hidden="false" customHeight="false" outlineLevel="0" collapsed="false">
      <c r="A441" s="15" t="s">
        <v>2385</v>
      </c>
      <c r="B441" s="15" t="s">
        <v>2076</v>
      </c>
      <c r="C441" s="15" t="s">
        <v>89</v>
      </c>
      <c r="D441" s="15" t="s">
        <v>2390</v>
      </c>
      <c r="E441" s="15" t="s">
        <v>104</v>
      </c>
      <c r="F441" s="15" t="s">
        <v>715</v>
      </c>
      <c r="G441" s="15" t="s">
        <v>2386</v>
      </c>
      <c r="H441" s="16" t="n">
        <v>110</v>
      </c>
      <c r="I441" s="15" t="n">
        <v>41</v>
      </c>
      <c r="J441" s="15" t="s">
        <v>5227</v>
      </c>
      <c r="K441" s="15" t="s">
        <v>5473</v>
      </c>
      <c r="L441" s="15" t="n">
        <v>2</v>
      </c>
      <c r="M441" s="15" t="s">
        <v>5161</v>
      </c>
      <c r="N441" s="18" t="str">
        <f aca="false">IFERROR(IF(ISNUMBER(SEARCH(D441,INDEX(Pages!$J$2:$J$824,MATCH(A441,Pages!$B$2:$B$824,0)))),"Yes","No"),"Page not found")</f>
        <v>Yes</v>
      </c>
      <c r="O441" s="3" t="s">
        <v>5426</v>
      </c>
      <c r="P441" s="3"/>
    </row>
    <row r="442" customFormat="false" ht="15" hidden="false" customHeight="false" outlineLevel="0" collapsed="false">
      <c r="A442" s="15" t="s">
        <v>735</v>
      </c>
      <c r="B442" s="15" t="s">
        <v>656</v>
      </c>
      <c r="C442" s="15" t="s">
        <v>89</v>
      </c>
      <c r="D442" s="15" t="s">
        <v>740</v>
      </c>
      <c r="E442" s="15" t="s">
        <v>662</v>
      </c>
      <c r="F442" s="15" t="s">
        <v>736</v>
      </c>
      <c r="G442" s="15"/>
      <c r="H442" s="16" t="n">
        <v>110</v>
      </c>
      <c r="I442" s="15" t="n">
        <v>34</v>
      </c>
      <c r="J442" s="15" t="s">
        <v>5159</v>
      </c>
      <c r="K442" s="15" t="s">
        <v>5425</v>
      </c>
      <c r="L442" s="15" t="n">
        <v>2</v>
      </c>
      <c r="M442" s="15" t="s">
        <v>5161</v>
      </c>
      <c r="N442" s="18" t="str">
        <f aca="false">IFERROR(IF(ISNUMBER(SEARCH(D442,INDEX(Pages!$J$2:$J$824,MATCH(A442,Pages!$B$2:$B$824,0)))),"Yes","No"),"Page not found")</f>
        <v>No</v>
      </c>
      <c r="O442" s="3" t="s">
        <v>5426</v>
      </c>
      <c r="P442" s="3"/>
    </row>
    <row r="443" customFormat="false" ht="15" hidden="false" customHeight="false" outlineLevel="0" collapsed="false">
      <c r="A443" s="15" t="s">
        <v>3023</v>
      </c>
      <c r="B443" s="15" t="s">
        <v>2076</v>
      </c>
      <c r="C443" s="15" t="s">
        <v>85</v>
      </c>
      <c r="D443" s="15" t="s">
        <v>3027</v>
      </c>
      <c r="E443" s="15" t="s">
        <v>104</v>
      </c>
      <c r="F443" s="15" t="s">
        <v>715</v>
      </c>
      <c r="G443" s="15" t="s">
        <v>2302</v>
      </c>
      <c r="H443" s="16" t="n">
        <v>110</v>
      </c>
      <c r="I443" s="15" t="n">
        <v>48</v>
      </c>
      <c r="J443" s="15" t="s">
        <v>5227</v>
      </c>
      <c r="K443" s="15" t="s">
        <v>5392</v>
      </c>
      <c r="L443" s="15" t="n">
        <v>4</v>
      </c>
      <c r="M443" s="15" t="s">
        <v>5161</v>
      </c>
      <c r="N443" s="18" t="str">
        <f aca="false">IFERROR(IF(ISNUMBER(SEARCH(D443,INDEX(Pages!$J$2:$J$824,MATCH(A443,Pages!$B$2:$B$824,0)))),"Yes","No"),"Page not found")</f>
        <v>Yes</v>
      </c>
      <c r="O443" s="3" t="s">
        <v>5426</v>
      </c>
      <c r="P443" s="3"/>
    </row>
    <row r="444" customFormat="false" ht="15" hidden="false" customHeight="false" outlineLevel="0" collapsed="false">
      <c r="A444" s="15" t="s">
        <v>3095</v>
      </c>
      <c r="B444" s="15" t="s">
        <v>2076</v>
      </c>
      <c r="C444" s="15" t="s">
        <v>85</v>
      </c>
      <c r="D444" s="15" t="s">
        <v>3099</v>
      </c>
      <c r="E444" s="15" t="s">
        <v>104</v>
      </c>
      <c r="F444" s="15" t="s">
        <v>715</v>
      </c>
      <c r="G444" s="15" t="s">
        <v>2386</v>
      </c>
      <c r="H444" s="16" t="n">
        <v>110</v>
      </c>
      <c r="I444" s="15" t="n">
        <v>48</v>
      </c>
      <c r="J444" s="15" t="s">
        <v>5227</v>
      </c>
      <c r="K444" s="15" t="s">
        <v>5392</v>
      </c>
      <c r="L444" s="15" t="n">
        <v>4</v>
      </c>
      <c r="M444" s="15" t="s">
        <v>5161</v>
      </c>
      <c r="N444" s="18" t="str">
        <f aca="false">IFERROR(IF(ISNUMBER(SEARCH(D444,INDEX(Pages!$J$2:$J$824,MATCH(A444,Pages!$B$2:$B$824,0)))),"Yes","No"),"Page not found")</f>
        <v>Yes</v>
      </c>
      <c r="O444" s="3" t="s">
        <v>5426</v>
      </c>
      <c r="P444" s="3"/>
    </row>
    <row r="445" customFormat="false" ht="15" hidden="false" customHeight="false" outlineLevel="0" collapsed="false">
      <c r="A445" s="15" t="s">
        <v>1253</v>
      </c>
      <c r="B445" s="15" t="s">
        <v>656</v>
      </c>
      <c r="C445" s="15" t="s">
        <v>78</v>
      </c>
      <c r="D445" s="15" t="s">
        <v>1257</v>
      </c>
      <c r="E445" s="15" t="s">
        <v>662</v>
      </c>
      <c r="F445" s="15" t="s">
        <v>701</v>
      </c>
      <c r="G445" s="15"/>
      <c r="H445" s="16" t="n">
        <v>110</v>
      </c>
      <c r="I445" s="15" t="n">
        <v>39</v>
      </c>
      <c r="J445" s="15" t="s">
        <v>5159</v>
      </c>
      <c r="K445" s="15" t="s">
        <v>5418</v>
      </c>
      <c r="L445" s="15" t="n">
        <v>3</v>
      </c>
      <c r="M445" s="15" t="s">
        <v>5161</v>
      </c>
      <c r="N445" s="18" t="str">
        <f aca="false">IFERROR(IF(ISNUMBER(SEARCH(D445,INDEX(Pages!$J$2:$J$824,MATCH(A445,Pages!$B$2:$B$824,0)))),"Yes","No"),"Page not found")</f>
        <v>No</v>
      </c>
      <c r="O445" s="3" t="s">
        <v>5426</v>
      </c>
      <c r="P445" s="3"/>
    </row>
    <row r="446" customFormat="false" ht="15" hidden="false" customHeight="false" outlineLevel="0" collapsed="false">
      <c r="A446" s="15" t="s">
        <v>3281</v>
      </c>
      <c r="B446" s="15" t="s">
        <v>2076</v>
      </c>
      <c r="C446" s="15" t="s">
        <v>84</v>
      </c>
      <c r="D446" s="15" t="s">
        <v>3285</v>
      </c>
      <c r="E446" s="15" t="s">
        <v>104</v>
      </c>
      <c r="F446" s="15" t="s">
        <v>680</v>
      </c>
      <c r="G446" s="15" t="s">
        <v>2197</v>
      </c>
      <c r="H446" s="16" t="n">
        <v>110</v>
      </c>
      <c r="I446" s="15" t="n">
        <v>44</v>
      </c>
      <c r="J446" s="15" t="s">
        <v>5227</v>
      </c>
      <c r="K446" s="15" t="s">
        <v>5392</v>
      </c>
      <c r="L446" s="15" t="n">
        <v>4</v>
      </c>
      <c r="M446" s="15" t="s">
        <v>5161</v>
      </c>
      <c r="N446" s="18" t="str">
        <f aca="false">IFERROR(IF(ISNUMBER(SEARCH(D446,INDEX(Pages!$J$2:$J$824,MATCH(A446,Pages!$B$2:$B$824,0)))),"Yes","No"),"Page not found")</f>
        <v>Yes</v>
      </c>
      <c r="O446" s="3" t="s">
        <v>5376</v>
      </c>
      <c r="P446" s="3"/>
    </row>
    <row r="447" customFormat="false" ht="23.85" hidden="false" customHeight="false" outlineLevel="0" collapsed="false">
      <c r="A447" s="15" t="s">
        <v>3587</v>
      </c>
      <c r="B447" s="15" t="s">
        <v>2076</v>
      </c>
      <c r="C447" s="15" t="s">
        <v>74</v>
      </c>
      <c r="D447" s="15" t="s">
        <v>3591</v>
      </c>
      <c r="E447" s="15" t="s">
        <v>104</v>
      </c>
      <c r="F447" s="15" t="s">
        <v>666</v>
      </c>
      <c r="G447" s="15" t="s">
        <v>2148</v>
      </c>
      <c r="H447" s="16" t="n">
        <v>110</v>
      </c>
      <c r="I447" s="15" t="n">
        <v>27</v>
      </c>
      <c r="J447" s="15" t="s">
        <v>5227</v>
      </c>
      <c r="K447" s="15" t="s">
        <v>5444</v>
      </c>
      <c r="L447" s="15" t="n">
        <v>3</v>
      </c>
      <c r="M447" s="15" t="s">
        <v>5161</v>
      </c>
      <c r="N447" s="18" t="str">
        <f aca="false">IFERROR(IF(ISNUMBER(SEARCH(D447,INDEX(Pages!$J$2:$J$824,MATCH(A447,Pages!$B$2:$B$824,0)))),"Yes","No"),"Page not found")</f>
        <v>No</v>
      </c>
      <c r="O447" s="3" t="s">
        <v>5426</v>
      </c>
      <c r="P447" s="3" t="s">
        <v>5483</v>
      </c>
    </row>
    <row r="448" customFormat="false" ht="23.85" hidden="false" customHeight="false" outlineLevel="0" collapsed="false">
      <c r="A448" s="15" t="s">
        <v>3737</v>
      </c>
      <c r="B448" s="15" t="s">
        <v>2076</v>
      </c>
      <c r="C448" s="15" t="s">
        <v>74</v>
      </c>
      <c r="D448" s="15" t="s">
        <v>3741</v>
      </c>
      <c r="E448" s="15" t="s">
        <v>104</v>
      </c>
      <c r="F448" s="15" t="s">
        <v>715</v>
      </c>
      <c r="G448" s="15" t="s">
        <v>2323</v>
      </c>
      <c r="H448" s="16" t="n">
        <v>110</v>
      </c>
      <c r="I448" s="15" t="n">
        <v>35</v>
      </c>
      <c r="J448" s="15" t="s">
        <v>5227</v>
      </c>
      <c r="K448" s="15" t="s">
        <v>5444</v>
      </c>
      <c r="L448" s="15" t="n">
        <v>3</v>
      </c>
      <c r="M448" s="15" t="s">
        <v>5161</v>
      </c>
      <c r="N448" s="18" t="str">
        <f aca="false">IFERROR(IF(ISNUMBER(SEARCH(D448,INDEX(Pages!$J$2:$J$824,MATCH(A448,Pages!$B$2:$B$824,0)))),"Yes","No"),"Page not found")</f>
        <v>Yes</v>
      </c>
      <c r="O448" s="3" t="s">
        <v>5426</v>
      </c>
      <c r="P448" s="3" t="s">
        <v>5483</v>
      </c>
    </row>
    <row r="449" customFormat="false" ht="23.85" hidden="false" customHeight="false" outlineLevel="0" collapsed="false">
      <c r="A449" s="15" t="s">
        <v>3761</v>
      </c>
      <c r="B449" s="15" t="s">
        <v>2076</v>
      </c>
      <c r="C449" s="15" t="s">
        <v>74</v>
      </c>
      <c r="D449" s="15" t="s">
        <v>3765</v>
      </c>
      <c r="E449" s="15" t="s">
        <v>104</v>
      </c>
      <c r="F449" s="15" t="s">
        <v>715</v>
      </c>
      <c r="G449" s="15" t="s">
        <v>2351</v>
      </c>
      <c r="H449" s="16" t="n">
        <v>110</v>
      </c>
      <c r="I449" s="15" t="n">
        <v>35</v>
      </c>
      <c r="J449" s="15" t="s">
        <v>5227</v>
      </c>
      <c r="K449" s="15" t="s">
        <v>5444</v>
      </c>
      <c r="L449" s="15" t="n">
        <v>3</v>
      </c>
      <c r="M449" s="15" t="s">
        <v>5161</v>
      </c>
      <c r="N449" s="18" t="str">
        <f aca="false">IFERROR(IF(ISNUMBER(SEARCH(D449,INDEX(Pages!$J$2:$J$824,MATCH(A449,Pages!$B$2:$B$824,0)))),"Yes","No"),"Page not found")</f>
        <v>Yes</v>
      </c>
      <c r="O449" s="3" t="s">
        <v>5426</v>
      </c>
      <c r="P449" s="3" t="s">
        <v>5483</v>
      </c>
    </row>
    <row r="450" customFormat="false" ht="15" hidden="false" customHeight="false" outlineLevel="0" collapsed="false">
      <c r="A450" s="15" t="s">
        <v>4097</v>
      </c>
      <c r="B450" s="15" t="s">
        <v>2076</v>
      </c>
      <c r="C450" s="15" t="s">
        <v>81</v>
      </c>
      <c r="D450" s="15" t="s">
        <v>4101</v>
      </c>
      <c r="E450" s="15" t="s">
        <v>104</v>
      </c>
      <c r="F450" s="15" t="s">
        <v>715</v>
      </c>
      <c r="G450" s="15" t="s">
        <v>2337</v>
      </c>
      <c r="H450" s="16" t="n">
        <v>110</v>
      </c>
      <c r="I450" s="15" t="n">
        <v>36</v>
      </c>
      <c r="J450" s="15" t="s">
        <v>5227</v>
      </c>
      <c r="K450" s="15" t="s">
        <v>5235</v>
      </c>
      <c r="L450" s="15" t="n">
        <v>3</v>
      </c>
      <c r="M450" s="15" t="s">
        <v>5161</v>
      </c>
      <c r="N450" s="18" t="str">
        <f aca="false">IFERROR(IF(ISNUMBER(SEARCH(D450,INDEX(Pages!$J$2:$J$824,MATCH(A450,Pages!$B$2:$B$824,0)))),"Yes","No"),"Page not found")</f>
        <v>Yes</v>
      </c>
      <c r="O450" s="3" t="s">
        <v>5426</v>
      </c>
      <c r="P450" s="3"/>
    </row>
    <row r="451" customFormat="false" ht="23.85" hidden="false" customHeight="false" outlineLevel="0" collapsed="false">
      <c r="A451" s="15" t="s">
        <v>4277</v>
      </c>
      <c r="B451" s="15" t="s">
        <v>2076</v>
      </c>
      <c r="C451" s="15" t="s">
        <v>86</v>
      </c>
      <c r="D451" s="15" t="s">
        <v>4281</v>
      </c>
      <c r="E451" s="15" t="s">
        <v>104</v>
      </c>
      <c r="F451" s="15" t="s">
        <v>666</v>
      </c>
      <c r="G451" s="15" t="s">
        <v>2141</v>
      </c>
      <c r="H451" s="16" t="n">
        <v>110</v>
      </c>
      <c r="I451" s="15" t="n">
        <v>24</v>
      </c>
      <c r="J451" s="15" t="s">
        <v>5227</v>
      </c>
      <c r="K451" s="15" t="s">
        <v>5392</v>
      </c>
      <c r="L451" s="15" t="n">
        <v>5</v>
      </c>
      <c r="M451" s="15" t="s">
        <v>5161</v>
      </c>
      <c r="N451" s="18" t="str">
        <f aca="false">IFERROR(IF(ISNUMBER(SEARCH(D451,INDEX(Pages!$J$2:$J$824,MATCH(A451,Pages!$B$2:$B$824,0)))),"Yes","No"),"Page not found")</f>
        <v>Yes</v>
      </c>
      <c r="O451" s="3" t="s">
        <v>5426</v>
      </c>
      <c r="P451" s="3" t="s">
        <v>5483</v>
      </c>
    </row>
    <row r="452" customFormat="false" ht="15" hidden="false" customHeight="false" outlineLevel="0" collapsed="false">
      <c r="A452" s="15" t="s">
        <v>1781</v>
      </c>
      <c r="B452" s="15" t="s">
        <v>656</v>
      </c>
      <c r="C452" s="15" t="s">
        <v>86</v>
      </c>
      <c r="D452" s="15" t="s">
        <v>1785</v>
      </c>
      <c r="E452" s="15" t="s">
        <v>662</v>
      </c>
      <c r="F452" s="15" t="s">
        <v>680</v>
      </c>
      <c r="G452" s="15"/>
      <c r="H452" s="16" t="n">
        <v>110</v>
      </c>
      <c r="I452" s="15" t="n">
        <v>36</v>
      </c>
      <c r="J452" s="15" t="s">
        <v>5159</v>
      </c>
      <c r="K452" s="15" t="s">
        <v>5321</v>
      </c>
      <c r="L452" s="15" t="n">
        <v>5</v>
      </c>
      <c r="M452" s="15" t="s">
        <v>5161</v>
      </c>
      <c r="N452" s="18" t="str">
        <f aca="false">IFERROR(IF(ISNUMBER(SEARCH(D452,INDEX(Pages!$J$2:$J$824,MATCH(A452,Pages!$B$2:$B$824,0)))),"Yes","No"),"Page not found")</f>
        <v>No</v>
      </c>
      <c r="O452" s="3" t="s">
        <v>5408</v>
      </c>
      <c r="P452" s="3"/>
    </row>
    <row r="453" customFormat="false" ht="23.85" hidden="false" customHeight="false" outlineLevel="0" collapsed="false">
      <c r="A453" s="15" t="s">
        <v>4355</v>
      </c>
      <c r="B453" s="15" t="s">
        <v>2076</v>
      </c>
      <c r="C453" s="15" t="s">
        <v>86</v>
      </c>
      <c r="D453" s="15" t="s">
        <v>4359</v>
      </c>
      <c r="E453" s="15" t="s">
        <v>104</v>
      </c>
      <c r="F453" s="15" t="s">
        <v>715</v>
      </c>
      <c r="G453" s="15" t="s">
        <v>2232</v>
      </c>
      <c r="H453" s="16" t="n">
        <v>110</v>
      </c>
      <c r="I453" s="15" t="n">
        <v>32</v>
      </c>
      <c r="J453" s="15" t="s">
        <v>5227</v>
      </c>
      <c r="K453" s="15" t="s">
        <v>5392</v>
      </c>
      <c r="L453" s="15" t="n">
        <v>5</v>
      </c>
      <c r="M453" s="15" t="s">
        <v>5161</v>
      </c>
      <c r="N453" s="18" t="str">
        <f aca="false">IFERROR(IF(ISNUMBER(SEARCH(D453,INDEX(Pages!$J$2:$J$824,MATCH(A453,Pages!$B$2:$B$824,0)))),"Yes","No"),"Page not found")</f>
        <v>Yes</v>
      </c>
      <c r="O453" s="3" t="s">
        <v>5426</v>
      </c>
      <c r="P453" s="3" t="s">
        <v>5483</v>
      </c>
    </row>
    <row r="454" customFormat="false" ht="15" hidden="false" customHeight="false" outlineLevel="0" collapsed="false">
      <c r="A454" s="15" t="s">
        <v>4397</v>
      </c>
      <c r="B454" s="15" t="s">
        <v>2076</v>
      </c>
      <c r="C454" s="15" t="s">
        <v>86</v>
      </c>
      <c r="D454" s="15" t="s">
        <v>4401</v>
      </c>
      <c r="E454" s="15" t="s">
        <v>104</v>
      </c>
      <c r="F454" s="15" t="s">
        <v>715</v>
      </c>
      <c r="G454" s="15" t="s">
        <v>2281</v>
      </c>
      <c r="H454" s="16" t="n">
        <v>110</v>
      </c>
      <c r="I454" s="15" t="n">
        <v>40</v>
      </c>
      <c r="J454" s="15" t="s">
        <v>5227</v>
      </c>
      <c r="K454" s="15" t="s">
        <v>5392</v>
      </c>
      <c r="L454" s="15" t="n">
        <v>5</v>
      </c>
      <c r="M454" s="15" t="s">
        <v>5161</v>
      </c>
      <c r="N454" s="18" t="str">
        <f aca="false">IFERROR(IF(ISNUMBER(SEARCH(D454,INDEX(Pages!$J$2:$J$824,MATCH(A454,Pages!$B$2:$B$824,0)))),"Yes","No"),"Page not found")</f>
        <v>Yes</v>
      </c>
      <c r="O454" s="3" t="s">
        <v>5426</v>
      </c>
      <c r="P454" s="3"/>
    </row>
    <row r="455" customFormat="false" ht="23.85" hidden="false" customHeight="false" outlineLevel="0" collapsed="false">
      <c r="A455" s="15" t="s">
        <v>4421</v>
      </c>
      <c r="B455" s="15" t="s">
        <v>2076</v>
      </c>
      <c r="C455" s="15" t="s">
        <v>86</v>
      </c>
      <c r="D455" s="15" t="s">
        <v>4425</v>
      </c>
      <c r="E455" s="15" t="s">
        <v>104</v>
      </c>
      <c r="F455" s="15" t="s">
        <v>715</v>
      </c>
      <c r="G455" s="15" t="s">
        <v>2309</v>
      </c>
      <c r="H455" s="16" t="n">
        <v>110</v>
      </c>
      <c r="I455" s="15" t="n">
        <v>32</v>
      </c>
      <c r="J455" s="15" t="s">
        <v>5227</v>
      </c>
      <c r="K455" s="15" t="s">
        <v>5392</v>
      </c>
      <c r="L455" s="15" t="n">
        <v>5</v>
      </c>
      <c r="M455" s="15" t="s">
        <v>5161</v>
      </c>
      <c r="N455" s="18" t="str">
        <f aca="false">IFERROR(IF(ISNUMBER(SEARCH(D455,INDEX(Pages!$J$2:$J$824,MATCH(A455,Pages!$B$2:$B$824,0)))),"Yes","No"),"Page not found")</f>
        <v>Yes</v>
      </c>
      <c r="O455" s="3" t="s">
        <v>5426</v>
      </c>
      <c r="P455" s="3" t="s">
        <v>5483</v>
      </c>
    </row>
    <row r="456" customFormat="false" ht="15" hidden="false" customHeight="false" outlineLevel="0" collapsed="false">
      <c r="A456" s="15" t="s">
        <v>4493</v>
      </c>
      <c r="B456" s="15" t="s">
        <v>2076</v>
      </c>
      <c r="C456" s="15" t="s">
        <v>86</v>
      </c>
      <c r="D456" s="15" t="s">
        <v>4497</v>
      </c>
      <c r="E456" s="15" t="s">
        <v>104</v>
      </c>
      <c r="F456" s="15" t="s">
        <v>715</v>
      </c>
      <c r="G456" s="15" t="s">
        <v>2393</v>
      </c>
      <c r="H456" s="16" t="n">
        <v>110</v>
      </c>
      <c r="I456" s="15" t="n">
        <v>40</v>
      </c>
      <c r="J456" s="15" t="s">
        <v>5227</v>
      </c>
      <c r="K456" s="15" t="s">
        <v>5392</v>
      </c>
      <c r="L456" s="15" t="n">
        <v>5</v>
      </c>
      <c r="M456" s="15" t="s">
        <v>5161</v>
      </c>
      <c r="N456" s="18" t="str">
        <f aca="false">IFERROR(IF(ISNUMBER(SEARCH(D456,INDEX(Pages!$J$2:$J$824,MATCH(A456,Pages!$B$2:$B$824,0)))),"Yes","No"),"Page not found")</f>
        <v>Yes</v>
      </c>
      <c r="O456" s="3" t="s">
        <v>5426</v>
      </c>
      <c r="P456" s="3"/>
    </row>
    <row r="457" customFormat="false" ht="15" hidden="false" customHeight="false" outlineLevel="0" collapsed="false">
      <c r="A457" s="15" t="s">
        <v>4541</v>
      </c>
      <c r="B457" s="15" t="s">
        <v>2076</v>
      </c>
      <c r="C457" s="15" t="s">
        <v>86</v>
      </c>
      <c r="D457" s="15" t="s">
        <v>4545</v>
      </c>
      <c r="E457" s="15" t="s">
        <v>104</v>
      </c>
      <c r="F457" s="15" t="s">
        <v>729</v>
      </c>
      <c r="G457" s="15" t="s">
        <v>2449</v>
      </c>
      <c r="H457" s="16" t="n">
        <v>110</v>
      </c>
      <c r="I457" s="15" t="n">
        <v>44</v>
      </c>
      <c r="J457" s="15" t="s">
        <v>5227</v>
      </c>
      <c r="K457" s="15" t="s">
        <v>5392</v>
      </c>
      <c r="L457" s="15" t="n">
        <v>5</v>
      </c>
      <c r="M457" s="15" t="s">
        <v>5161</v>
      </c>
      <c r="N457" s="18" t="str">
        <f aca="false">IFERROR(IF(ISNUMBER(SEARCH(D457,INDEX(Pages!$J$2:$J$824,MATCH(A457,Pages!$B$2:$B$824,0)))),"Yes","No"),"Page not found")</f>
        <v>Yes</v>
      </c>
      <c r="O457" s="3" t="s">
        <v>5408</v>
      </c>
      <c r="P457" s="3" t="s">
        <v>5427</v>
      </c>
    </row>
    <row r="458" customFormat="false" ht="23.85" hidden="false" customHeight="false" outlineLevel="0" collapsed="false">
      <c r="A458" s="15" t="s">
        <v>3179</v>
      </c>
      <c r="B458" s="15" t="s">
        <v>2076</v>
      </c>
      <c r="C458" s="15" t="s">
        <v>84</v>
      </c>
      <c r="D458" s="15" t="s">
        <v>3183</v>
      </c>
      <c r="E458" s="15" t="s">
        <v>104</v>
      </c>
      <c r="F458" s="15" t="s">
        <v>657</v>
      </c>
      <c r="G458" s="15" t="s">
        <v>2077</v>
      </c>
      <c r="H458" s="16" t="n">
        <v>100</v>
      </c>
      <c r="I458" s="15" t="n">
        <v>32</v>
      </c>
      <c r="J458" s="15" t="s">
        <v>5227</v>
      </c>
      <c r="K458" s="15" t="s">
        <v>5392</v>
      </c>
      <c r="L458" s="15" t="n">
        <v>4</v>
      </c>
      <c r="M458" s="15" t="s">
        <v>5161</v>
      </c>
      <c r="N458" s="18" t="str">
        <f aca="false">IFERROR(IF(ISNUMBER(SEARCH(D458,INDEX(Pages!$J$2:$J$824,MATCH(A458,Pages!$B$2:$B$824,0)))),"Yes","No"),"Page not found")</f>
        <v>Yes</v>
      </c>
      <c r="O458" s="3" t="s">
        <v>5426</v>
      </c>
      <c r="P458" s="3" t="s">
        <v>5483</v>
      </c>
    </row>
    <row r="459" customFormat="false" ht="15" hidden="false" customHeight="false" outlineLevel="0" collapsed="false">
      <c r="A459" s="15" t="s">
        <v>4807</v>
      </c>
      <c r="B459" s="15" t="s">
        <v>4572</v>
      </c>
      <c r="C459" s="15" t="s">
        <v>94</v>
      </c>
      <c r="D459" s="15" t="s">
        <v>4811</v>
      </c>
      <c r="E459" s="15" t="s">
        <v>104</v>
      </c>
      <c r="F459" s="15" t="s">
        <v>715</v>
      </c>
      <c r="G459" s="15" t="s">
        <v>2288</v>
      </c>
      <c r="H459" s="16" t="n">
        <v>100</v>
      </c>
      <c r="I459" s="15" t="n">
        <v>30</v>
      </c>
      <c r="J459" s="15" t="s">
        <v>5227</v>
      </c>
      <c r="K459" s="15" t="s">
        <v>5243</v>
      </c>
      <c r="L459" s="15" t="n">
        <v>3</v>
      </c>
      <c r="M459" s="15" t="s">
        <v>5161</v>
      </c>
      <c r="N459" s="18" t="str">
        <f aca="false">IFERROR(IF(ISNUMBER(SEARCH(D459,INDEX(Pages!$J$2:$J$824,MATCH(A459,Pages!$B$2:$B$824,0)))),"Yes","No"),"Page not found")</f>
        <v>No</v>
      </c>
      <c r="O459" s="3" t="s">
        <v>5471</v>
      </c>
      <c r="P459" s="3" t="s">
        <v>5472</v>
      </c>
    </row>
    <row r="460" customFormat="false" ht="15" hidden="false" customHeight="false" outlineLevel="0" collapsed="false">
      <c r="A460" s="15" t="s">
        <v>4981</v>
      </c>
      <c r="B460" s="15" t="s">
        <v>4572</v>
      </c>
      <c r="C460" s="15" t="s">
        <v>94</v>
      </c>
      <c r="D460" s="15" t="s">
        <v>4985</v>
      </c>
      <c r="E460" s="15" t="s">
        <v>104</v>
      </c>
      <c r="F460" s="15" t="s">
        <v>736</v>
      </c>
      <c r="G460" s="15" t="s">
        <v>2470</v>
      </c>
      <c r="H460" s="16" t="n">
        <v>100</v>
      </c>
      <c r="I460" s="15" t="n">
        <v>30</v>
      </c>
      <c r="J460" s="15" t="s">
        <v>5227</v>
      </c>
      <c r="K460" s="15" t="s">
        <v>5243</v>
      </c>
      <c r="L460" s="15" t="n">
        <v>3</v>
      </c>
      <c r="M460" s="15" t="s">
        <v>5161</v>
      </c>
      <c r="N460" s="18" t="str">
        <f aca="false">IFERROR(IF(ISNUMBER(SEARCH(D460,INDEX(Pages!$J$2:$J$824,MATCH(A460,Pages!$B$2:$B$824,0)))),"Yes","No"),"Page not found")</f>
        <v>No</v>
      </c>
      <c r="O460" s="3" t="s">
        <v>5471</v>
      </c>
      <c r="P460" s="3" t="s">
        <v>5472</v>
      </c>
    </row>
    <row r="461" customFormat="false" ht="23.85" hidden="false" customHeight="false" outlineLevel="0" collapsed="false">
      <c r="A461" s="15" t="s">
        <v>3677</v>
      </c>
      <c r="B461" s="15" t="s">
        <v>2076</v>
      </c>
      <c r="C461" s="15" t="s">
        <v>74</v>
      </c>
      <c r="D461" s="15" t="s">
        <v>3681</v>
      </c>
      <c r="E461" s="15" t="s">
        <v>104</v>
      </c>
      <c r="F461" s="15" t="s">
        <v>715</v>
      </c>
      <c r="G461" s="15" t="s">
        <v>2253</v>
      </c>
      <c r="H461" s="16" t="n">
        <v>100</v>
      </c>
      <c r="I461" s="15" t="n">
        <v>35</v>
      </c>
      <c r="J461" s="15" t="s">
        <v>5227</v>
      </c>
      <c r="K461" s="15" t="s">
        <v>5444</v>
      </c>
      <c r="L461" s="15" t="n">
        <v>3</v>
      </c>
      <c r="M461" s="15" t="s">
        <v>5161</v>
      </c>
      <c r="N461" s="18" t="str">
        <f aca="false">IFERROR(IF(ISNUMBER(SEARCH(D461,INDEX(Pages!$J$2:$J$824,MATCH(A461,Pages!$B$2:$B$824,0)))),"Yes","No"),"Page not found")</f>
        <v>Yes</v>
      </c>
      <c r="O461" s="3" t="s">
        <v>5426</v>
      </c>
      <c r="P461" s="3" t="s">
        <v>5483</v>
      </c>
    </row>
    <row r="462" customFormat="false" ht="15" hidden="false" customHeight="false" outlineLevel="0" collapsed="false">
      <c r="A462" s="15" t="s">
        <v>3947</v>
      </c>
      <c r="B462" s="15" t="s">
        <v>2076</v>
      </c>
      <c r="C462" s="15" t="s">
        <v>81</v>
      </c>
      <c r="D462" s="15" t="s">
        <v>3951</v>
      </c>
      <c r="E462" s="15" t="s">
        <v>104</v>
      </c>
      <c r="F462" s="15" t="s">
        <v>666</v>
      </c>
      <c r="G462" s="15" t="s">
        <v>2162</v>
      </c>
      <c r="H462" s="16" t="n">
        <v>100</v>
      </c>
      <c r="I462" s="15" t="n">
        <v>36</v>
      </c>
      <c r="J462" s="15" t="s">
        <v>5227</v>
      </c>
      <c r="K462" s="15" t="s">
        <v>5235</v>
      </c>
      <c r="L462" s="15" t="n">
        <v>3</v>
      </c>
      <c r="M462" s="15" t="s">
        <v>5161</v>
      </c>
      <c r="N462" s="18" t="str">
        <f aca="false">IFERROR(IF(ISNUMBER(SEARCH(D462,INDEX(Pages!$J$2:$J$824,MATCH(A462,Pages!$B$2:$B$824,0)))),"Yes","No"),"Page not found")</f>
        <v>Yes</v>
      </c>
      <c r="O462" s="3" t="s">
        <v>5426</v>
      </c>
      <c r="P462" s="3"/>
    </row>
    <row r="463" customFormat="false" ht="15" hidden="false" customHeight="false" outlineLevel="0" collapsed="false">
      <c r="A463" s="15" t="s">
        <v>3287</v>
      </c>
      <c r="B463" s="15" t="s">
        <v>2076</v>
      </c>
      <c r="C463" s="15" t="s">
        <v>84</v>
      </c>
      <c r="D463" s="15" t="s">
        <v>3291</v>
      </c>
      <c r="E463" s="15" t="s">
        <v>104</v>
      </c>
      <c r="F463" s="15" t="s">
        <v>680</v>
      </c>
      <c r="G463" s="15" t="s">
        <v>2204</v>
      </c>
      <c r="H463" s="16" t="n">
        <v>99</v>
      </c>
      <c r="I463" s="15" t="n">
        <v>40</v>
      </c>
      <c r="J463" s="15" t="s">
        <v>5227</v>
      </c>
      <c r="K463" s="15" t="s">
        <v>5392</v>
      </c>
      <c r="L463" s="15" t="n">
        <v>3</v>
      </c>
      <c r="M463" s="15" t="s">
        <v>5161</v>
      </c>
      <c r="N463" s="18" t="str">
        <f aca="false">IFERROR(IF(ISNUMBER(SEARCH(D463,INDEX(Pages!$J$2:$J$824,MATCH(A463,Pages!$B$2:$B$824,0)))),"Yes","No"),"Page not found")</f>
        <v>Yes</v>
      </c>
      <c r="O463" s="3" t="s">
        <v>5426</v>
      </c>
      <c r="P463" s="3"/>
    </row>
    <row r="464" customFormat="false" ht="15" hidden="false" customHeight="false" outlineLevel="0" collapsed="false">
      <c r="A464" s="15" t="s">
        <v>4621</v>
      </c>
      <c r="B464" s="15" t="s">
        <v>4572</v>
      </c>
      <c r="C464" s="15" t="s">
        <v>94</v>
      </c>
      <c r="D464" s="15" t="s">
        <v>4625</v>
      </c>
      <c r="E464" s="15" t="s">
        <v>104</v>
      </c>
      <c r="F464" s="15" t="s">
        <v>666</v>
      </c>
      <c r="G464" s="15" t="s">
        <v>2120</v>
      </c>
      <c r="H464" s="16" t="n">
        <v>99</v>
      </c>
      <c r="I464" s="15" t="n">
        <v>30</v>
      </c>
      <c r="J464" s="15" t="s">
        <v>5227</v>
      </c>
      <c r="K464" s="15" t="s">
        <v>5243</v>
      </c>
      <c r="L464" s="15" t="n">
        <v>3</v>
      </c>
      <c r="M464" s="15" t="s">
        <v>5161</v>
      </c>
      <c r="N464" s="18" t="str">
        <f aca="false">IFERROR(IF(ISNUMBER(SEARCH(D464,INDEX(Pages!$J$2:$J$824,MATCH(A464,Pages!$B$2:$B$824,0)))),"Yes","No"),"Page not found")</f>
        <v>No</v>
      </c>
      <c r="O464" s="3" t="s">
        <v>5471</v>
      </c>
      <c r="P464" s="3" t="s">
        <v>5472</v>
      </c>
    </row>
    <row r="465" customFormat="false" ht="15" hidden="false" customHeight="false" outlineLevel="0" collapsed="false">
      <c r="A465" s="15" t="s">
        <v>1385</v>
      </c>
      <c r="B465" s="15" t="s">
        <v>656</v>
      </c>
      <c r="C465" s="15" t="s">
        <v>74</v>
      </c>
      <c r="D465" s="15" t="s">
        <v>1389</v>
      </c>
      <c r="E465" s="15" t="s">
        <v>662</v>
      </c>
      <c r="F465" s="15" t="s">
        <v>673</v>
      </c>
      <c r="G465" s="15"/>
      <c r="H465" s="16" t="n">
        <v>98</v>
      </c>
      <c r="I465" s="15" t="n">
        <v>38</v>
      </c>
      <c r="J465" s="15" t="s">
        <v>5159</v>
      </c>
      <c r="K465" s="15" t="s">
        <v>5440</v>
      </c>
      <c r="L465" s="15" t="n">
        <v>2</v>
      </c>
      <c r="M465" s="15" t="s">
        <v>5161</v>
      </c>
      <c r="N465" s="18" t="str">
        <f aca="false">IFERROR(IF(ISNUMBER(SEARCH(D465,INDEX(Pages!$J$2:$J$824,MATCH(A465,Pages!$B$2:$B$824,0)))),"Yes","No"),"Page not found")</f>
        <v>No</v>
      </c>
      <c r="O465" s="3" t="s">
        <v>5224</v>
      </c>
      <c r="P465" s="3"/>
    </row>
    <row r="466" customFormat="false" ht="15" hidden="false" customHeight="false" outlineLevel="0" collapsed="false">
      <c r="A466" s="15" t="s">
        <v>4337</v>
      </c>
      <c r="B466" s="15" t="s">
        <v>2076</v>
      </c>
      <c r="C466" s="15" t="s">
        <v>86</v>
      </c>
      <c r="D466" s="15" t="s">
        <v>4341</v>
      </c>
      <c r="E466" s="15" t="s">
        <v>104</v>
      </c>
      <c r="F466" s="15" t="s">
        <v>687</v>
      </c>
      <c r="G466" s="15" t="s">
        <v>2211</v>
      </c>
      <c r="H466" s="16" t="n">
        <v>98</v>
      </c>
      <c r="I466" s="15" t="n">
        <v>40</v>
      </c>
      <c r="J466" s="15" t="s">
        <v>5227</v>
      </c>
      <c r="K466" s="15" t="s">
        <v>5392</v>
      </c>
      <c r="L466" s="15" t="n">
        <v>5</v>
      </c>
      <c r="M466" s="15" t="s">
        <v>5161</v>
      </c>
      <c r="N466" s="18" t="str">
        <f aca="false">IFERROR(IF(ISNUMBER(SEARCH(D466,INDEX(Pages!$J$2:$J$824,MATCH(A466,Pages!$B$2:$B$824,0)))),"Yes","No"),"Page not found")</f>
        <v>No</v>
      </c>
      <c r="O466" s="3" t="s">
        <v>5426</v>
      </c>
      <c r="P466" s="3"/>
    </row>
    <row r="467" customFormat="false" ht="15" hidden="false" customHeight="false" outlineLevel="0" collapsed="false">
      <c r="A467" s="15" t="s">
        <v>700</v>
      </c>
      <c r="B467" s="15" t="s">
        <v>656</v>
      </c>
      <c r="C467" s="15" t="s">
        <v>89</v>
      </c>
      <c r="D467" s="15" t="s">
        <v>705</v>
      </c>
      <c r="E467" s="15" t="s">
        <v>662</v>
      </c>
      <c r="F467" s="15" t="s">
        <v>701</v>
      </c>
      <c r="G467" s="15"/>
      <c r="H467" s="16" t="n">
        <v>97</v>
      </c>
      <c r="I467" s="15" t="n">
        <v>34</v>
      </c>
      <c r="J467" s="15" t="s">
        <v>5159</v>
      </c>
      <c r="K467" s="15" t="s">
        <v>5425</v>
      </c>
      <c r="L467" s="15" t="n">
        <v>2</v>
      </c>
      <c r="M467" s="15" t="s">
        <v>5161</v>
      </c>
      <c r="N467" s="18" t="str">
        <f aca="false">IFERROR(IF(ISNUMBER(SEARCH(D467,INDEX(Pages!$J$2:$J$824,MATCH(A467,Pages!$B$2:$B$824,0)))),"Yes","No"),"Page not found")</f>
        <v>No</v>
      </c>
      <c r="O467" s="3" t="s">
        <v>5426</v>
      </c>
      <c r="P467" s="3"/>
    </row>
    <row r="468" customFormat="false" ht="23.85" hidden="false" customHeight="false" outlineLevel="0" collapsed="false">
      <c r="A468" s="15" t="s">
        <v>4475</v>
      </c>
      <c r="B468" s="15" t="s">
        <v>2076</v>
      </c>
      <c r="C468" s="15" t="s">
        <v>86</v>
      </c>
      <c r="D468" s="15" t="s">
        <v>4479</v>
      </c>
      <c r="E468" s="15" t="s">
        <v>104</v>
      </c>
      <c r="F468" s="15" t="s">
        <v>715</v>
      </c>
      <c r="G468" s="15" t="s">
        <v>2372</v>
      </c>
      <c r="H468" s="16" t="n">
        <v>97</v>
      </c>
      <c r="I468" s="15" t="n">
        <v>32</v>
      </c>
      <c r="J468" s="15" t="s">
        <v>5227</v>
      </c>
      <c r="K468" s="15" t="s">
        <v>5392</v>
      </c>
      <c r="L468" s="15" t="n">
        <v>5</v>
      </c>
      <c r="M468" s="15" t="s">
        <v>5161</v>
      </c>
      <c r="N468" s="18" t="str">
        <f aca="false">IFERROR(IF(ISNUMBER(SEARCH(D468,INDEX(Pages!$J$2:$J$824,MATCH(A468,Pages!$B$2:$B$824,0)))),"Yes","No"),"Page not found")</f>
        <v>Yes</v>
      </c>
      <c r="O468" s="3" t="s">
        <v>5426</v>
      </c>
      <c r="P468" s="3" t="s">
        <v>5483</v>
      </c>
    </row>
    <row r="469" customFormat="false" ht="23.85" hidden="false" customHeight="false" outlineLevel="0" collapsed="false">
      <c r="A469" s="15" t="s">
        <v>3743</v>
      </c>
      <c r="B469" s="15" t="s">
        <v>2076</v>
      </c>
      <c r="C469" s="15" t="s">
        <v>74</v>
      </c>
      <c r="D469" s="15" t="s">
        <v>3747</v>
      </c>
      <c r="E469" s="15" t="s">
        <v>104</v>
      </c>
      <c r="F469" s="15" t="s">
        <v>715</v>
      </c>
      <c r="G469" s="15" t="s">
        <v>2330</v>
      </c>
      <c r="H469" s="16" t="n">
        <v>96</v>
      </c>
      <c r="I469" s="15" t="n">
        <v>35</v>
      </c>
      <c r="J469" s="15" t="s">
        <v>5227</v>
      </c>
      <c r="K469" s="15" t="s">
        <v>5444</v>
      </c>
      <c r="L469" s="15" t="n">
        <v>3</v>
      </c>
      <c r="M469" s="15" t="s">
        <v>5161</v>
      </c>
      <c r="N469" s="18" t="str">
        <f aca="false">IFERROR(IF(ISNUMBER(SEARCH(D469,INDEX(Pages!$J$2:$J$824,MATCH(A469,Pages!$B$2:$B$824,0)))),"Yes","No"),"Page not found")</f>
        <v>Yes</v>
      </c>
      <c r="O469" s="3" t="s">
        <v>5426</v>
      </c>
      <c r="P469" s="3" t="s">
        <v>5483</v>
      </c>
    </row>
    <row r="470" customFormat="false" ht="23.85" hidden="false" customHeight="false" outlineLevel="0" collapsed="false">
      <c r="A470" s="15" t="s">
        <v>1745</v>
      </c>
      <c r="B470" s="15" t="s">
        <v>656</v>
      </c>
      <c r="C470" s="15" t="s">
        <v>81</v>
      </c>
      <c r="D470" s="15" t="s">
        <v>1749</v>
      </c>
      <c r="E470" s="15" t="s">
        <v>662</v>
      </c>
      <c r="F470" s="15" t="s">
        <v>729</v>
      </c>
      <c r="G470" s="15"/>
      <c r="H470" s="16" t="n">
        <v>96</v>
      </c>
      <c r="I470" s="15" t="n">
        <v>34</v>
      </c>
      <c r="J470" s="15" t="s">
        <v>5159</v>
      </c>
      <c r="K470" s="15" t="s">
        <v>5235</v>
      </c>
      <c r="L470" s="15" t="n">
        <v>5</v>
      </c>
      <c r="M470" s="15" t="s">
        <v>5161</v>
      </c>
      <c r="N470" s="18" t="str">
        <f aca="false">IFERROR(IF(ISNUMBER(SEARCH(D470,INDEX(Pages!$J$2:$J$824,MATCH(A470,Pages!$B$2:$B$824,0)))),"Yes","No"),"Page not found")</f>
        <v>No</v>
      </c>
      <c r="O470" s="3" t="s">
        <v>5426</v>
      </c>
      <c r="P470" s="3" t="s">
        <v>5498</v>
      </c>
    </row>
    <row r="471" customFormat="false" ht="15" hidden="false" customHeight="false" outlineLevel="0" collapsed="false">
      <c r="A471" s="15" t="s">
        <v>1067</v>
      </c>
      <c r="B471" s="15" t="s">
        <v>656</v>
      </c>
      <c r="C471" s="15" t="s">
        <v>77</v>
      </c>
      <c r="D471" s="15" t="s">
        <v>1071</v>
      </c>
      <c r="E471" s="15" t="s">
        <v>662</v>
      </c>
      <c r="F471" s="15" t="s">
        <v>666</v>
      </c>
      <c r="G471" s="15"/>
      <c r="H471" s="16" t="n">
        <v>94</v>
      </c>
      <c r="I471" s="15" t="n">
        <v>32</v>
      </c>
      <c r="J471" s="15" t="s">
        <v>5159</v>
      </c>
      <c r="K471" s="15" t="s">
        <v>5254</v>
      </c>
      <c r="L471" s="15" t="n">
        <v>2</v>
      </c>
      <c r="M471" s="15" t="s">
        <v>5161</v>
      </c>
      <c r="N471" s="18" t="str">
        <f aca="false">IFERROR(IF(ISNUMBER(SEARCH(D471,INDEX(Pages!$J$2:$J$824,MATCH(A471,Pages!$B$2:$B$824,0)))),"Yes","No"),"Page not found")</f>
        <v>No</v>
      </c>
      <c r="O471" s="3" t="s">
        <v>5426</v>
      </c>
      <c r="P471" s="3"/>
    </row>
    <row r="472" customFormat="false" ht="15" hidden="false" customHeight="false" outlineLevel="0" collapsed="false">
      <c r="A472" s="15" t="s">
        <v>3473</v>
      </c>
      <c r="B472" s="15" t="s">
        <v>2076</v>
      </c>
      <c r="C472" s="15" t="s">
        <v>84</v>
      </c>
      <c r="D472" s="15" t="s">
        <v>3477</v>
      </c>
      <c r="E472" s="15" t="s">
        <v>104</v>
      </c>
      <c r="F472" s="15" t="s">
        <v>729</v>
      </c>
      <c r="G472" s="15" t="s">
        <v>2421</v>
      </c>
      <c r="H472" s="16" t="n">
        <v>93</v>
      </c>
      <c r="I472" s="15" t="n">
        <v>40</v>
      </c>
      <c r="J472" s="15" t="s">
        <v>5227</v>
      </c>
      <c r="K472" s="15" t="s">
        <v>5392</v>
      </c>
      <c r="L472" s="15" t="n">
        <v>5</v>
      </c>
      <c r="M472" s="15" t="s">
        <v>5161</v>
      </c>
      <c r="N472" s="18" t="str">
        <f aca="false">IFERROR(IF(ISNUMBER(SEARCH(D472,INDEX(Pages!$J$2:$J$824,MATCH(A472,Pages!$B$2:$B$824,0)))),"Yes","No"),"Page not found")</f>
        <v>Yes</v>
      </c>
      <c r="O472" s="3" t="s">
        <v>5426</v>
      </c>
      <c r="P472" s="3" t="s">
        <v>5427</v>
      </c>
    </row>
    <row r="473" customFormat="false" ht="15" hidden="false" customHeight="false" outlineLevel="0" collapsed="false">
      <c r="A473" s="15" t="s">
        <v>3275</v>
      </c>
      <c r="B473" s="15" t="s">
        <v>2076</v>
      </c>
      <c r="C473" s="15" t="s">
        <v>84</v>
      </c>
      <c r="D473" s="15" t="s">
        <v>3279</v>
      </c>
      <c r="E473" s="15" t="s">
        <v>104</v>
      </c>
      <c r="F473" s="15" t="s">
        <v>680</v>
      </c>
      <c r="G473" s="15" t="s">
        <v>2190</v>
      </c>
      <c r="H473" s="16" t="n">
        <v>92</v>
      </c>
      <c r="I473" s="15" t="n">
        <v>44</v>
      </c>
      <c r="J473" s="15" t="s">
        <v>5227</v>
      </c>
      <c r="K473" s="15" t="s">
        <v>5392</v>
      </c>
      <c r="L473" s="15" t="n">
        <v>4</v>
      </c>
      <c r="M473" s="15" t="s">
        <v>5161</v>
      </c>
      <c r="N473" s="18" t="str">
        <f aca="false">IFERROR(IF(ISNUMBER(SEARCH(D473,INDEX(Pages!$J$2:$J$824,MATCH(A473,Pages!$B$2:$B$824,0)))),"Yes","No"),"Page not found")</f>
        <v>Yes</v>
      </c>
      <c r="O473" s="3" t="s">
        <v>5376</v>
      </c>
      <c r="P473" s="3"/>
    </row>
    <row r="474" customFormat="false" ht="15" hidden="false" customHeight="false" outlineLevel="0" collapsed="false">
      <c r="A474" s="15" t="s">
        <v>4909</v>
      </c>
      <c r="B474" s="15" t="s">
        <v>4572</v>
      </c>
      <c r="C474" s="15" t="s">
        <v>94</v>
      </c>
      <c r="D474" s="15" t="s">
        <v>4913</v>
      </c>
      <c r="E474" s="15" t="s">
        <v>104</v>
      </c>
      <c r="F474" s="15" t="s">
        <v>715</v>
      </c>
      <c r="G474" s="15" t="s">
        <v>2407</v>
      </c>
      <c r="H474" s="16" t="n">
        <v>92</v>
      </c>
      <c r="I474" s="15" t="n">
        <v>30</v>
      </c>
      <c r="J474" s="15" t="s">
        <v>5227</v>
      </c>
      <c r="K474" s="15" t="s">
        <v>5243</v>
      </c>
      <c r="L474" s="15" t="n">
        <v>3</v>
      </c>
      <c r="M474" s="15" t="s">
        <v>5161</v>
      </c>
      <c r="N474" s="18" t="str">
        <f aca="false">IFERROR(IF(ISNUMBER(SEARCH(D474,INDEX(Pages!$J$2:$J$824,MATCH(A474,Pages!$B$2:$B$824,0)))),"Yes","No"),"Page not found")</f>
        <v>No</v>
      </c>
      <c r="O474" s="3" t="s">
        <v>5471</v>
      </c>
      <c r="P474" s="3" t="s">
        <v>5472</v>
      </c>
    </row>
    <row r="475" customFormat="false" ht="23.85" hidden="false" customHeight="false" outlineLevel="0" collapsed="false">
      <c r="A475" s="15" t="s">
        <v>3773</v>
      </c>
      <c r="B475" s="15" t="s">
        <v>2076</v>
      </c>
      <c r="C475" s="15" t="s">
        <v>74</v>
      </c>
      <c r="D475" s="15" t="s">
        <v>3777</v>
      </c>
      <c r="E475" s="15" t="s">
        <v>104</v>
      </c>
      <c r="F475" s="15" t="s">
        <v>715</v>
      </c>
      <c r="G475" s="15" t="s">
        <v>2365</v>
      </c>
      <c r="H475" s="16" t="n">
        <v>92</v>
      </c>
      <c r="I475" s="15" t="n">
        <v>27</v>
      </c>
      <c r="J475" s="15" t="s">
        <v>5227</v>
      </c>
      <c r="K475" s="15" t="s">
        <v>5444</v>
      </c>
      <c r="L475" s="15" t="n">
        <v>3</v>
      </c>
      <c r="M475" s="15" t="s">
        <v>5161</v>
      </c>
      <c r="N475" s="18" t="str">
        <f aca="false">IFERROR(IF(ISNUMBER(SEARCH(D475,INDEX(Pages!$J$2:$J$824,MATCH(A475,Pages!$B$2:$B$824,0)))),"Yes","No"),"Page not found")</f>
        <v>Yes</v>
      </c>
      <c r="O475" s="3" t="s">
        <v>5426</v>
      </c>
      <c r="P475" s="3" t="s">
        <v>5483</v>
      </c>
    </row>
    <row r="476" customFormat="false" ht="15" hidden="false" customHeight="false" outlineLevel="0" collapsed="false">
      <c r="A476" s="15" t="s">
        <v>4975</v>
      </c>
      <c r="B476" s="15" t="s">
        <v>4572</v>
      </c>
      <c r="C476" s="15" t="s">
        <v>94</v>
      </c>
      <c r="D476" s="15" t="s">
        <v>4979</v>
      </c>
      <c r="E476" s="15" t="s">
        <v>104</v>
      </c>
      <c r="F476" s="15" t="s">
        <v>736</v>
      </c>
      <c r="G476" s="15" t="s">
        <v>2463</v>
      </c>
      <c r="H476" s="16" t="n">
        <v>91</v>
      </c>
      <c r="I476" s="15" t="n">
        <v>30</v>
      </c>
      <c r="J476" s="15" t="s">
        <v>5227</v>
      </c>
      <c r="K476" s="15" t="s">
        <v>5243</v>
      </c>
      <c r="L476" s="15" t="n">
        <v>3</v>
      </c>
      <c r="M476" s="15" t="s">
        <v>5161</v>
      </c>
      <c r="N476" s="18" t="str">
        <f aca="false">IFERROR(IF(ISNUMBER(SEARCH(D476,INDEX(Pages!$J$2:$J$824,MATCH(A476,Pages!$B$2:$B$824,0)))),"Yes","No"),"Page not found")</f>
        <v>No</v>
      </c>
      <c r="O476" s="3" t="s">
        <v>5471</v>
      </c>
      <c r="P476" s="3" t="s">
        <v>5472</v>
      </c>
    </row>
    <row r="477" customFormat="false" ht="15" hidden="false" customHeight="false" outlineLevel="0" collapsed="false">
      <c r="A477" s="15" t="s">
        <v>4247</v>
      </c>
      <c r="B477" s="15" t="s">
        <v>2076</v>
      </c>
      <c r="C477" s="15" t="s">
        <v>86</v>
      </c>
      <c r="D477" s="15" t="s">
        <v>4251</v>
      </c>
      <c r="E477" s="15" t="s">
        <v>104</v>
      </c>
      <c r="F477" s="15" t="s">
        <v>657</v>
      </c>
      <c r="G477" s="15" t="s">
        <v>2106</v>
      </c>
      <c r="H477" s="16" t="n">
        <v>91</v>
      </c>
      <c r="I477" s="15" t="n">
        <v>32</v>
      </c>
      <c r="J477" s="15" t="s">
        <v>5227</v>
      </c>
      <c r="K477" s="15" t="s">
        <v>5392</v>
      </c>
      <c r="L477" s="15" t="n">
        <v>5</v>
      </c>
      <c r="M477" s="15" t="s">
        <v>5161</v>
      </c>
      <c r="N477" s="18" t="str">
        <f aca="false">IFERROR(IF(ISNUMBER(SEARCH(D477,INDEX(Pages!$J$2:$J$824,MATCH(A477,Pages!$B$2:$B$824,0)))),"Yes","No"),"Page not found")</f>
        <v>Yes</v>
      </c>
      <c r="O477" s="3" t="s">
        <v>5426</v>
      </c>
      <c r="P477" s="3"/>
    </row>
    <row r="478" customFormat="false" ht="15" hidden="false" customHeight="false" outlineLevel="0" collapsed="false">
      <c r="A478" s="15" t="s">
        <v>2469</v>
      </c>
      <c r="B478" s="15" t="s">
        <v>2076</v>
      </c>
      <c r="C478" s="15" t="s">
        <v>89</v>
      </c>
      <c r="D478" s="15" t="s">
        <v>2474</v>
      </c>
      <c r="E478" s="15" t="s">
        <v>104</v>
      </c>
      <c r="F478" s="15" t="s">
        <v>736</v>
      </c>
      <c r="G478" s="15" t="s">
        <v>2470</v>
      </c>
      <c r="H478" s="16" t="n">
        <v>90</v>
      </c>
      <c r="I478" s="15" t="n">
        <v>33</v>
      </c>
      <c r="J478" s="15" t="s">
        <v>5227</v>
      </c>
      <c r="K478" s="15" t="s">
        <v>5473</v>
      </c>
      <c r="L478" s="15" t="n">
        <v>2</v>
      </c>
      <c r="M478" s="15" t="s">
        <v>5161</v>
      </c>
      <c r="N478" s="18" t="str">
        <f aca="false">IFERROR(IF(ISNUMBER(SEARCH(D478,INDEX(Pages!$J$2:$J$824,MATCH(A478,Pages!$B$2:$B$824,0)))),"Yes","No"),"Page not found")</f>
        <v>Yes</v>
      </c>
      <c r="O478" s="3" t="s">
        <v>5426</v>
      </c>
      <c r="P478" s="3"/>
    </row>
    <row r="479" customFormat="false" ht="15" hidden="false" customHeight="false" outlineLevel="0" collapsed="false">
      <c r="A479" s="15" t="s">
        <v>3167</v>
      </c>
      <c r="B479" s="15" t="s">
        <v>2076</v>
      </c>
      <c r="C479" s="15" t="s">
        <v>85</v>
      </c>
      <c r="D479" s="15" t="s">
        <v>3171</v>
      </c>
      <c r="E479" s="15" t="s">
        <v>104</v>
      </c>
      <c r="F479" s="15" t="s">
        <v>736</v>
      </c>
      <c r="G479" s="15" t="s">
        <v>2470</v>
      </c>
      <c r="H479" s="16" t="n">
        <v>90</v>
      </c>
      <c r="I479" s="15" t="n">
        <v>40</v>
      </c>
      <c r="J479" s="15" t="s">
        <v>5227</v>
      </c>
      <c r="K479" s="15" t="s">
        <v>5392</v>
      </c>
      <c r="L479" s="15" t="n">
        <v>4</v>
      </c>
      <c r="M479" s="15" t="s">
        <v>5161</v>
      </c>
      <c r="N479" s="18" t="str">
        <f aca="false">IFERROR(IF(ISNUMBER(SEARCH(D479,INDEX(Pages!$J$2:$J$824,MATCH(A479,Pages!$B$2:$B$824,0)))),"Yes","No"),"Page not found")</f>
        <v>Yes</v>
      </c>
      <c r="O479" s="3" t="s">
        <v>5426</v>
      </c>
      <c r="P479" s="3"/>
    </row>
    <row r="480" customFormat="false" ht="23.85" hidden="false" customHeight="false" outlineLevel="0" collapsed="false">
      <c r="A480" s="15" t="s">
        <v>4451</v>
      </c>
      <c r="B480" s="15" t="s">
        <v>2076</v>
      </c>
      <c r="C480" s="15" t="s">
        <v>86</v>
      </c>
      <c r="D480" s="15" t="s">
        <v>4455</v>
      </c>
      <c r="E480" s="15" t="s">
        <v>104</v>
      </c>
      <c r="F480" s="15" t="s">
        <v>715</v>
      </c>
      <c r="G480" s="15" t="s">
        <v>2344</v>
      </c>
      <c r="H480" s="16" t="n">
        <v>90</v>
      </c>
      <c r="I480" s="15" t="n">
        <v>32</v>
      </c>
      <c r="J480" s="15" t="s">
        <v>5227</v>
      </c>
      <c r="K480" s="15" t="s">
        <v>5392</v>
      </c>
      <c r="L480" s="15" t="n">
        <v>5</v>
      </c>
      <c r="M480" s="15" t="s">
        <v>5161</v>
      </c>
      <c r="N480" s="18" t="str">
        <f aca="false">IFERROR(IF(ISNUMBER(SEARCH(D480,INDEX(Pages!$J$2:$J$824,MATCH(A480,Pages!$B$2:$B$824,0)))),"Yes","No"),"Page not found")</f>
        <v>Yes</v>
      </c>
      <c r="O480" s="3" t="s">
        <v>5426</v>
      </c>
      <c r="P480" s="3" t="s">
        <v>5483</v>
      </c>
    </row>
    <row r="481" customFormat="false" ht="23.85" hidden="false" customHeight="false" outlineLevel="0" collapsed="false">
      <c r="A481" s="15" t="s">
        <v>2567</v>
      </c>
      <c r="B481" s="15" t="s">
        <v>2076</v>
      </c>
      <c r="C481" s="15" t="s">
        <v>82</v>
      </c>
      <c r="D481" s="15" t="s">
        <v>2571</v>
      </c>
      <c r="E481" s="15" t="s">
        <v>104</v>
      </c>
      <c r="F481" s="15" t="s">
        <v>673</v>
      </c>
      <c r="G481" s="15" t="s">
        <v>2176</v>
      </c>
      <c r="H481" s="16" t="n">
        <v>89</v>
      </c>
      <c r="I481" s="15" t="n">
        <v>44</v>
      </c>
      <c r="J481" s="15" t="s">
        <v>5227</v>
      </c>
      <c r="K481" s="15" t="s">
        <v>5228</v>
      </c>
      <c r="L481" s="15" t="n">
        <v>5</v>
      </c>
      <c r="M481" s="15" t="s">
        <v>5161</v>
      </c>
      <c r="N481" s="18" t="str">
        <f aca="false">IFERROR(IF(ISNUMBER(SEARCH(D481,INDEX(Pages!$J$2:$J$824,MATCH(A481,Pages!$B$2:$B$824,0)))),"Yes","No"),"Page not found")</f>
        <v>Yes</v>
      </c>
      <c r="O481" s="3" t="s">
        <v>5426</v>
      </c>
      <c r="P481" s="3" t="s">
        <v>5499</v>
      </c>
    </row>
    <row r="482" customFormat="false" ht="15" hidden="false" customHeight="false" outlineLevel="0" collapsed="false">
      <c r="A482" s="15" t="s">
        <v>4241</v>
      </c>
      <c r="B482" s="15" t="s">
        <v>2076</v>
      </c>
      <c r="C482" s="15" t="s">
        <v>86</v>
      </c>
      <c r="D482" s="15" t="s">
        <v>4245</v>
      </c>
      <c r="E482" s="15" t="s">
        <v>104</v>
      </c>
      <c r="F482" s="15" t="s">
        <v>657</v>
      </c>
      <c r="G482" s="15" t="s">
        <v>2099</v>
      </c>
      <c r="H482" s="16" t="n">
        <v>89</v>
      </c>
      <c r="I482" s="15" t="n">
        <v>32</v>
      </c>
      <c r="J482" s="15" t="s">
        <v>5227</v>
      </c>
      <c r="K482" s="15" t="s">
        <v>5392</v>
      </c>
      <c r="L482" s="15" t="n">
        <v>5</v>
      </c>
      <c r="M482" s="15" t="s">
        <v>5161</v>
      </c>
      <c r="N482" s="18" t="str">
        <f aca="false">IFERROR(IF(ISNUMBER(SEARCH(D482,INDEX(Pages!$J$2:$J$824,MATCH(A482,Pages!$B$2:$B$824,0)))),"Yes","No"),"Page not found")</f>
        <v>Yes</v>
      </c>
      <c r="O482" s="3" t="s">
        <v>5426</v>
      </c>
      <c r="P482" s="3"/>
    </row>
    <row r="483" customFormat="false" ht="15" hidden="false" customHeight="false" outlineLevel="0" collapsed="false">
      <c r="A483" s="15" t="s">
        <v>2287</v>
      </c>
      <c r="B483" s="15" t="s">
        <v>2076</v>
      </c>
      <c r="C483" s="15" t="s">
        <v>89</v>
      </c>
      <c r="D483" s="15" t="s">
        <v>2292</v>
      </c>
      <c r="E483" s="15" t="s">
        <v>104</v>
      </c>
      <c r="F483" s="15" t="s">
        <v>715</v>
      </c>
      <c r="G483" s="15" t="s">
        <v>2288</v>
      </c>
      <c r="H483" s="16" t="n">
        <v>88</v>
      </c>
      <c r="I483" s="15" t="n">
        <v>41</v>
      </c>
      <c r="J483" s="15" t="s">
        <v>5227</v>
      </c>
      <c r="K483" s="15" t="s">
        <v>5473</v>
      </c>
      <c r="L483" s="15" t="n">
        <v>3</v>
      </c>
      <c r="M483" s="15" t="s">
        <v>5161</v>
      </c>
      <c r="N483" s="18" t="str">
        <f aca="false">IFERROR(IF(ISNUMBER(SEARCH(D483,INDEX(Pages!$J$2:$J$824,MATCH(A483,Pages!$B$2:$B$824,0)))),"Yes","No"),"Page not found")</f>
        <v>Yes</v>
      </c>
      <c r="O483" s="3" t="s">
        <v>5426</v>
      </c>
      <c r="P483" s="3"/>
    </row>
    <row r="484" customFormat="false" ht="15" hidden="false" customHeight="false" outlineLevel="0" collapsed="false">
      <c r="A484" s="15" t="s">
        <v>3011</v>
      </c>
      <c r="B484" s="15" t="s">
        <v>2076</v>
      </c>
      <c r="C484" s="15" t="s">
        <v>85</v>
      </c>
      <c r="D484" s="15" t="s">
        <v>3015</v>
      </c>
      <c r="E484" s="15" t="s">
        <v>104</v>
      </c>
      <c r="F484" s="15" t="s">
        <v>715</v>
      </c>
      <c r="G484" s="15" t="s">
        <v>2288</v>
      </c>
      <c r="H484" s="16" t="n">
        <v>88</v>
      </c>
      <c r="I484" s="15" t="n">
        <v>48</v>
      </c>
      <c r="J484" s="15" t="s">
        <v>5227</v>
      </c>
      <c r="K484" s="15" t="s">
        <v>5392</v>
      </c>
      <c r="L484" s="15" t="n">
        <v>4</v>
      </c>
      <c r="M484" s="15" t="s">
        <v>5161</v>
      </c>
      <c r="N484" s="18" t="str">
        <f aca="false">IFERROR(IF(ISNUMBER(SEARCH(D484,INDEX(Pages!$J$2:$J$824,MATCH(A484,Pages!$B$2:$B$824,0)))),"Yes","No"),"Page not found")</f>
        <v>Yes</v>
      </c>
      <c r="O484" s="3" t="s">
        <v>5426</v>
      </c>
      <c r="P484" s="3"/>
    </row>
    <row r="485" customFormat="false" ht="15" hidden="false" customHeight="false" outlineLevel="0" collapsed="false">
      <c r="A485" s="15" t="s">
        <v>1235</v>
      </c>
      <c r="B485" s="15" t="s">
        <v>656</v>
      </c>
      <c r="C485" s="15" t="s">
        <v>78</v>
      </c>
      <c r="D485" s="15" t="s">
        <v>1239</v>
      </c>
      <c r="E485" s="15" t="s">
        <v>662</v>
      </c>
      <c r="F485" s="15" t="s">
        <v>680</v>
      </c>
      <c r="G485" s="15"/>
      <c r="H485" s="16" t="n">
        <v>88</v>
      </c>
      <c r="I485" s="15" t="n">
        <v>39</v>
      </c>
      <c r="J485" s="15" t="s">
        <v>5159</v>
      </c>
      <c r="K485" s="15" t="s">
        <v>5418</v>
      </c>
      <c r="L485" s="15" t="n">
        <v>3</v>
      </c>
      <c r="M485" s="15" t="s">
        <v>5161</v>
      </c>
      <c r="N485" s="18" t="str">
        <f aca="false">IFERROR(IF(ISNUMBER(SEARCH(D485,INDEX(Pages!$J$2:$J$824,MATCH(A485,Pages!$B$2:$B$824,0)))),"Yes","No"),"Page not found")</f>
        <v>No</v>
      </c>
      <c r="O485" s="3" t="s">
        <v>5426</v>
      </c>
      <c r="P485" s="3"/>
    </row>
    <row r="486" customFormat="false" ht="15" hidden="false" customHeight="false" outlineLevel="0" collapsed="false">
      <c r="A486" s="15" t="s">
        <v>4067</v>
      </c>
      <c r="B486" s="15" t="s">
        <v>2076</v>
      </c>
      <c r="C486" s="15" t="s">
        <v>81</v>
      </c>
      <c r="D486" s="15" t="s">
        <v>4071</v>
      </c>
      <c r="E486" s="15" t="s">
        <v>104</v>
      </c>
      <c r="F486" s="15" t="s">
        <v>715</v>
      </c>
      <c r="G486" s="15" t="s">
        <v>2302</v>
      </c>
      <c r="H486" s="16" t="n">
        <v>88</v>
      </c>
      <c r="I486" s="15" t="n">
        <v>36</v>
      </c>
      <c r="J486" s="15" t="s">
        <v>5227</v>
      </c>
      <c r="K486" s="15" t="s">
        <v>5235</v>
      </c>
      <c r="L486" s="15" t="n">
        <v>4</v>
      </c>
      <c r="M486" s="15" t="s">
        <v>5161</v>
      </c>
      <c r="N486" s="18" t="str">
        <f aca="false">IFERROR(IF(ISNUMBER(SEARCH(D486,INDEX(Pages!$J$2:$J$824,MATCH(A486,Pages!$B$2:$B$824,0)))),"Yes","No"),"Page not found")</f>
        <v>Yes</v>
      </c>
      <c r="O486" s="3" t="s">
        <v>5426</v>
      </c>
      <c r="P486" s="3"/>
    </row>
    <row r="487" customFormat="false" ht="15" hidden="false" customHeight="false" outlineLevel="0" collapsed="false">
      <c r="A487" s="15" t="s">
        <v>4523</v>
      </c>
      <c r="B487" s="15" t="s">
        <v>2076</v>
      </c>
      <c r="C487" s="15" t="s">
        <v>86</v>
      </c>
      <c r="D487" s="15" t="s">
        <v>4527</v>
      </c>
      <c r="E487" s="15" t="s">
        <v>104</v>
      </c>
      <c r="F487" s="15" t="s">
        <v>729</v>
      </c>
      <c r="G487" s="15" t="s">
        <v>2428</v>
      </c>
      <c r="H487" s="16" t="n">
        <v>88</v>
      </c>
      <c r="I487" s="15" t="n">
        <v>44</v>
      </c>
      <c r="J487" s="15" t="s">
        <v>5227</v>
      </c>
      <c r="K487" s="15" t="s">
        <v>5392</v>
      </c>
      <c r="L487" s="15" t="n">
        <v>5</v>
      </c>
      <c r="M487" s="15" t="s">
        <v>5161</v>
      </c>
      <c r="N487" s="18" t="str">
        <f aca="false">IFERROR(IF(ISNUMBER(SEARCH(D487,INDEX(Pages!$J$2:$J$824,MATCH(A487,Pages!$B$2:$B$824,0)))),"Yes","No"),"Page not found")</f>
        <v>Yes</v>
      </c>
      <c r="O487" s="3" t="s">
        <v>5408</v>
      </c>
      <c r="P487" s="3" t="s">
        <v>5427</v>
      </c>
    </row>
    <row r="488" customFormat="false" ht="15" hidden="false" customHeight="false" outlineLevel="0" collapsed="false">
      <c r="A488" s="15" t="s">
        <v>2119</v>
      </c>
      <c r="B488" s="15" t="s">
        <v>2076</v>
      </c>
      <c r="C488" s="15" t="s">
        <v>89</v>
      </c>
      <c r="D488" s="15" t="s">
        <v>2124</v>
      </c>
      <c r="E488" s="15" t="s">
        <v>104</v>
      </c>
      <c r="F488" s="15" t="s">
        <v>666</v>
      </c>
      <c r="G488" s="15" t="s">
        <v>2120</v>
      </c>
      <c r="H488" s="16" t="n">
        <v>86</v>
      </c>
      <c r="I488" s="15" t="n">
        <v>33</v>
      </c>
      <c r="J488" s="15" t="s">
        <v>5227</v>
      </c>
      <c r="K488" s="15" t="s">
        <v>5473</v>
      </c>
      <c r="L488" s="15" t="n">
        <v>2</v>
      </c>
      <c r="M488" s="15" t="s">
        <v>5161</v>
      </c>
      <c r="N488" s="18" t="str">
        <f aca="false">IFERROR(IF(ISNUMBER(SEARCH(D488,INDEX(Pages!$J$2:$J$824,MATCH(A488,Pages!$B$2:$B$824,0)))),"Yes","No"),"Page not found")</f>
        <v>Yes</v>
      </c>
      <c r="O488" s="3" t="s">
        <v>5426</v>
      </c>
      <c r="P488" s="3"/>
    </row>
    <row r="489" customFormat="false" ht="15" hidden="false" customHeight="false" outlineLevel="0" collapsed="false">
      <c r="A489" s="15" t="s">
        <v>2867</v>
      </c>
      <c r="B489" s="15" t="s">
        <v>2076</v>
      </c>
      <c r="C489" s="15" t="s">
        <v>85</v>
      </c>
      <c r="D489" s="15" t="s">
        <v>2871</v>
      </c>
      <c r="E489" s="15" t="s">
        <v>104</v>
      </c>
      <c r="F489" s="15" t="s">
        <v>666</v>
      </c>
      <c r="G489" s="15" t="s">
        <v>2120</v>
      </c>
      <c r="H489" s="16" t="n">
        <v>86</v>
      </c>
      <c r="I489" s="15" t="n">
        <v>40</v>
      </c>
      <c r="J489" s="15" t="s">
        <v>5227</v>
      </c>
      <c r="K489" s="15" t="s">
        <v>5392</v>
      </c>
      <c r="L489" s="15" t="n">
        <v>4</v>
      </c>
      <c r="M489" s="15" t="s">
        <v>5161</v>
      </c>
      <c r="N489" s="18" t="str">
        <f aca="false">IFERROR(IF(ISNUMBER(SEARCH(D489,INDEX(Pages!$J$2:$J$824,MATCH(A489,Pages!$B$2:$B$824,0)))),"Yes","No"),"Page not found")</f>
        <v>Yes</v>
      </c>
      <c r="O489" s="3" t="s">
        <v>5426</v>
      </c>
      <c r="P489" s="3"/>
    </row>
    <row r="490" customFormat="false" ht="23.85" hidden="false" customHeight="false" outlineLevel="0" collapsed="false">
      <c r="A490" s="15" t="s">
        <v>3557</v>
      </c>
      <c r="B490" s="15" t="s">
        <v>2076</v>
      </c>
      <c r="C490" s="15" t="s">
        <v>74</v>
      </c>
      <c r="D490" s="15" t="s">
        <v>3561</v>
      </c>
      <c r="E490" s="15" t="s">
        <v>104</v>
      </c>
      <c r="F490" s="15" t="s">
        <v>666</v>
      </c>
      <c r="G490" s="15" t="s">
        <v>2113</v>
      </c>
      <c r="H490" s="16" t="n">
        <v>86</v>
      </c>
      <c r="I490" s="15" t="n">
        <v>27</v>
      </c>
      <c r="J490" s="15" t="s">
        <v>5227</v>
      </c>
      <c r="K490" s="15" t="s">
        <v>5444</v>
      </c>
      <c r="L490" s="15" t="n">
        <v>3</v>
      </c>
      <c r="M490" s="15" t="s">
        <v>5161</v>
      </c>
      <c r="N490" s="18" t="str">
        <f aca="false">IFERROR(IF(ISNUMBER(SEARCH(D490,INDEX(Pages!$J$2:$J$824,MATCH(A490,Pages!$B$2:$B$824,0)))),"Yes","No"),"Page not found")</f>
        <v>Yes</v>
      </c>
      <c r="O490" s="3" t="s">
        <v>5426</v>
      </c>
      <c r="P490" s="3" t="s">
        <v>5483</v>
      </c>
    </row>
    <row r="491" customFormat="false" ht="15" hidden="false" customHeight="false" outlineLevel="0" collapsed="false">
      <c r="A491" s="15" t="s">
        <v>911</v>
      </c>
      <c r="B491" s="15" t="s">
        <v>656</v>
      </c>
      <c r="C491" s="15" t="s">
        <v>90</v>
      </c>
      <c r="D491" s="15" t="s">
        <v>915</v>
      </c>
      <c r="E491" s="15" t="s">
        <v>662</v>
      </c>
      <c r="F491" s="15" t="s">
        <v>666</v>
      </c>
      <c r="G491" s="15"/>
      <c r="H491" s="16" t="n">
        <v>85</v>
      </c>
      <c r="I491" s="15" t="n">
        <v>29</v>
      </c>
      <c r="J491" s="15" t="s">
        <v>5159</v>
      </c>
      <c r="K491" s="15" t="s">
        <v>5425</v>
      </c>
      <c r="L491" s="15" t="n">
        <v>3</v>
      </c>
      <c r="M491" s="15" t="s">
        <v>5161</v>
      </c>
      <c r="N491" s="18" t="str">
        <f aca="false">IFERROR(IF(ISNUMBER(SEARCH(D491,INDEX(Pages!$J$2:$J$824,MATCH(A491,Pages!$B$2:$B$824,0)))),"Yes","No"),"Page not found")</f>
        <v>No</v>
      </c>
      <c r="O491" s="3" t="s">
        <v>5426</v>
      </c>
      <c r="P491" s="3"/>
    </row>
    <row r="492" customFormat="false" ht="15" hidden="false" customHeight="false" outlineLevel="0" collapsed="false">
      <c r="A492" s="15" t="s">
        <v>1847</v>
      </c>
      <c r="B492" s="15" t="s">
        <v>656</v>
      </c>
      <c r="C492" s="15" t="s">
        <v>74</v>
      </c>
      <c r="D492" s="15" t="s">
        <v>1851</v>
      </c>
      <c r="E492" s="15" t="s">
        <v>662</v>
      </c>
      <c r="F492" s="15" t="s">
        <v>666</v>
      </c>
      <c r="G492" s="15"/>
      <c r="H492" s="16" t="n">
        <v>85</v>
      </c>
      <c r="I492" s="15" t="n">
        <v>38</v>
      </c>
      <c r="J492" s="15" t="s">
        <v>5159</v>
      </c>
      <c r="K492" s="15" t="s">
        <v>5440</v>
      </c>
      <c r="L492" s="15" t="n">
        <v>3</v>
      </c>
      <c r="M492" s="15" t="s">
        <v>5161</v>
      </c>
      <c r="N492" s="18" t="str">
        <f aca="false">IFERROR(IF(ISNUMBER(SEARCH(D492,INDEX(Pages!$J$2:$J$824,MATCH(A492,Pages!$B$2:$B$824,0)))),"Yes","No"),"Page not found")</f>
        <v>No</v>
      </c>
      <c r="O492" s="3" t="s">
        <v>5224</v>
      </c>
      <c r="P492" s="3"/>
    </row>
    <row r="493" customFormat="false" ht="15" hidden="false" customHeight="false" outlineLevel="0" collapsed="false">
      <c r="A493" s="15" t="s">
        <v>3485</v>
      </c>
      <c r="B493" s="15" t="s">
        <v>2076</v>
      </c>
      <c r="C493" s="15" t="s">
        <v>84</v>
      </c>
      <c r="D493" s="15" t="s">
        <v>3489</v>
      </c>
      <c r="E493" s="15" t="s">
        <v>104</v>
      </c>
      <c r="F493" s="15" t="s">
        <v>729</v>
      </c>
      <c r="G493" s="15" t="s">
        <v>2435</v>
      </c>
      <c r="H493" s="16" t="n">
        <v>84</v>
      </c>
      <c r="I493" s="15" t="n">
        <v>40</v>
      </c>
      <c r="J493" s="15" t="s">
        <v>5227</v>
      </c>
      <c r="K493" s="15" t="s">
        <v>5392</v>
      </c>
      <c r="L493" s="15" t="n">
        <v>5</v>
      </c>
      <c r="M493" s="15" t="s">
        <v>5161</v>
      </c>
      <c r="N493" s="18" t="str">
        <f aca="false">IFERROR(IF(ISNUMBER(SEARCH(D493,INDEX(Pages!$J$2:$J$824,MATCH(A493,Pages!$B$2:$B$824,0)))),"Yes","No"),"Page not found")</f>
        <v>Yes</v>
      </c>
      <c r="O493" s="3" t="s">
        <v>5426</v>
      </c>
      <c r="P493" s="3" t="s">
        <v>5427</v>
      </c>
    </row>
    <row r="494" customFormat="false" ht="23.85" hidden="false" customHeight="false" outlineLevel="0" collapsed="false">
      <c r="A494" s="15" t="s">
        <v>3569</v>
      </c>
      <c r="B494" s="15" t="s">
        <v>2076</v>
      </c>
      <c r="C494" s="15" t="s">
        <v>74</v>
      </c>
      <c r="D494" s="15" t="s">
        <v>3573</v>
      </c>
      <c r="E494" s="15" t="s">
        <v>104</v>
      </c>
      <c r="F494" s="15" t="s">
        <v>666</v>
      </c>
      <c r="G494" s="15" t="s">
        <v>2127</v>
      </c>
      <c r="H494" s="16" t="n">
        <v>84</v>
      </c>
      <c r="I494" s="15" t="n">
        <v>27</v>
      </c>
      <c r="J494" s="15" t="s">
        <v>5227</v>
      </c>
      <c r="K494" s="15" t="s">
        <v>5444</v>
      </c>
      <c r="L494" s="15" t="n">
        <v>3</v>
      </c>
      <c r="M494" s="15" t="s">
        <v>5161</v>
      </c>
      <c r="N494" s="18" t="str">
        <f aca="false">IFERROR(IF(ISNUMBER(SEARCH(D494,INDEX(Pages!$J$2:$J$824,MATCH(A494,Pages!$B$2:$B$824,0)))),"Yes","No"),"Page not found")</f>
        <v>Yes</v>
      </c>
      <c r="O494" s="3" t="s">
        <v>5426</v>
      </c>
      <c r="P494" s="3" t="s">
        <v>5483</v>
      </c>
    </row>
    <row r="495" customFormat="false" ht="15" hidden="false" customHeight="false" outlineLevel="0" collapsed="false">
      <c r="A495" s="15" t="s">
        <v>1439</v>
      </c>
      <c r="B495" s="15" t="s">
        <v>656</v>
      </c>
      <c r="C495" s="15" t="s">
        <v>74</v>
      </c>
      <c r="D495" s="15" t="s">
        <v>1443</v>
      </c>
      <c r="E495" s="15" t="s">
        <v>662</v>
      </c>
      <c r="F495" s="15" t="s">
        <v>736</v>
      </c>
      <c r="G495" s="15"/>
      <c r="H495" s="16" t="n">
        <v>84</v>
      </c>
      <c r="I495" s="15" t="n">
        <v>34</v>
      </c>
      <c r="J495" s="15" t="s">
        <v>5159</v>
      </c>
      <c r="K495" s="15" t="s">
        <v>5440</v>
      </c>
      <c r="L495" s="15" t="n">
        <v>2</v>
      </c>
      <c r="M495" s="15" t="s">
        <v>5161</v>
      </c>
      <c r="N495" s="18" t="str">
        <f aca="false">IFERROR(IF(ISNUMBER(SEARCH(D495,INDEX(Pages!$J$2:$J$824,MATCH(A495,Pages!$B$2:$B$824,0)))),"Yes","No"),"Page not found")</f>
        <v>No</v>
      </c>
      <c r="O495" s="3" t="s">
        <v>5426</v>
      </c>
      <c r="P495" s="3"/>
    </row>
    <row r="496" customFormat="false" ht="15" hidden="false" customHeight="false" outlineLevel="0" collapsed="false">
      <c r="A496" s="15" t="s">
        <v>4301</v>
      </c>
      <c r="B496" s="15" t="s">
        <v>2076</v>
      </c>
      <c r="C496" s="15" t="s">
        <v>86</v>
      </c>
      <c r="D496" s="15" t="s">
        <v>4305</v>
      </c>
      <c r="E496" s="15" t="s">
        <v>104</v>
      </c>
      <c r="F496" s="15" t="s">
        <v>666</v>
      </c>
      <c r="G496" s="15" t="s">
        <v>2169</v>
      </c>
      <c r="H496" s="16" t="n">
        <v>84</v>
      </c>
      <c r="I496" s="15" t="n">
        <v>40</v>
      </c>
      <c r="J496" s="15" t="s">
        <v>5227</v>
      </c>
      <c r="K496" s="15" t="s">
        <v>5392</v>
      </c>
      <c r="L496" s="15" t="n">
        <v>5</v>
      </c>
      <c r="M496" s="15" t="s">
        <v>5161</v>
      </c>
      <c r="N496" s="18" t="str">
        <f aca="false">IFERROR(IF(ISNUMBER(SEARCH(D496,INDEX(Pages!$J$2:$J$824,MATCH(A496,Pages!$B$2:$B$824,0)))),"Yes","No"),"Page not found")</f>
        <v>Yes</v>
      </c>
      <c r="O496" s="3" t="s">
        <v>5426</v>
      </c>
      <c r="P496" s="3"/>
    </row>
    <row r="497" customFormat="false" ht="23.85" hidden="false" customHeight="false" outlineLevel="0" collapsed="false">
      <c r="A497" s="15" t="s">
        <v>3665</v>
      </c>
      <c r="B497" s="15" t="s">
        <v>2076</v>
      </c>
      <c r="C497" s="15" t="s">
        <v>74</v>
      </c>
      <c r="D497" s="15" t="s">
        <v>3669</v>
      </c>
      <c r="E497" s="15" t="s">
        <v>104</v>
      </c>
      <c r="F497" s="15" t="s">
        <v>715</v>
      </c>
      <c r="G497" s="15" t="s">
        <v>2239</v>
      </c>
      <c r="H497" s="16" t="n">
        <v>83</v>
      </c>
      <c r="I497" s="15" t="n">
        <v>35</v>
      </c>
      <c r="J497" s="15" t="s">
        <v>5227</v>
      </c>
      <c r="K497" s="15" t="s">
        <v>5444</v>
      </c>
      <c r="L497" s="15" t="n">
        <v>3</v>
      </c>
      <c r="M497" s="15" t="s">
        <v>5161</v>
      </c>
      <c r="N497" s="18" t="str">
        <f aca="false">IFERROR(IF(ISNUMBER(SEARCH(D497,INDEX(Pages!$J$2:$J$824,MATCH(A497,Pages!$B$2:$B$824,0)))),"Yes","No"),"Page not found")</f>
        <v>Yes</v>
      </c>
      <c r="O497" s="3" t="s">
        <v>5426</v>
      </c>
      <c r="P497" s="3" t="s">
        <v>5483</v>
      </c>
    </row>
    <row r="498" customFormat="false" ht="15" hidden="false" customHeight="false" outlineLevel="0" collapsed="false">
      <c r="A498" s="15" t="s">
        <v>3575</v>
      </c>
      <c r="B498" s="15" t="s">
        <v>2076</v>
      </c>
      <c r="C498" s="15" t="s">
        <v>74</v>
      </c>
      <c r="D498" s="15" t="s">
        <v>3579</v>
      </c>
      <c r="E498" s="15" t="s">
        <v>104</v>
      </c>
      <c r="F498" s="15" t="s">
        <v>666</v>
      </c>
      <c r="G498" s="15" t="s">
        <v>2134</v>
      </c>
      <c r="H498" s="16" t="n">
        <v>82</v>
      </c>
      <c r="I498" s="15" t="n">
        <v>35</v>
      </c>
      <c r="J498" s="15" t="s">
        <v>5227</v>
      </c>
      <c r="K498" s="15" t="s">
        <v>5444</v>
      </c>
      <c r="L498" s="15" t="n">
        <v>2</v>
      </c>
      <c r="M498" s="15" t="s">
        <v>5161</v>
      </c>
      <c r="N498" s="18" t="str">
        <f aca="false">IFERROR(IF(ISNUMBER(SEARCH(D498,INDEX(Pages!$J$2:$J$824,MATCH(A498,Pages!$B$2:$B$824,0)))),"Yes","No"),"Page not found")</f>
        <v>Yes</v>
      </c>
      <c r="O498" s="3" t="s">
        <v>5426</v>
      </c>
      <c r="P498" s="3"/>
    </row>
    <row r="499" customFormat="false" ht="23.85" hidden="false" customHeight="false" outlineLevel="0" collapsed="false">
      <c r="A499" s="15" t="s">
        <v>3689</v>
      </c>
      <c r="B499" s="15" t="s">
        <v>2076</v>
      </c>
      <c r="C499" s="15" t="s">
        <v>74</v>
      </c>
      <c r="D499" s="15" t="s">
        <v>3693</v>
      </c>
      <c r="E499" s="15" t="s">
        <v>104</v>
      </c>
      <c r="F499" s="15" t="s">
        <v>715</v>
      </c>
      <c r="G499" s="15" t="s">
        <v>2267</v>
      </c>
      <c r="H499" s="16" t="n">
        <v>82</v>
      </c>
      <c r="I499" s="15" t="n">
        <v>35</v>
      </c>
      <c r="J499" s="15" t="s">
        <v>5227</v>
      </c>
      <c r="K499" s="15" t="s">
        <v>5444</v>
      </c>
      <c r="L499" s="15" t="n">
        <v>3</v>
      </c>
      <c r="M499" s="15" t="s">
        <v>5161</v>
      </c>
      <c r="N499" s="18" t="str">
        <f aca="false">IFERROR(IF(ISNUMBER(SEARCH(D499,INDEX(Pages!$J$2:$J$824,MATCH(A499,Pages!$B$2:$B$824,0)))),"Yes","No"),"Page not found")</f>
        <v>Yes</v>
      </c>
      <c r="O499" s="3" t="s">
        <v>5426</v>
      </c>
      <c r="P499" s="3" t="s">
        <v>5483</v>
      </c>
    </row>
    <row r="500" customFormat="false" ht="15" hidden="false" customHeight="false" outlineLevel="0" collapsed="false">
      <c r="A500" s="15" t="s">
        <v>1061</v>
      </c>
      <c r="B500" s="15" t="s">
        <v>656</v>
      </c>
      <c r="C500" s="15" t="s">
        <v>77</v>
      </c>
      <c r="D500" s="15" t="s">
        <v>1065</v>
      </c>
      <c r="E500" s="15" t="s">
        <v>662</v>
      </c>
      <c r="F500" s="15" t="s">
        <v>657</v>
      </c>
      <c r="G500" s="15"/>
      <c r="H500" s="16" t="n">
        <v>81</v>
      </c>
      <c r="I500" s="15" t="n">
        <v>32</v>
      </c>
      <c r="J500" s="15" t="s">
        <v>5159</v>
      </c>
      <c r="K500" s="15" t="s">
        <v>5254</v>
      </c>
      <c r="L500" s="15" t="n">
        <v>2</v>
      </c>
      <c r="M500" s="15" t="s">
        <v>5161</v>
      </c>
      <c r="N500" s="18" t="str">
        <f aca="false">IFERROR(IF(ISNUMBER(SEARCH(D500,INDEX(Pages!$J$2:$J$824,MATCH(A500,Pages!$B$2:$B$824,0)))),"Yes","No"),"Page not found")</f>
        <v>No</v>
      </c>
      <c r="O500" s="3" t="s">
        <v>5426</v>
      </c>
      <c r="P500" s="3"/>
    </row>
    <row r="501" customFormat="false" ht="15" hidden="false" customHeight="false" outlineLevel="0" collapsed="false">
      <c r="A501" s="15" t="s">
        <v>679</v>
      </c>
      <c r="B501" s="15" t="s">
        <v>656</v>
      </c>
      <c r="C501" s="15" t="s">
        <v>89</v>
      </c>
      <c r="D501" s="15" t="s">
        <v>684</v>
      </c>
      <c r="E501" s="15" t="s">
        <v>662</v>
      </c>
      <c r="F501" s="15" t="s">
        <v>680</v>
      </c>
      <c r="G501" s="15"/>
      <c r="H501" s="16" t="n">
        <v>80</v>
      </c>
      <c r="I501" s="15" t="n">
        <v>34</v>
      </c>
      <c r="J501" s="15" t="s">
        <v>5159</v>
      </c>
      <c r="K501" s="15" t="s">
        <v>5425</v>
      </c>
      <c r="L501" s="15" t="n">
        <v>3</v>
      </c>
      <c r="M501" s="15" t="s">
        <v>5161</v>
      </c>
      <c r="N501" s="18" t="str">
        <f aca="false">IFERROR(IF(ISNUMBER(SEARCH(D501,INDEX(Pages!$J$2:$J$824,MATCH(A501,Pages!$B$2:$B$824,0)))),"Yes","No"),"Page not found")</f>
        <v>No</v>
      </c>
      <c r="O501" s="3" t="s">
        <v>5426</v>
      </c>
      <c r="P501" s="3"/>
    </row>
    <row r="502" customFormat="false" ht="15" hidden="false" customHeight="false" outlineLevel="0" collapsed="false">
      <c r="A502" s="15" t="s">
        <v>2406</v>
      </c>
      <c r="B502" s="15" t="s">
        <v>2076</v>
      </c>
      <c r="C502" s="15" t="s">
        <v>89</v>
      </c>
      <c r="D502" s="15" t="s">
        <v>2411</v>
      </c>
      <c r="E502" s="15" t="s">
        <v>104</v>
      </c>
      <c r="F502" s="15" t="s">
        <v>715</v>
      </c>
      <c r="G502" s="15" t="s">
        <v>2407</v>
      </c>
      <c r="H502" s="16" t="n">
        <v>80</v>
      </c>
      <c r="I502" s="15" t="n">
        <v>41</v>
      </c>
      <c r="J502" s="15" t="s">
        <v>5227</v>
      </c>
      <c r="K502" s="15" t="s">
        <v>5473</v>
      </c>
      <c r="L502" s="15" t="n">
        <v>3</v>
      </c>
      <c r="M502" s="15" t="s">
        <v>5161</v>
      </c>
      <c r="N502" s="18" t="str">
        <f aca="false">IFERROR(IF(ISNUMBER(SEARCH(D502,INDEX(Pages!$J$2:$J$824,MATCH(A502,Pages!$B$2:$B$824,0)))),"Yes","No"),"Page not found")</f>
        <v>Yes</v>
      </c>
      <c r="O502" s="3" t="s">
        <v>5426</v>
      </c>
      <c r="P502" s="3"/>
    </row>
    <row r="503" customFormat="false" ht="15" hidden="false" customHeight="false" outlineLevel="0" collapsed="false">
      <c r="A503" s="15" t="s">
        <v>3113</v>
      </c>
      <c r="B503" s="15" t="s">
        <v>2076</v>
      </c>
      <c r="C503" s="15" t="s">
        <v>85</v>
      </c>
      <c r="D503" s="15" t="s">
        <v>3117</v>
      </c>
      <c r="E503" s="15" t="s">
        <v>104</v>
      </c>
      <c r="F503" s="15" t="s">
        <v>715</v>
      </c>
      <c r="G503" s="15" t="s">
        <v>2407</v>
      </c>
      <c r="H503" s="16" t="n">
        <v>80</v>
      </c>
      <c r="I503" s="15" t="n">
        <v>48</v>
      </c>
      <c r="J503" s="15" t="s">
        <v>5227</v>
      </c>
      <c r="K503" s="15" t="s">
        <v>5392</v>
      </c>
      <c r="L503" s="15" t="n">
        <v>4</v>
      </c>
      <c r="M503" s="15" t="s">
        <v>5161</v>
      </c>
      <c r="N503" s="18" t="str">
        <f aca="false">IFERROR(IF(ISNUMBER(SEARCH(D503,INDEX(Pages!$J$2:$J$824,MATCH(A503,Pages!$B$2:$B$824,0)))),"Yes","No"),"Page not found")</f>
        <v>Yes</v>
      </c>
      <c r="O503" s="3" t="s">
        <v>5426</v>
      </c>
      <c r="P503" s="3"/>
    </row>
    <row r="504" customFormat="false" ht="15" hidden="false" customHeight="false" outlineLevel="0" collapsed="false">
      <c r="A504" s="15" t="s">
        <v>2462</v>
      </c>
      <c r="B504" s="15" t="s">
        <v>2076</v>
      </c>
      <c r="C504" s="15" t="s">
        <v>89</v>
      </c>
      <c r="D504" s="15" t="s">
        <v>2467</v>
      </c>
      <c r="E504" s="15" t="s">
        <v>104</v>
      </c>
      <c r="F504" s="15" t="s">
        <v>736</v>
      </c>
      <c r="G504" s="15" t="s">
        <v>2463</v>
      </c>
      <c r="H504" s="16" t="n">
        <v>79</v>
      </c>
      <c r="I504" s="15" t="n">
        <v>33</v>
      </c>
      <c r="J504" s="15" t="s">
        <v>5227</v>
      </c>
      <c r="K504" s="15" t="s">
        <v>5473</v>
      </c>
      <c r="L504" s="15" t="n">
        <v>3</v>
      </c>
      <c r="M504" s="15" t="s">
        <v>5161</v>
      </c>
      <c r="N504" s="18" t="str">
        <f aca="false">IFERROR(IF(ISNUMBER(SEARCH(D504,INDEX(Pages!$J$2:$J$824,MATCH(A504,Pages!$B$2:$B$824,0)))),"Yes","No"),"Page not found")</f>
        <v>Yes</v>
      </c>
      <c r="O504" s="3" t="s">
        <v>5426</v>
      </c>
      <c r="P504" s="3"/>
    </row>
    <row r="505" customFormat="false" ht="15" hidden="false" customHeight="false" outlineLevel="0" collapsed="false">
      <c r="A505" s="15" t="s">
        <v>3161</v>
      </c>
      <c r="B505" s="15" t="s">
        <v>2076</v>
      </c>
      <c r="C505" s="15" t="s">
        <v>85</v>
      </c>
      <c r="D505" s="15" t="s">
        <v>3165</v>
      </c>
      <c r="E505" s="15" t="s">
        <v>104</v>
      </c>
      <c r="F505" s="15" t="s">
        <v>736</v>
      </c>
      <c r="G505" s="15" t="s">
        <v>2463</v>
      </c>
      <c r="H505" s="16" t="n">
        <v>79</v>
      </c>
      <c r="I505" s="15" t="n">
        <v>40</v>
      </c>
      <c r="J505" s="15" t="s">
        <v>5227</v>
      </c>
      <c r="K505" s="15" t="s">
        <v>5392</v>
      </c>
      <c r="L505" s="15" t="n">
        <v>4</v>
      </c>
      <c r="M505" s="15" t="s">
        <v>5161</v>
      </c>
      <c r="N505" s="18" t="str">
        <f aca="false">IFERROR(IF(ISNUMBER(SEARCH(D505,INDEX(Pages!$J$2:$J$824,MATCH(A505,Pages!$B$2:$B$824,0)))),"Yes","No"),"Page not found")</f>
        <v>Yes</v>
      </c>
      <c r="O505" s="3" t="s">
        <v>5426</v>
      </c>
      <c r="P505" s="3"/>
    </row>
    <row r="506" customFormat="false" ht="23.85" hidden="false" customHeight="false" outlineLevel="0" collapsed="false">
      <c r="A506" s="15" t="s">
        <v>3683</v>
      </c>
      <c r="B506" s="15" t="s">
        <v>2076</v>
      </c>
      <c r="C506" s="15" t="s">
        <v>74</v>
      </c>
      <c r="D506" s="15" t="s">
        <v>3687</v>
      </c>
      <c r="E506" s="15" t="s">
        <v>104</v>
      </c>
      <c r="F506" s="15" t="s">
        <v>715</v>
      </c>
      <c r="G506" s="15" t="s">
        <v>2260</v>
      </c>
      <c r="H506" s="16" t="n">
        <v>79</v>
      </c>
      <c r="I506" s="15" t="n">
        <v>27</v>
      </c>
      <c r="J506" s="15" t="s">
        <v>5227</v>
      </c>
      <c r="K506" s="15" t="s">
        <v>5444</v>
      </c>
      <c r="L506" s="15" t="n">
        <v>3</v>
      </c>
      <c r="M506" s="15" t="s">
        <v>5161</v>
      </c>
      <c r="N506" s="18" t="str">
        <f aca="false">IFERROR(IF(ISNUMBER(SEARCH(D506,INDEX(Pages!$J$2:$J$824,MATCH(A506,Pages!$B$2:$B$824,0)))),"Yes","No"),"Page not found")</f>
        <v>Yes</v>
      </c>
      <c r="O506" s="3" t="s">
        <v>5426</v>
      </c>
      <c r="P506" s="3" t="s">
        <v>5483</v>
      </c>
    </row>
    <row r="507" customFormat="false" ht="23.85" hidden="false" customHeight="false" outlineLevel="0" collapsed="false">
      <c r="A507" s="15" t="s">
        <v>3803</v>
      </c>
      <c r="B507" s="15" t="s">
        <v>2076</v>
      </c>
      <c r="C507" s="15" t="s">
        <v>74</v>
      </c>
      <c r="D507" s="15" t="s">
        <v>3807</v>
      </c>
      <c r="E507" s="15" t="s">
        <v>104</v>
      </c>
      <c r="F507" s="15" t="s">
        <v>715</v>
      </c>
      <c r="G507" s="15" t="s">
        <v>2400</v>
      </c>
      <c r="H507" s="16" t="n">
        <v>79</v>
      </c>
      <c r="I507" s="15" t="n">
        <v>27</v>
      </c>
      <c r="J507" s="15" t="s">
        <v>5227</v>
      </c>
      <c r="K507" s="15" t="s">
        <v>5444</v>
      </c>
      <c r="L507" s="15" t="n">
        <v>3</v>
      </c>
      <c r="M507" s="15" t="s">
        <v>5161</v>
      </c>
      <c r="N507" s="18" t="str">
        <f aca="false">IFERROR(IF(ISNUMBER(SEARCH(D507,INDEX(Pages!$J$2:$J$824,MATCH(A507,Pages!$B$2:$B$824,0)))),"Yes","No"),"Page not found")</f>
        <v>Yes</v>
      </c>
      <c r="O507" s="3" t="s">
        <v>5426</v>
      </c>
      <c r="P507" s="3" t="s">
        <v>5483</v>
      </c>
    </row>
    <row r="508" customFormat="false" ht="15" hidden="false" customHeight="false" outlineLevel="0" collapsed="false">
      <c r="A508" s="15" t="s">
        <v>839</v>
      </c>
      <c r="B508" s="15" t="s">
        <v>656</v>
      </c>
      <c r="C508" s="15" t="s">
        <v>85</v>
      </c>
      <c r="D508" s="15" t="s">
        <v>843</v>
      </c>
      <c r="E508" s="15" t="s">
        <v>662</v>
      </c>
      <c r="F508" s="15" t="s">
        <v>673</v>
      </c>
      <c r="G508" s="15"/>
      <c r="H508" s="16" t="n">
        <v>78</v>
      </c>
      <c r="I508" s="15" t="n">
        <v>29</v>
      </c>
      <c r="J508" s="15" t="s">
        <v>5159</v>
      </c>
      <c r="K508" s="15" t="s">
        <v>5321</v>
      </c>
      <c r="L508" s="15" t="n">
        <v>4</v>
      </c>
      <c r="M508" s="15" t="s">
        <v>5161</v>
      </c>
      <c r="N508" s="18" t="str">
        <f aca="false">IFERROR(IF(ISNUMBER(SEARCH(D508,INDEX(Pages!$J$2:$J$824,MATCH(A508,Pages!$B$2:$B$824,0)))),"Yes","No"),"Page not found")</f>
        <v>No</v>
      </c>
      <c r="O508" s="3" t="s">
        <v>5426</v>
      </c>
      <c r="P508" s="3"/>
    </row>
    <row r="509" customFormat="false" ht="23.85" hidden="false" customHeight="false" outlineLevel="0" collapsed="false">
      <c r="A509" s="15" t="s">
        <v>3263</v>
      </c>
      <c r="B509" s="15" t="s">
        <v>2076</v>
      </c>
      <c r="C509" s="15" t="s">
        <v>84</v>
      </c>
      <c r="D509" s="15" t="s">
        <v>3267</v>
      </c>
      <c r="E509" s="15" t="s">
        <v>104</v>
      </c>
      <c r="F509" s="15" t="s">
        <v>673</v>
      </c>
      <c r="G509" s="15" t="s">
        <v>2176</v>
      </c>
      <c r="H509" s="16" t="n">
        <v>78</v>
      </c>
      <c r="I509" s="15" t="n">
        <v>32</v>
      </c>
      <c r="J509" s="15" t="s">
        <v>5227</v>
      </c>
      <c r="K509" s="15" t="s">
        <v>5392</v>
      </c>
      <c r="L509" s="15" t="n">
        <v>4</v>
      </c>
      <c r="M509" s="15" t="s">
        <v>5161</v>
      </c>
      <c r="N509" s="18" t="str">
        <f aca="false">IFERROR(IF(ISNUMBER(SEARCH(D509,INDEX(Pages!$J$2:$J$824,MATCH(A509,Pages!$B$2:$B$824,0)))),"Yes","No"),"Page not found")</f>
        <v>Yes</v>
      </c>
      <c r="O509" s="3" t="s">
        <v>5426</v>
      </c>
      <c r="P509" s="3" t="s">
        <v>5483</v>
      </c>
    </row>
    <row r="510" customFormat="false" ht="23.85" hidden="false" customHeight="false" outlineLevel="0" collapsed="false">
      <c r="A510" s="15" t="s">
        <v>3767</v>
      </c>
      <c r="B510" s="15" t="s">
        <v>2076</v>
      </c>
      <c r="C510" s="15" t="s">
        <v>74</v>
      </c>
      <c r="D510" s="15" t="s">
        <v>3771</v>
      </c>
      <c r="E510" s="15" t="s">
        <v>104</v>
      </c>
      <c r="F510" s="15" t="s">
        <v>715</v>
      </c>
      <c r="G510" s="15" t="s">
        <v>2358</v>
      </c>
      <c r="H510" s="16" t="n">
        <v>78</v>
      </c>
      <c r="I510" s="15" t="n">
        <v>35</v>
      </c>
      <c r="J510" s="15" t="s">
        <v>5227</v>
      </c>
      <c r="K510" s="15" t="s">
        <v>5444</v>
      </c>
      <c r="L510" s="15" t="n">
        <v>3</v>
      </c>
      <c r="M510" s="15" t="s">
        <v>5161</v>
      </c>
      <c r="N510" s="18" t="str">
        <f aca="false">IFERROR(IF(ISNUMBER(SEARCH(D510,INDEX(Pages!$J$2:$J$824,MATCH(A510,Pages!$B$2:$B$824,0)))),"Yes","No"),"Page not found")</f>
        <v>No</v>
      </c>
      <c r="O510" s="3" t="s">
        <v>5426</v>
      </c>
      <c r="P510" s="3" t="s">
        <v>5483</v>
      </c>
    </row>
    <row r="511" customFormat="false" ht="15" hidden="false" customHeight="false" outlineLevel="0" collapsed="false">
      <c r="A511" s="15" t="s">
        <v>989</v>
      </c>
      <c r="B511" s="15" t="s">
        <v>656</v>
      </c>
      <c r="C511" s="15" t="s">
        <v>76</v>
      </c>
      <c r="D511" s="15" t="s">
        <v>993</v>
      </c>
      <c r="E511" s="15" t="s">
        <v>662</v>
      </c>
      <c r="F511" s="15" t="s">
        <v>666</v>
      </c>
      <c r="G511" s="15"/>
      <c r="H511" s="16" t="n">
        <v>77</v>
      </c>
      <c r="I511" s="15" t="n">
        <v>29</v>
      </c>
      <c r="J511" s="15" t="s">
        <v>5159</v>
      </c>
      <c r="K511" s="15" t="s">
        <v>5254</v>
      </c>
      <c r="L511" s="15" t="n">
        <v>2</v>
      </c>
      <c r="M511" s="15" t="s">
        <v>5161</v>
      </c>
      <c r="N511" s="18" t="str">
        <f aca="false">IFERROR(IF(ISNUMBER(SEARCH(D511,INDEX(Pages!$J$2:$J$824,MATCH(A511,Pages!$B$2:$B$824,0)))),"Yes","No"),"Page not found")</f>
        <v>No</v>
      </c>
      <c r="O511" s="3" t="s">
        <v>5426</v>
      </c>
      <c r="P511" s="3"/>
    </row>
    <row r="512" customFormat="false" ht="23.85" hidden="false" customHeight="false" outlineLevel="0" collapsed="false">
      <c r="A512" s="15" t="s">
        <v>3725</v>
      </c>
      <c r="B512" s="15" t="s">
        <v>2076</v>
      </c>
      <c r="C512" s="15" t="s">
        <v>74</v>
      </c>
      <c r="D512" s="15" t="s">
        <v>3729</v>
      </c>
      <c r="E512" s="15" t="s">
        <v>104</v>
      </c>
      <c r="F512" s="15" t="s">
        <v>715</v>
      </c>
      <c r="G512" s="15" t="s">
        <v>2309</v>
      </c>
      <c r="H512" s="16" t="n">
        <v>77</v>
      </c>
      <c r="I512" s="15" t="n">
        <v>27</v>
      </c>
      <c r="J512" s="15" t="s">
        <v>5227</v>
      </c>
      <c r="K512" s="15" t="s">
        <v>5444</v>
      </c>
      <c r="L512" s="15" t="n">
        <v>3</v>
      </c>
      <c r="M512" s="15" t="s">
        <v>5161</v>
      </c>
      <c r="N512" s="18" t="str">
        <f aca="false">IFERROR(IF(ISNUMBER(SEARCH(D512,INDEX(Pages!$J$2:$J$824,MATCH(A512,Pages!$B$2:$B$824,0)))),"Yes","No"),"Page not found")</f>
        <v>Yes</v>
      </c>
      <c r="O512" s="3" t="s">
        <v>5426</v>
      </c>
      <c r="P512" s="3" t="s">
        <v>5483</v>
      </c>
    </row>
    <row r="513" customFormat="false" ht="23.85" hidden="false" customHeight="false" outlineLevel="0" collapsed="false">
      <c r="A513" s="15" t="s">
        <v>2322</v>
      </c>
      <c r="B513" s="15" t="s">
        <v>2076</v>
      </c>
      <c r="C513" s="15" t="s">
        <v>89</v>
      </c>
      <c r="D513" s="15" t="s">
        <v>2327</v>
      </c>
      <c r="E513" s="15" t="s">
        <v>104</v>
      </c>
      <c r="F513" s="15" t="s">
        <v>715</v>
      </c>
      <c r="G513" s="15" t="s">
        <v>2323</v>
      </c>
      <c r="H513" s="16" t="n">
        <v>76</v>
      </c>
      <c r="I513" s="15" t="n">
        <v>33</v>
      </c>
      <c r="J513" s="15" t="s">
        <v>5227</v>
      </c>
      <c r="K513" s="15" t="s">
        <v>5473</v>
      </c>
      <c r="L513" s="15" t="n">
        <v>4</v>
      </c>
      <c r="M513" s="15" t="s">
        <v>5161</v>
      </c>
      <c r="N513" s="18" t="str">
        <f aca="false">IFERROR(IF(ISNUMBER(SEARCH(D513,INDEX(Pages!$J$2:$J$824,MATCH(A513,Pages!$B$2:$B$824,0)))),"Yes","No"),"Page not found")</f>
        <v>Yes</v>
      </c>
      <c r="O513" s="3" t="s">
        <v>5426</v>
      </c>
      <c r="P513" s="3" t="s">
        <v>5483</v>
      </c>
    </row>
    <row r="514" customFormat="false" ht="15" hidden="false" customHeight="false" outlineLevel="0" collapsed="false">
      <c r="A514" s="15" t="s">
        <v>3041</v>
      </c>
      <c r="B514" s="15" t="s">
        <v>2076</v>
      </c>
      <c r="C514" s="15" t="s">
        <v>85</v>
      </c>
      <c r="D514" s="15" t="s">
        <v>3045</v>
      </c>
      <c r="E514" s="15" t="s">
        <v>104</v>
      </c>
      <c r="F514" s="15" t="s">
        <v>715</v>
      </c>
      <c r="G514" s="15" t="s">
        <v>2323</v>
      </c>
      <c r="H514" s="16" t="n">
        <v>76</v>
      </c>
      <c r="I514" s="15" t="n">
        <v>40</v>
      </c>
      <c r="J514" s="15" t="s">
        <v>5227</v>
      </c>
      <c r="K514" s="15" t="s">
        <v>5392</v>
      </c>
      <c r="L514" s="15" t="n">
        <v>4</v>
      </c>
      <c r="M514" s="15" t="s">
        <v>5161</v>
      </c>
      <c r="N514" s="18" t="str">
        <f aca="false">IFERROR(IF(ISNUMBER(SEARCH(D514,INDEX(Pages!$J$2:$J$824,MATCH(A514,Pages!$B$2:$B$824,0)))),"Yes","No"),"Page not found")</f>
        <v>Yes</v>
      </c>
      <c r="O514" s="3" t="s">
        <v>5426</v>
      </c>
      <c r="P514" s="3"/>
    </row>
    <row r="515" customFormat="false" ht="23.85" hidden="false" customHeight="false" outlineLevel="0" collapsed="false">
      <c r="A515" s="15" t="s">
        <v>3581</v>
      </c>
      <c r="B515" s="15" t="s">
        <v>2076</v>
      </c>
      <c r="C515" s="15" t="s">
        <v>74</v>
      </c>
      <c r="D515" s="15" t="s">
        <v>3585</v>
      </c>
      <c r="E515" s="15" t="s">
        <v>104</v>
      </c>
      <c r="F515" s="15" t="s">
        <v>666</v>
      </c>
      <c r="G515" s="15" t="s">
        <v>2141</v>
      </c>
      <c r="H515" s="16" t="n">
        <v>76</v>
      </c>
      <c r="I515" s="15" t="n">
        <v>19</v>
      </c>
      <c r="J515" s="15" t="s">
        <v>5227</v>
      </c>
      <c r="K515" s="15" t="s">
        <v>5444</v>
      </c>
      <c r="L515" s="15" t="n">
        <v>3</v>
      </c>
      <c r="M515" s="15" t="s">
        <v>5161</v>
      </c>
      <c r="N515" s="18" t="str">
        <f aca="false">IFERROR(IF(ISNUMBER(SEARCH(D515,INDEX(Pages!$J$2:$J$824,MATCH(A515,Pages!$B$2:$B$824,0)))),"Yes","No"),"Page not found")</f>
        <v>Yes</v>
      </c>
      <c r="O515" s="3" t="s">
        <v>5426</v>
      </c>
      <c r="P515" s="3" t="s">
        <v>5483</v>
      </c>
    </row>
    <row r="516" customFormat="false" ht="23.85" hidden="false" customHeight="false" outlineLevel="0" collapsed="false">
      <c r="A516" s="15" t="s">
        <v>3701</v>
      </c>
      <c r="B516" s="15" t="s">
        <v>2076</v>
      </c>
      <c r="C516" s="15" t="s">
        <v>74</v>
      </c>
      <c r="D516" s="15" t="s">
        <v>3705</v>
      </c>
      <c r="E516" s="15" t="s">
        <v>104</v>
      </c>
      <c r="F516" s="15" t="s">
        <v>715</v>
      </c>
      <c r="G516" s="15" t="s">
        <v>2281</v>
      </c>
      <c r="H516" s="16" t="n">
        <v>76</v>
      </c>
      <c r="I516" s="15" t="n">
        <v>35</v>
      </c>
      <c r="J516" s="15" t="s">
        <v>5227</v>
      </c>
      <c r="K516" s="15" t="s">
        <v>5444</v>
      </c>
      <c r="L516" s="15" t="n">
        <v>3</v>
      </c>
      <c r="M516" s="15" t="s">
        <v>5161</v>
      </c>
      <c r="N516" s="18" t="str">
        <f aca="false">IFERROR(IF(ISNUMBER(SEARCH(D516,INDEX(Pages!$J$2:$J$824,MATCH(A516,Pages!$B$2:$B$824,0)))),"Yes","No"),"Page not found")</f>
        <v>Yes</v>
      </c>
      <c r="O516" s="3" t="s">
        <v>5426</v>
      </c>
      <c r="P516" s="3" t="s">
        <v>5483</v>
      </c>
    </row>
    <row r="517" customFormat="false" ht="23.85" hidden="false" customHeight="false" outlineLevel="0" collapsed="false">
      <c r="A517" s="15" t="s">
        <v>2147</v>
      </c>
      <c r="B517" s="15" t="s">
        <v>2076</v>
      </c>
      <c r="C517" s="15" t="s">
        <v>89</v>
      </c>
      <c r="D517" s="15" t="s">
        <v>2152</v>
      </c>
      <c r="E517" s="15" t="s">
        <v>104</v>
      </c>
      <c r="F517" s="15" t="s">
        <v>666</v>
      </c>
      <c r="G517" s="15" t="s">
        <v>2148</v>
      </c>
      <c r="H517" s="16" t="n">
        <v>75</v>
      </c>
      <c r="I517" s="15" t="n">
        <v>25</v>
      </c>
      <c r="J517" s="15" t="s">
        <v>5227</v>
      </c>
      <c r="K517" s="15" t="s">
        <v>5473</v>
      </c>
      <c r="L517" s="15" t="n">
        <v>3</v>
      </c>
      <c r="M517" s="15" t="s">
        <v>5161</v>
      </c>
      <c r="N517" s="18" t="str">
        <f aca="false">IFERROR(IF(ISNUMBER(SEARCH(D517,INDEX(Pages!$J$2:$J$824,MATCH(A517,Pages!$B$2:$B$824,0)))),"Yes","No"),"Page not found")</f>
        <v>No</v>
      </c>
      <c r="O517" s="3" t="s">
        <v>5426</v>
      </c>
      <c r="P517" s="3" t="s">
        <v>5483</v>
      </c>
    </row>
    <row r="518" customFormat="false" ht="15" hidden="false" customHeight="false" outlineLevel="0" collapsed="false">
      <c r="A518" s="15" t="s">
        <v>2891</v>
      </c>
      <c r="B518" s="15" t="s">
        <v>2076</v>
      </c>
      <c r="C518" s="15" t="s">
        <v>85</v>
      </c>
      <c r="D518" s="15" t="s">
        <v>2895</v>
      </c>
      <c r="E518" s="15" t="s">
        <v>104</v>
      </c>
      <c r="F518" s="15" t="s">
        <v>666</v>
      </c>
      <c r="G518" s="15" t="s">
        <v>2148</v>
      </c>
      <c r="H518" s="16" t="n">
        <v>75</v>
      </c>
      <c r="I518" s="15" t="n">
        <v>32</v>
      </c>
      <c r="J518" s="15" t="s">
        <v>5227</v>
      </c>
      <c r="K518" s="15" t="s">
        <v>5392</v>
      </c>
      <c r="L518" s="15" t="n">
        <v>4</v>
      </c>
      <c r="M518" s="15" t="s">
        <v>5161</v>
      </c>
      <c r="N518" s="18" t="str">
        <f aca="false">IFERROR(IF(ISNUMBER(SEARCH(D518,INDEX(Pages!$J$2:$J$824,MATCH(A518,Pages!$B$2:$B$824,0)))),"Yes","No"),"Page not found")</f>
        <v>No</v>
      </c>
      <c r="O518" s="3" t="s">
        <v>5426</v>
      </c>
      <c r="P518" s="3"/>
    </row>
    <row r="519" customFormat="false" ht="15" hidden="false" customHeight="false" outlineLevel="0" collapsed="false">
      <c r="A519" s="15" t="s">
        <v>4325</v>
      </c>
      <c r="B519" s="15" t="s">
        <v>2076</v>
      </c>
      <c r="C519" s="15" t="s">
        <v>86</v>
      </c>
      <c r="D519" s="15" t="s">
        <v>4329</v>
      </c>
      <c r="E519" s="15" t="s">
        <v>104</v>
      </c>
      <c r="F519" s="15" t="s">
        <v>680</v>
      </c>
      <c r="G519" s="15" t="s">
        <v>2197</v>
      </c>
      <c r="H519" s="16" t="n">
        <v>75</v>
      </c>
      <c r="I519" s="15" t="n">
        <v>32</v>
      </c>
      <c r="J519" s="15" t="s">
        <v>5227</v>
      </c>
      <c r="K519" s="15" t="s">
        <v>5392</v>
      </c>
      <c r="L519" s="15" t="n">
        <v>5</v>
      </c>
      <c r="M519" s="15" t="s">
        <v>5161</v>
      </c>
      <c r="N519" s="18" t="str">
        <f aca="false">IFERROR(IF(ISNUMBER(SEARCH(D519,INDEX(Pages!$J$2:$J$824,MATCH(A519,Pages!$B$2:$B$824,0)))),"Yes","No"),"Page not found")</f>
        <v>Yes</v>
      </c>
      <c r="O519" s="3" t="s">
        <v>5426</v>
      </c>
      <c r="P519" s="3"/>
    </row>
    <row r="520" customFormat="false" ht="15" hidden="false" customHeight="false" outlineLevel="0" collapsed="false">
      <c r="A520" s="15" t="s">
        <v>905</v>
      </c>
      <c r="B520" s="15" t="s">
        <v>656</v>
      </c>
      <c r="C520" s="15" t="s">
        <v>90</v>
      </c>
      <c r="D520" s="15" t="s">
        <v>909</v>
      </c>
      <c r="E520" s="15" t="s">
        <v>662</v>
      </c>
      <c r="F520" s="15" t="s">
        <v>657</v>
      </c>
      <c r="G520" s="15"/>
      <c r="H520" s="16" t="n">
        <v>74</v>
      </c>
      <c r="I520" s="15" t="n">
        <v>29</v>
      </c>
      <c r="J520" s="15" t="s">
        <v>5159</v>
      </c>
      <c r="K520" s="15" t="s">
        <v>5425</v>
      </c>
      <c r="L520" s="15" t="n">
        <v>3</v>
      </c>
      <c r="M520" s="15" t="s">
        <v>5161</v>
      </c>
      <c r="N520" s="18" t="str">
        <f aca="false">IFERROR(IF(ISNUMBER(SEARCH(D520,INDEX(Pages!$J$2:$J$824,MATCH(A520,Pages!$B$2:$B$824,0)))),"Yes","No"),"Page not found")</f>
        <v>No</v>
      </c>
      <c r="O520" s="3" t="s">
        <v>5426</v>
      </c>
      <c r="P520" s="3"/>
    </row>
    <row r="521" customFormat="false" ht="23.85" hidden="false" customHeight="false" outlineLevel="0" collapsed="false">
      <c r="A521" s="15" t="s">
        <v>3659</v>
      </c>
      <c r="B521" s="15" t="s">
        <v>2076</v>
      </c>
      <c r="C521" s="15" t="s">
        <v>74</v>
      </c>
      <c r="D521" s="15" t="s">
        <v>3663</v>
      </c>
      <c r="E521" s="15" t="s">
        <v>104</v>
      </c>
      <c r="F521" s="15" t="s">
        <v>715</v>
      </c>
      <c r="G521" s="15" t="s">
        <v>2232</v>
      </c>
      <c r="H521" s="16" t="n">
        <v>74</v>
      </c>
      <c r="I521" s="15" t="n">
        <v>27</v>
      </c>
      <c r="J521" s="15" t="s">
        <v>5227</v>
      </c>
      <c r="K521" s="15" t="s">
        <v>5444</v>
      </c>
      <c r="L521" s="15" t="n">
        <v>3</v>
      </c>
      <c r="M521" s="15" t="s">
        <v>5161</v>
      </c>
      <c r="N521" s="18" t="str">
        <f aca="false">IFERROR(IF(ISNUMBER(SEARCH(D521,INDEX(Pages!$J$2:$J$824,MATCH(A521,Pages!$B$2:$B$824,0)))),"Yes","No"),"Page not found")</f>
        <v>Yes</v>
      </c>
      <c r="O521" s="3" t="s">
        <v>5426</v>
      </c>
      <c r="P521" s="3" t="s">
        <v>5483</v>
      </c>
    </row>
    <row r="522" customFormat="false" ht="15" hidden="false" customHeight="false" outlineLevel="0" collapsed="false">
      <c r="A522" s="15" t="s">
        <v>1787</v>
      </c>
      <c r="B522" s="15" t="s">
        <v>656</v>
      </c>
      <c r="C522" s="15" t="s">
        <v>86</v>
      </c>
      <c r="D522" s="15" t="s">
        <v>1791</v>
      </c>
      <c r="E522" s="15" t="s">
        <v>662</v>
      </c>
      <c r="F522" s="15" t="s">
        <v>687</v>
      </c>
      <c r="G522" s="15"/>
      <c r="H522" s="16" t="n">
        <v>74</v>
      </c>
      <c r="I522" s="15" t="n">
        <v>32</v>
      </c>
      <c r="J522" s="15" t="s">
        <v>5159</v>
      </c>
      <c r="K522" s="15" t="s">
        <v>5321</v>
      </c>
      <c r="L522" s="15" t="n">
        <v>5</v>
      </c>
      <c r="M522" s="15" t="s">
        <v>5161</v>
      </c>
      <c r="N522" s="18" t="str">
        <f aca="false">IFERROR(IF(ISNUMBER(SEARCH(D522,INDEX(Pages!$J$2:$J$824,MATCH(A522,Pages!$B$2:$B$824,0)))),"Yes","No"),"Page not found")</f>
        <v>No</v>
      </c>
      <c r="O522" s="3" t="s">
        <v>5426</v>
      </c>
      <c r="P522" s="3"/>
    </row>
    <row r="523" customFormat="false" ht="15" hidden="false" customHeight="false" outlineLevel="0" collapsed="false">
      <c r="A523" s="15" t="s">
        <v>1841</v>
      </c>
      <c r="B523" s="15" t="s">
        <v>656</v>
      </c>
      <c r="C523" s="15" t="s">
        <v>74</v>
      </c>
      <c r="D523" s="15" t="s">
        <v>1845</v>
      </c>
      <c r="E523" s="15" t="s">
        <v>662</v>
      </c>
      <c r="F523" s="15" t="s">
        <v>657</v>
      </c>
      <c r="G523" s="15"/>
      <c r="H523" s="16" t="n">
        <v>74</v>
      </c>
      <c r="I523" s="15" t="n">
        <v>38</v>
      </c>
      <c r="J523" s="15" t="s">
        <v>5159</v>
      </c>
      <c r="K523" s="15" t="s">
        <v>5440</v>
      </c>
      <c r="L523" s="15" t="n">
        <v>3</v>
      </c>
      <c r="M523" s="15" t="s">
        <v>5161</v>
      </c>
      <c r="N523" s="18" t="str">
        <f aca="false">IFERROR(IF(ISNUMBER(SEARCH(D523,INDEX(Pages!$J$2:$J$824,MATCH(A523,Pages!$B$2:$B$824,0)))),"Yes","No"),"Page not found")</f>
        <v>No</v>
      </c>
      <c r="O523" s="3" t="s">
        <v>5224</v>
      </c>
      <c r="P523" s="3"/>
    </row>
    <row r="524" customFormat="false" ht="15" hidden="false" customHeight="false" outlineLevel="0" collapsed="false">
      <c r="A524" s="15" t="s">
        <v>1409</v>
      </c>
      <c r="B524" s="15" t="s">
        <v>656</v>
      </c>
      <c r="C524" s="15" t="s">
        <v>74</v>
      </c>
      <c r="D524" s="15" t="s">
        <v>1413</v>
      </c>
      <c r="E524" s="15" t="s">
        <v>662</v>
      </c>
      <c r="F524" s="15" t="s">
        <v>701</v>
      </c>
      <c r="G524" s="15"/>
      <c r="H524" s="16" t="n">
        <v>73</v>
      </c>
      <c r="I524" s="15" t="n">
        <v>34</v>
      </c>
      <c r="J524" s="15" t="s">
        <v>5159</v>
      </c>
      <c r="K524" s="15" t="s">
        <v>5440</v>
      </c>
      <c r="L524" s="15" t="n">
        <v>2</v>
      </c>
      <c r="M524" s="15" t="s">
        <v>5161</v>
      </c>
      <c r="N524" s="18" t="str">
        <f aca="false">IFERROR(IF(ISNUMBER(SEARCH(D524,INDEX(Pages!$J$2:$J$824,MATCH(A524,Pages!$B$2:$B$824,0)))),"Yes","No"),"Page not found")</f>
        <v>No</v>
      </c>
      <c r="O524" s="3" t="s">
        <v>5426</v>
      </c>
      <c r="P524" s="3"/>
    </row>
    <row r="525" customFormat="false" ht="23.85" hidden="false" customHeight="false" outlineLevel="0" collapsed="false">
      <c r="A525" s="15" t="s">
        <v>2350</v>
      </c>
      <c r="B525" s="15" t="s">
        <v>2076</v>
      </c>
      <c r="C525" s="15" t="s">
        <v>89</v>
      </c>
      <c r="D525" s="15" t="s">
        <v>2355</v>
      </c>
      <c r="E525" s="15" t="s">
        <v>104</v>
      </c>
      <c r="F525" s="15" t="s">
        <v>715</v>
      </c>
      <c r="G525" s="15" t="s">
        <v>2351</v>
      </c>
      <c r="H525" s="16" t="n">
        <v>72</v>
      </c>
      <c r="I525" s="15" t="n">
        <v>33</v>
      </c>
      <c r="J525" s="15" t="s">
        <v>5227</v>
      </c>
      <c r="K525" s="15" t="s">
        <v>5473</v>
      </c>
      <c r="L525" s="15" t="n">
        <v>4</v>
      </c>
      <c r="M525" s="15" t="s">
        <v>5161</v>
      </c>
      <c r="N525" s="18" t="str">
        <f aca="false">IFERROR(IF(ISNUMBER(SEARCH(D525,INDEX(Pages!$J$2:$J$824,MATCH(A525,Pages!$B$2:$B$824,0)))),"Yes","No"),"Page not found")</f>
        <v>Yes</v>
      </c>
      <c r="O525" s="3" t="s">
        <v>5426</v>
      </c>
      <c r="P525" s="3" t="s">
        <v>5483</v>
      </c>
    </row>
    <row r="526" customFormat="false" ht="15" hidden="false" customHeight="false" outlineLevel="0" collapsed="false">
      <c r="A526" s="15" t="s">
        <v>3065</v>
      </c>
      <c r="B526" s="15" t="s">
        <v>2076</v>
      </c>
      <c r="C526" s="15" t="s">
        <v>85</v>
      </c>
      <c r="D526" s="15" t="s">
        <v>3069</v>
      </c>
      <c r="E526" s="15" t="s">
        <v>104</v>
      </c>
      <c r="F526" s="15" t="s">
        <v>715</v>
      </c>
      <c r="G526" s="15" t="s">
        <v>2351</v>
      </c>
      <c r="H526" s="16" t="n">
        <v>72</v>
      </c>
      <c r="I526" s="15" t="n">
        <v>40</v>
      </c>
      <c r="J526" s="15" t="s">
        <v>5227</v>
      </c>
      <c r="K526" s="15" t="s">
        <v>5392</v>
      </c>
      <c r="L526" s="15" t="n">
        <v>4</v>
      </c>
      <c r="M526" s="15" t="s">
        <v>5161</v>
      </c>
      <c r="N526" s="18" t="str">
        <f aca="false">IFERROR(IF(ISNUMBER(SEARCH(D526,INDEX(Pages!$J$2:$J$824,MATCH(A526,Pages!$B$2:$B$824,0)))),"Yes","No"),"Page not found")</f>
        <v>Yes</v>
      </c>
      <c r="O526" s="3" t="s">
        <v>5426</v>
      </c>
      <c r="P526" s="3"/>
    </row>
    <row r="527" customFormat="false" ht="15" hidden="false" customHeight="false" outlineLevel="0" collapsed="false">
      <c r="A527" s="15" t="s">
        <v>3845</v>
      </c>
      <c r="B527" s="15" t="s">
        <v>2076</v>
      </c>
      <c r="C527" s="15" t="s">
        <v>74</v>
      </c>
      <c r="D527" s="15" t="s">
        <v>3849</v>
      </c>
      <c r="E527" s="15" t="s">
        <v>104</v>
      </c>
      <c r="F527" s="15" t="s">
        <v>729</v>
      </c>
      <c r="G527" s="15" t="s">
        <v>2449</v>
      </c>
      <c r="H527" s="16" t="n">
        <v>72</v>
      </c>
      <c r="I527" s="15" t="n">
        <v>35</v>
      </c>
      <c r="J527" s="15" t="s">
        <v>5227</v>
      </c>
      <c r="K527" s="15" t="s">
        <v>5444</v>
      </c>
      <c r="L527" s="15" t="n">
        <v>4</v>
      </c>
      <c r="M527" s="15" t="s">
        <v>5161</v>
      </c>
      <c r="N527" s="18" t="str">
        <f aca="false">IFERROR(IF(ISNUMBER(SEARCH(D527,INDEX(Pages!$J$2:$J$824,MATCH(A527,Pages!$B$2:$B$824,0)))),"Yes","No"),"Page not found")</f>
        <v>Yes</v>
      </c>
      <c r="O527" s="3" t="s">
        <v>5426</v>
      </c>
      <c r="P527" s="3" t="s">
        <v>5427</v>
      </c>
    </row>
    <row r="528" customFormat="false" ht="23.85" hidden="false" customHeight="false" outlineLevel="0" collapsed="false">
      <c r="A528" s="15" t="s">
        <v>3797</v>
      </c>
      <c r="B528" s="15" t="s">
        <v>2076</v>
      </c>
      <c r="C528" s="15" t="s">
        <v>74</v>
      </c>
      <c r="D528" s="15" t="s">
        <v>3801</v>
      </c>
      <c r="E528" s="15" t="s">
        <v>104</v>
      </c>
      <c r="F528" s="15" t="s">
        <v>715</v>
      </c>
      <c r="G528" s="15" t="s">
        <v>2393</v>
      </c>
      <c r="H528" s="16" t="n">
        <v>71</v>
      </c>
      <c r="I528" s="15" t="n">
        <v>35</v>
      </c>
      <c r="J528" s="15" t="s">
        <v>5227</v>
      </c>
      <c r="K528" s="15" t="s">
        <v>5444</v>
      </c>
      <c r="L528" s="15" t="n">
        <v>3</v>
      </c>
      <c r="M528" s="15" t="s">
        <v>5161</v>
      </c>
      <c r="N528" s="18" t="str">
        <f aca="false">IFERROR(IF(ISNUMBER(SEARCH(D528,INDEX(Pages!$J$2:$J$824,MATCH(A528,Pages!$B$2:$B$824,0)))),"Yes","No"),"Page not found")</f>
        <v>Yes</v>
      </c>
      <c r="O528" s="3" t="s">
        <v>5426</v>
      </c>
      <c r="P528" s="3" t="s">
        <v>5483</v>
      </c>
    </row>
    <row r="529" customFormat="false" ht="23.85" hidden="false" customHeight="false" outlineLevel="0" collapsed="false">
      <c r="A529" s="15" t="s">
        <v>4223</v>
      </c>
      <c r="B529" s="15" t="s">
        <v>2076</v>
      </c>
      <c r="C529" s="15" t="s">
        <v>86</v>
      </c>
      <c r="D529" s="15" t="s">
        <v>4227</v>
      </c>
      <c r="E529" s="15" t="s">
        <v>104</v>
      </c>
      <c r="F529" s="15" t="s">
        <v>657</v>
      </c>
      <c r="G529" s="15" t="s">
        <v>2077</v>
      </c>
      <c r="H529" s="16" t="n">
        <v>71</v>
      </c>
      <c r="I529" s="15" t="n">
        <v>24</v>
      </c>
      <c r="J529" s="15" t="s">
        <v>5227</v>
      </c>
      <c r="K529" s="15" t="s">
        <v>5392</v>
      </c>
      <c r="L529" s="15" t="n">
        <v>5</v>
      </c>
      <c r="M529" s="15" t="s">
        <v>5161</v>
      </c>
      <c r="N529" s="18" t="str">
        <f aca="false">IFERROR(IF(ISNUMBER(SEARCH(D529,INDEX(Pages!$J$2:$J$824,MATCH(A529,Pages!$B$2:$B$824,0)))),"Yes","No"),"Page not found")</f>
        <v>Yes</v>
      </c>
      <c r="O529" s="3" t="s">
        <v>5426</v>
      </c>
      <c r="P529" s="3" t="s">
        <v>5483</v>
      </c>
    </row>
    <row r="530" customFormat="false" ht="23.85" hidden="false" customHeight="false" outlineLevel="0" collapsed="false">
      <c r="A530" s="15" t="s">
        <v>3905</v>
      </c>
      <c r="B530" s="15" t="s">
        <v>2076</v>
      </c>
      <c r="C530" s="15" t="s">
        <v>81</v>
      </c>
      <c r="D530" s="15" t="s">
        <v>3909</v>
      </c>
      <c r="E530" s="15" t="s">
        <v>104</v>
      </c>
      <c r="F530" s="15" t="s">
        <v>666</v>
      </c>
      <c r="G530" s="15" t="s">
        <v>2113</v>
      </c>
      <c r="H530" s="16" t="n">
        <v>69</v>
      </c>
      <c r="I530" s="15" t="n">
        <v>20</v>
      </c>
      <c r="J530" s="15" t="s">
        <v>5227</v>
      </c>
      <c r="K530" s="15" t="s">
        <v>5235</v>
      </c>
      <c r="L530" s="15" t="n">
        <v>4</v>
      </c>
      <c r="M530" s="15" t="s">
        <v>5161</v>
      </c>
      <c r="N530" s="18" t="str">
        <f aca="false">IFERROR(IF(ISNUMBER(SEARCH(D530,INDEX(Pages!$J$2:$J$824,MATCH(A530,Pages!$B$2:$B$824,0)))),"Yes","No"),"Page not found")</f>
        <v>Yes</v>
      </c>
      <c r="O530" s="3" t="s">
        <v>5426</v>
      </c>
      <c r="P530" s="3" t="s">
        <v>5483</v>
      </c>
    </row>
    <row r="531" customFormat="false" ht="23.85" hidden="false" customHeight="false" outlineLevel="0" collapsed="false">
      <c r="A531" s="15" t="s">
        <v>2252</v>
      </c>
      <c r="B531" s="15" t="s">
        <v>2076</v>
      </c>
      <c r="C531" s="15" t="s">
        <v>89</v>
      </c>
      <c r="D531" s="15" t="s">
        <v>2257</v>
      </c>
      <c r="E531" s="15" t="s">
        <v>104</v>
      </c>
      <c r="F531" s="15" t="s">
        <v>715</v>
      </c>
      <c r="G531" s="15" t="s">
        <v>2253</v>
      </c>
      <c r="H531" s="16" t="n">
        <v>68</v>
      </c>
      <c r="I531" s="15" t="n">
        <v>33</v>
      </c>
      <c r="J531" s="15" t="s">
        <v>5227</v>
      </c>
      <c r="K531" s="15" t="s">
        <v>5473</v>
      </c>
      <c r="L531" s="15" t="n">
        <v>4</v>
      </c>
      <c r="M531" s="15" t="s">
        <v>5161</v>
      </c>
      <c r="N531" s="18" t="str">
        <f aca="false">IFERROR(IF(ISNUMBER(SEARCH(D531,INDEX(Pages!$J$2:$J$824,MATCH(A531,Pages!$B$2:$B$824,0)))),"Yes","No"),"Page not found")</f>
        <v>Yes</v>
      </c>
      <c r="O531" s="3" t="s">
        <v>5426</v>
      </c>
      <c r="P531" s="3" t="s">
        <v>5483</v>
      </c>
    </row>
    <row r="532" customFormat="false" ht="15" hidden="false" customHeight="false" outlineLevel="0" collapsed="false">
      <c r="A532" s="15" t="s">
        <v>2981</v>
      </c>
      <c r="B532" s="15" t="s">
        <v>2076</v>
      </c>
      <c r="C532" s="15" t="s">
        <v>85</v>
      </c>
      <c r="D532" s="15" t="s">
        <v>2985</v>
      </c>
      <c r="E532" s="15" t="s">
        <v>104</v>
      </c>
      <c r="F532" s="15" t="s">
        <v>715</v>
      </c>
      <c r="G532" s="15" t="s">
        <v>2253</v>
      </c>
      <c r="H532" s="16" t="n">
        <v>68</v>
      </c>
      <c r="I532" s="15" t="n">
        <v>40</v>
      </c>
      <c r="J532" s="15" t="s">
        <v>5227</v>
      </c>
      <c r="K532" s="15" t="s">
        <v>5392</v>
      </c>
      <c r="L532" s="15" t="n">
        <v>4</v>
      </c>
      <c r="M532" s="15" t="s">
        <v>5161</v>
      </c>
      <c r="N532" s="18" t="str">
        <f aca="false">IFERROR(IF(ISNUMBER(SEARCH(D532,INDEX(Pages!$J$2:$J$824,MATCH(A532,Pages!$B$2:$B$824,0)))),"Yes","No"),"Page not found")</f>
        <v>Yes</v>
      </c>
      <c r="O532" s="3" t="s">
        <v>5426</v>
      </c>
      <c r="P532" s="3"/>
    </row>
    <row r="533" customFormat="false" ht="15" hidden="false" customHeight="false" outlineLevel="0" collapsed="false">
      <c r="A533" s="15" t="s">
        <v>4331</v>
      </c>
      <c r="B533" s="15" t="s">
        <v>2076</v>
      </c>
      <c r="C533" s="15" t="s">
        <v>86</v>
      </c>
      <c r="D533" s="15" t="s">
        <v>4335</v>
      </c>
      <c r="E533" s="15" t="s">
        <v>104</v>
      </c>
      <c r="F533" s="15" t="s">
        <v>680</v>
      </c>
      <c r="G533" s="15" t="s">
        <v>2204</v>
      </c>
      <c r="H533" s="16" t="n">
        <v>68</v>
      </c>
      <c r="I533" s="15" t="n">
        <v>32</v>
      </c>
      <c r="J533" s="15" t="s">
        <v>5227</v>
      </c>
      <c r="K533" s="15" t="s">
        <v>5392</v>
      </c>
      <c r="L533" s="15" t="n">
        <v>5</v>
      </c>
      <c r="M533" s="15" t="s">
        <v>5161</v>
      </c>
      <c r="N533" s="18" t="str">
        <f aca="false">IFERROR(IF(ISNUMBER(SEARCH(D533,INDEX(Pages!$J$2:$J$824,MATCH(A533,Pages!$B$2:$B$824,0)))),"Yes","No"),"Page not found")</f>
        <v>Yes</v>
      </c>
      <c r="O533" s="3" t="s">
        <v>5426</v>
      </c>
      <c r="P533" s="3"/>
    </row>
    <row r="534" customFormat="false" ht="15" hidden="false" customHeight="false" outlineLevel="0" collapsed="false">
      <c r="A534" s="15" t="s">
        <v>893</v>
      </c>
      <c r="B534" s="15" t="s">
        <v>656</v>
      </c>
      <c r="C534" s="15" t="s">
        <v>85</v>
      </c>
      <c r="D534" s="15" t="s">
        <v>897</v>
      </c>
      <c r="E534" s="15" t="s">
        <v>662</v>
      </c>
      <c r="F534" s="15" t="s">
        <v>736</v>
      </c>
      <c r="G534" s="15"/>
      <c r="H534" s="16" t="n">
        <v>67</v>
      </c>
      <c r="I534" s="15" t="n">
        <v>29</v>
      </c>
      <c r="J534" s="15" t="s">
        <v>5159</v>
      </c>
      <c r="K534" s="15" t="s">
        <v>5321</v>
      </c>
      <c r="L534" s="15" t="n">
        <v>4</v>
      </c>
      <c r="M534" s="15" t="s">
        <v>5161</v>
      </c>
      <c r="N534" s="18" t="str">
        <f aca="false">IFERROR(IF(ISNUMBER(SEARCH(D534,INDEX(Pages!$J$2:$J$824,MATCH(A534,Pages!$B$2:$B$824,0)))),"Yes","No"),"Page not found")</f>
        <v>No</v>
      </c>
      <c r="O534" s="3" t="s">
        <v>5426</v>
      </c>
      <c r="P534" s="3"/>
    </row>
    <row r="535" customFormat="false" ht="15" hidden="false" customHeight="false" outlineLevel="0" collapsed="false">
      <c r="A535" s="15" t="s">
        <v>983</v>
      </c>
      <c r="B535" s="15" t="s">
        <v>656</v>
      </c>
      <c r="C535" s="15" t="s">
        <v>76</v>
      </c>
      <c r="D535" s="15" t="s">
        <v>987</v>
      </c>
      <c r="E535" s="15" t="s">
        <v>662</v>
      </c>
      <c r="F535" s="15" t="s">
        <v>657</v>
      </c>
      <c r="G535" s="15"/>
      <c r="H535" s="16" t="n">
        <v>66</v>
      </c>
      <c r="I535" s="15" t="n">
        <v>29</v>
      </c>
      <c r="J535" s="15" t="s">
        <v>5159</v>
      </c>
      <c r="K535" s="15" t="s">
        <v>5254</v>
      </c>
      <c r="L535" s="15" t="n">
        <v>2</v>
      </c>
      <c r="M535" s="15" t="s">
        <v>5161</v>
      </c>
      <c r="N535" s="18" t="str">
        <f aca="false">IFERROR(IF(ISNUMBER(SEARCH(D535,INDEX(Pages!$J$2:$J$824,MATCH(A535,Pages!$B$2:$B$824,0)))),"Yes","No"),"Page not found")</f>
        <v>No</v>
      </c>
      <c r="O535" s="3" t="s">
        <v>5426</v>
      </c>
      <c r="P535" s="3"/>
    </row>
    <row r="536" customFormat="false" ht="15" hidden="false" customHeight="false" outlineLevel="0" collapsed="false">
      <c r="A536" s="15" t="s">
        <v>3641</v>
      </c>
      <c r="B536" s="15" t="s">
        <v>2076</v>
      </c>
      <c r="C536" s="15" t="s">
        <v>74</v>
      </c>
      <c r="D536" s="15" t="s">
        <v>3645</v>
      </c>
      <c r="E536" s="15" t="s">
        <v>104</v>
      </c>
      <c r="F536" s="15" t="s">
        <v>687</v>
      </c>
      <c r="G536" s="15" t="s">
        <v>2211</v>
      </c>
      <c r="H536" s="16" t="n">
        <v>66</v>
      </c>
      <c r="I536" s="15" t="n">
        <v>35</v>
      </c>
      <c r="J536" s="15" t="s">
        <v>5227</v>
      </c>
      <c r="K536" s="15" t="s">
        <v>5444</v>
      </c>
      <c r="L536" s="15" t="n">
        <v>2</v>
      </c>
      <c r="M536" s="15" t="s">
        <v>5161</v>
      </c>
      <c r="N536" s="18" t="str">
        <f aca="false">IFERROR(IF(ISNUMBER(SEARCH(D536,INDEX(Pages!$J$2:$J$824,MATCH(A536,Pages!$B$2:$B$824,0)))),"Yes","No"),"Page not found")</f>
        <v>No</v>
      </c>
      <c r="O536" s="3" t="s">
        <v>5426</v>
      </c>
      <c r="P536" s="3"/>
    </row>
    <row r="537" customFormat="false" ht="23.85" hidden="false" customHeight="false" outlineLevel="0" collapsed="false">
      <c r="A537" s="15" t="s">
        <v>2329</v>
      </c>
      <c r="B537" s="15" t="s">
        <v>2076</v>
      </c>
      <c r="C537" s="15" t="s">
        <v>89</v>
      </c>
      <c r="D537" s="15" t="s">
        <v>2334</v>
      </c>
      <c r="E537" s="15" t="s">
        <v>104</v>
      </c>
      <c r="F537" s="15" t="s">
        <v>715</v>
      </c>
      <c r="G537" s="15" t="s">
        <v>2330</v>
      </c>
      <c r="H537" s="16" t="n">
        <v>65</v>
      </c>
      <c r="I537" s="15" t="n">
        <v>33</v>
      </c>
      <c r="J537" s="15" t="s">
        <v>5227</v>
      </c>
      <c r="K537" s="15" t="s">
        <v>5473</v>
      </c>
      <c r="L537" s="15" t="n">
        <v>4</v>
      </c>
      <c r="M537" s="15" t="s">
        <v>5161</v>
      </c>
      <c r="N537" s="18" t="str">
        <f aca="false">IFERROR(IF(ISNUMBER(SEARCH(D537,INDEX(Pages!$J$2:$J$824,MATCH(A537,Pages!$B$2:$B$824,0)))),"Yes","No"),"Page not found")</f>
        <v>Yes</v>
      </c>
      <c r="O537" s="3" t="s">
        <v>5426</v>
      </c>
      <c r="P537" s="3" t="s">
        <v>5483</v>
      </c>
    </row>
    <row r="538" customFormat="false" ht="15" hidden="false" customHeight="false" outlineLevel="0" collapsed="false">
      <c r="A538" s="15" t="s">
        <v>3047</v>
      </c>
      <c r="B538" s="15" t="s">
        <v>2076</v>
      </c>
      <c r="C538" s="15" t="s">
        <v>85</v>
      </c>
      <c r="D538" s="15" t="s">
        <v>3051</v>
      </c>
      <c r="E538" s="15" t="s">
        <v>104</v>
      </c>
      <c r="F538" s="15" t="s">
        <v>715</v>
      </c>
      <c r="G538" s="15" t="s">
        <v>2330</v>
      </c>
      <c r="H538" s="16" t="n">
        <v>65</v>
      </c>
      <c r="I538" s="15" t="n">
        <v>40</v>
      </c>
      <c r="J538" s="15" t="s">
        <v>5227</v>
      </c>
      <c r="K538" s="15" t="s">
        <v>5392</v>
      </c>
      <c r="L538" s="15" t="n">
        <v>4</v>
      </c>
      <c r="M538" s="15" t="s">
        <v>5161</v>
      </c>
      <c r="N538" s="18" t="str">
        <f aca="false">IFERROR(IF(ISNUMBER(SEARCH(D538,INDEX(Pages!$J$2:$J$824,MATCH(A538,Pages!$B$2:$B$824,0)))),"Yes","No"),"Page not found")</f>
        <v>Yes</v>
      </c>
      <c r="O538" s="3" t="s">
        <v>5426</v>
      </c>
      <c r="P538" s="3"/>
    </row>
    <row r="539" customFormat="false" ht="23.85" hidden="false" customHeight="false" outlineLevel="0" collapsed="false">
      <c r="A539" s="15" t="s">
        <v>3779</v>
      </c>
      <c r="B539" s="15" t="s">
        <v>2076</v>
      </c>
      <c r="C539" s="15" t="s">
        <v>74</v>
      </c>
      <c r="D539" s="15" t="s">
        <v>3783</v>
      </c>
      <c r="E539" s="15" t="s">
        <v>104</v>
      </c>
      <c r="F539" s="15" t="s">
        <v>715</v>
      </c>
      <c r="G539" s="15" t="s">
        <v>2372</v>
      </c>
      <c r="H539" s="16" t="n">
        <v>65</v>
      </c>
      <c r="I539" s="15" t="n">
        <v>27</v>
      </c>
      <c r="J539" s="15" t="s">
        <v>5227</v>
      </c>
      <c r="K539" s="15" t="s">
        <v>5444</v>
      </c>
      <c r="L539" s="15" t="n">
        <v>3</v>
      </c>
      <c r="M539" s="15" t="s">
        <v>5161</v>
      </c>
      <c r="N539" s="18" t="str">
        <f aca="false">IFERROR(IF(ISNUMBER(SEARCH(D539,INDEX(Pages!$J$2:$J$824,MATCH(A539,Pages!$B$2:$B$824,0)))),"Yes","No"),"Page not found")</f>
        <v>Yes</v>
      </c>
      <c r="O539" s="3" t="s">
        <v>5426</v>
      </c>
      <c r="P539" s="3" t="s">
        <v>5483</v>
      </c>
    </row>
    <row r="540" customFormat="false" ht="15" hidden="false" customHeight="false" outlineLevel="0" collapsed="false">
      <c r="A540" s="15" t="s">
        <v>4633</v>
      </c>
      <c r="B540" s="15" t="s">
        <v>4572</v>
      </c>
      <c r="C540" s="15" t="s">
        <v>94</v>
      </c>
      <c r="D540" s="15" t="s">
        <v>4637</v>
      </c>
      <c r="E540" s="15" t="s">
        <v>104</v>
      </c>
      <c r="F540" s="15" t="s">
        <v>666</v>
      </c>
      <c r="G540" s="15" t="s">
        <v>2134</v>
      </c>
      <c r="H540" s="16" t="n">
        <v>64</v>
      </c>
      <c r="I540" s="15" t="n">
        <v>30</v>
      </c>
      <c r="J540" s="15" t="s">
        <v>5227</v>
      </c>
      <c r="K540" s="15" t="s">
        <v>5243</v>
      </c>
      <c r="L540" s="15" t="n">
        <v>3</v>
      </c>
      <c r="M540" s="15" t="s">
        <v>5161</v>
      </c>
      <c r="N540" s="18" t="str">
        <f aca="false">IFERROR(IF(ISNUMBER(SEARCH(D540,INDEX(Pages!$J$2:$J$824,MATCH(A540,Pages!$B$2:$B$824,0)))),"Yes","No"),"Page not found")</f>
        <v>No</v>
      </c>
      <c r="O540" s="3" t="s">
        <v>5471</v>
      </c>
      <c r="P540" s="3" t="s">
        <v>5472</v>
      </c>
    </row>
    <row r="541" customFormat="false" ht="15" hidden="false" customHeight="false" outlineLevel="0" collapsed="false">
      <c r="A541" s="15" t="s">
        <v>4517</v>
      </c>
      <c r="B541" s="15" t="s">
        <v>2076</v>
      </c>
      <c r="C541" s="15" t="s">
        <v>86</v>
      </c>
      <c r="D541" s="15" t="s">
        <v>4521</v>
      </c>
      <c r="E541" s="15" t="s">
        <v>104</v>
      </c>
      <c r="F541" s="15" t="s">
        <v>729</v>
      </c>
      <c r="G541" s="15" t="s">
        <v>2421</v>
      </c>
      <c r="H541" s="16" t="n">
        <v>64</v>
      </c>
      <c r="I541" s="15" t="n">
        <v>32</v>
      </c>
      <c r="J541" s="15" t="s">
        <v>5227</v>
      </c>
      <c r="K541" s="15" t="s">
        <v>5392</v>
      </c>
      <c r="L541" s="15" t="n">
        <v>5</v>
      </c>
      <c r="M541" s="15" t="s">
        <v>5161</v>
      </c>
      <c r="N541" s="18" t="str">
        <f aca="false">IFERROR(IF(ISNUMBER(SEARCH(D541,INDEX(Pages!$J$2:$J$824,MATCH(A541,Pages!$B$2:$B$824,0)))),"Yes","No"),"Page not found")</f>
        <v>Yes</v>
      </c>
      <c r="O541" s="3" t="s">
        <v>5426</v>
      </c>
      <c r="P541" s="3" t="s">
        <v>5427</v>
      </c>
    </row>
    <row r="542" customFormat="false" ht="15" hidden="false" customHeight="false" outlineLevel="0" collapsed="false">
      <c r="A542" s="15" t="s">
        <v>4319</v>
      </c>
      <c r="B542" s="15" t="s">
        <v>2076</v>
      </c>
      <c r="C542" s="15" t="s">
        <v>86</v>
      </c>
      <c r="D542" s="15" t="s">
        <v>4323</v>
      </c>
      <c r="E542" s="15" t="s">
        <v>104</v>
      </c>
      <c r="F542" s="15" t="s">
        <v>680</v>
      </c>
      <c r="G542" s="15" t="s">
        <v>2190</v>
      </c>
      <c r="H542" s="16" t="n">
        <v>63</v>
      </c>
      <c r="I542" s="15" t="n">
        <v>32</v>
      </c>
      <c r="J542" s="15" t="s">
        <v>5227</v>
      </c>
      <c r="K542" s="15" t="s">
        <v>5392</v>
      </c>
      <c r="L542" s="15" t="n">
        <v>5</v>
      </c>
      <c r="M542" s="15" t="s">
        <v>5161</v>
      </c>
      <c r="N542" s="18" t="str">
        <f aca="false">IFERROR(IF(ISNUMBER(SEARCH(D542,INDEX(Pages!$J$2:$J$824,MATCH(A542,Pages!$B$2:$B$824,0)))),"Yes","No"),"Page not found")</f>
        <v>Yes</v>
      </c>
      <c r="O542" s="3" t="s">
        <v>5426</v>
      </c>
      <c r="P542" s="3"/>
    </row>
    <row r="543" customFormat="false" ht="23.85" hidden="false" customHeight="false" outlineLevel="0" collapsed="false">
      <c r="A543" s="15" t="s">
        <v>2364</v>
      </c>
      <c r="B543" s="15" t="s">
        <v>2076</v>
      </c>
      <c r="C543" s="15" t="s">
        <v>89</v>
      </c>
      <c r="D543" s="15" t="s">
        <v>2369</v>
      </c>
      <c r="E543" s="15" t="s">
        <v>104</v>
      </c>
      <c r="F543" s="15" t="s">
        <v>715</v>
      </c>
      <c r="G543" s="15" t="s">
        <v>2365</v>
      </c>
      <c r="H543" s="16" t="n">
        <v>62</v>
      </c>
      <c r="I543" s="15" t="n">
        <v>25</v>
      </c>
      <c r="J543" s="15" t="s">
        <v>5227</v>
      </c>
      <c r="K543" s="15" t="s">
        <v>5473</v>
      </c>
      <c r="L543" s="15" t="n">
        <v>4</v>
      </c>
      <c r="M543" s="15" t="s">
        <v>5161</v>
      </c>
      <c r="N543" s="18" t="str">
        <f aca="false">IFERROR(IF(ISNUMBER(SEARCH(D543,INDEX(Pages!$J$2:$J$824,MATCH(A543,Pages!$B$2:$B$824,0)))),"Yes","No"),"Page not found")</f>
        <v>Yes</v>
      </c>
      <c r="O543" s="3" t="s">
        <v>5426</v>
      </c>
      <c r="P543" s="3" t="s">
        <v>5483</v>
      </c>
    </row>
    <row r="544" customFormat="false" ht="23.85" hidden="false" customHeight="false" outlineLevel="0" collapsed="false">
      <c r="A544" s="15" t="s">
        <v>3077</v>
      </c>
      <c r="B544" s="15" t="s">
        <v>2076</v>
      </c>
      <c r="C544" s="15" t="s">
        <v>85</v>
      </c>
      <c r="D544" s="15" t="s">
        <v>3081</v>
      </c>
      <c r="E544" s="15" t="s">
        <v>104</v>
      </c>
      <c r="F544" s="15" t="s">
        <v>715</v>
      </c>
      <c r="G544" s="15" t="s">
        <v>2365</v>
      </c>
      <c r="H544" s="16" t="n">
        <v>62</v>
      </c>
      <c r="I544" s="15" t="n">
        <v>32</v>
      </c>
      <c r="J544" s="15" t="s">
        <v>5227</v>
      </c>
      <c r="K544" s="15" t="s">
        <v>5392</v>
      </c>
      <c r="L544" s="15" t="n">
        <v>5</v>
      </c>
      <c r="M544" s="15" t="s">
        <v>5161</v>
      </c>
      <c r="N544" s="18" t="str">
        <f aca="false">IFERROR(IF(ISNUMBER(SEARCH(D544,INDEX(Pages!$J$2:$J$824,MATCH(A544,Pages!$B$2:$B$824,0)))),"Yes","No"),"Page not found")</f>
        <v>Yes</v>
      </c>
      <c r="O544" s="3" t="s">
        <v>5426</v>
      </c>
      <c r="P544" s="3" t="s">
        <v>5483</v>
      </c>
    </row>
    <row r="545" customFormat="false" ht="15" hidden="false" customHeight="false" outlineLevel="0" collapsed="false">
      <c r="A545" s="15" t="s">
        <v>3467</v>
      </c>
      <c r="B545" s="15" t="s">
        <v>2076</v>
      </c>
      <c r="C545" s="15" t="s">
        <v>84</v>
      </c>
      <c r="D545" s="15" t="s">
        <v>3471</v>
      </c>
      <c r="E545" s="15" t="s">
        <v>104</v>
      </c>
      <c r="F545" s="15" t="s">
        <v>722</v>
      </c>
      <c r="G545" s="15" t="s">
        <v>2414</v>
      </c>
      <c r="H545" s="16" t="n">
        <v>62</v>
      </c>
      <c r="I545" s="15" t="n">
        <v>40</v>
      </c>
      <c r="J545" s="15" t="s">
        <v>5227</v>
      </c>
      <c r="K545" s="15" t="s">
        <v>5392</v>
      </c>
      <c r="L545" s="15" t="n">
        <v>4</v>
      </c>
      <c r="M545" s="15" t="s">
        <v>5161</v>
      </c>
      <c r="N545" s="18" t="str">
        <f aca="false">IFERROR(IF(ISNUMBER(SEARCH(D545,INDEX(Pages!$J$2:$J$824,MATCH(A545,Pages!$B$2:$B$824,0)))),"Yes","No"),"Page not found")</f>
        <v>Yes</v>
      </c>
      <c r="O545" s="3" t="s">
        <v>5426</v>
      </c>
      <c r="P545" s="3"/>
    </row>
    <row r="546" customFormat="false" ht="23.85" hidden="false" customHeight="false" outlineLevel="0" collapsed="false">
      <c r="A546" s="15" t="s">
        <v>3503</v>
      </c>
      <c r="B546" s="15" t="s">
        <v>2076</v>
      </c>
      <c r="C546" s="15" t="s">
        <v>84</v>
      </c>
      <c r="D546" s="15" t="s">
        <v>3507</v>
      </c>
      <c r="E546" s="15" t="s">
        <v>104</v>
      </c>
      <c r="F546" s="15" t="s">
        <v>729</v>
      </c>
      <c r="G546" s="15" t="s">
        <v>2456</v>
      </c>
      <c r="H546" s="16" t="n">
        <v>62</v>
      </c>
      <c r="I546" s="15" t="n">
        <v>32</v>
      </c>
      <c r="J546" s="15" t="s">
        <v>5227</v>
      </c>
      <c r="K546" s="15" t="s">
        <v>5392</v>
      </c>
      <c r="L546" s="15" t="n">
        <v>5</v>
      </c>
      <c r="M546" s="15" t="s">
        <v>5161</v>
      </c>
      <c r="N546" s="18" t="str">
        <f aca="false">IFERROR(IF(ISNUMBER(SEARCH(D546,INDEX(Pages!$J$2:$J$824,MATCH(A546,Pages!$B$2:$B$824,0)))),"Yes","No"),"Page not found")</f>
        <v>Yes</v>
      </c>
      <c r="O546" s="3" t="s">
        <v>5426</v>
      </c>
      <c r="P546" s="3" t="s">
        <v>5497</v>
      </c>
    </row>
    <row r="547" customFormat="false" ht="23.85" hidden="false" customHeight="false" outlineLevel="0" collapsed="false">
      <c r="A547" s="15" t="s">
        <v>3551</v>
      </c>
      <c r="B547" s="15" t="s">
        <v>2076</v>
      </c>
      <c r="C547" s="15" t="s">
        <v>74</v>
      </c>
      <c r="D547" s="15" t="s">
        <v>3555</v>
      </c>
      <c r="E547" s="15" t="s">
        <v>104</v>
      </c>
      <c r="F547" s="15" t="s">
        <v>657</v>
      </c>
      <c r="G547" s="15" t="s">
        <v>2106</v>
      </c>
      <c r="H547" s="16" t="n">
        <v>61</v>
      </c>
      <c r="I547" s="15" t="n">
        <v>27</v>
      </c>
      <c r="J547" s="15" t="s">
        <v>5227</v>
      </c>
      <c r="K547" s="15" t="s">
        <v>5444</v>
      </c>
      <c r="L547" s="15" t="n">
        <v>3</v>
      </c>
      <c r="M547" s="15" t="s">
        <v>5161</v>
      </c>
      <c r="N547" s="18" t="str">
        <f aca="false">IFERROR(IF(ISNUMBER(SEARCH(D547,INDEX(Pages!$J$2:$J$824,MATCH(A547,Pages!$B$2:$B$824,0)))),"Yes","No"),"Page not found")</f>
        <v>Yes</v>
      </c>
      <c r="O547" s="3" t="s">
        <v>5426</v>
      </c>
      <c r="P547" s="3" t="s">
        <v>5483</v>
      </c>
    </row>
    <row r="548" customFormat="false" ht="23.85" hidden="false" customHeight="false" outlineLevel="0" collapsed="false">
      <c r="A548" s="15" t="s">
        <v>3755</v>
      </c>
      <c r="B548" s="15" t="s">
        <v>2076</v>
      </c>
      <c r="C548" s="15" t="s">
        <v>74</v>
      </c>
      <c r="D548" s="15" t="s">
        <v>3759</v>
      </c>
      <c r="E548" s="15" t="s">
        <v>104</v>
      </c>
      <c r="F548" s="15" t="s">
        <v>715</v>
      </c>
      <c r="G548" s="15" t="s">
        <v>2344</v>
      </c>
      <c r="H548" s="16" t="n">
        <v>61</v>
      </c>
      <c r="I548" s="15" t="n">
        <v>27</v>
      </c>
      <c r="J548" s="15" t="s">
        <v>5227</v>
      </c>
      <c r="K548" s="15" t="s">
        <v>5444</v>
      </c>
      <c r="L548" s="15" t="n">
        <v>3</v>
      </c>
      <c r="M548" s="15" t="s">
        <v>5161</v>
      </c>
      <c r="N548" s="18" t="str">
        <f aca="false">IFERROR(IF(ISNUMBER(SEARCH(D548,INDEX(Pages!$J$2:$J$824,MATCH(A548,Pages!$B$2:$B$824,0)))),"Yes","No"),"Page not found")</f>
        <v>Yes</v>
      </c>
      <c r="O548" s="3" t="s">
        <v>5426</v>
      </c>
      <c r="P548" s="3" t="s">
        <v>5483</v>
      </c>
    </row>
    <row r="549" customFormat="false" ht="15" hidden="false" customHeight="false" outlineLevel="0" collapsed="false">
      <c r="A549" s="15" t="s">
        <v>1241</v>
      </c>
      <c r="B549" s="15" t="s">
        <v>656</v>
      </c>
      <c r="C549" s="15" t="s">
        <v>78</v>
      </c>
      <c r="D549" s="15" t="s">
        <v>1245</v>
      </c>
      <c r="E549" s="15" t="s">
        <v>662</v>
      </c>
      <c r="F549" s="15" t="s">
        <v>687</v>
      </c>
      <c r="G549" s="15"/>
      <c r="H549" s="16" t="n">
        <v>60</v>
      </c>
      <c r="I549" s="15" t="n">
        <v>39</v>
      </c>
      <c r="J549" s="15" t="s">
        <v>5159</v>
      </c>
      <c r="K549" s="15" t="s">
        <v>5418</v>
      </c>
      <c r="L549" s="15" t="n">
        <v>4</v>
      </c>
      <c r="M549" s="15" t="s">
        <v>5161</v>
      </c>
      <c r="N549" s="18" t="str">
        <f aca="false">IFERROR(IF(ISNUMBER(SEARCH(D549,INDEX(Pages!$J$2:$J$824,MATCH(A549,Pages!$B$2:$B$824,0)))),"Yes","No"),"Page not found")</f>
        <v>No</v>
      </c>
      <c r="O549" s="3" t="s">
        <v>5426</v>
      </c>
      <c r="P549" s="3"/>
    </row>
    <row r="550" customFormat="false" ht="23.85" hidden="false" customHeight="false" outlineLevel="0" collapsed="false">
      <c r="A550" s="15" t="s">
        <v>3545</v>
      </c>
      <c r="B550" s="15" t="s">
        <v>2076</v>
      </c>
      <c r="C550" s="15" t="s">
        <v>74</v>
      </c>
      <c r="D550" s="15" t="s">
        <v>3549</v>
      </c>
      <c r="E550" s="15" t="s">
        <v>104</v>
      </c>
      <c r="F550" s="15" t="s">
        <v>657</v>
      </c>
      <c r="G550" s="15" t="s">
        <v>2099</v>
      </c>
      <c r="H550" s="16" t="n">
        <v>60</v>
      </c>
      <c r="I550" s="15" t="n">
        <v>27</v>
      </c>
      <c r="J550" s="15" t="s">
        <v>5227</v>
      </c>
      <c r="K550" s="15" t="s">
        <v>5444</v>
      </c>
      <c r="L550" s="15" t="n">
        <v>3</v>
      </c>
      <c r="M550" s="15" t="s">
        <v>5161</v>
      </c>
      <c r="N550" s="18" t="str">
        <f aca="false">IFERROR(IF(ISNUMBER(SEARCH(D550,INDEX(Pages!$J$2:$J$824,MATCH(A550,Pages!$B$2:$B$824,0)))),"Yes","No"),"Page not found")</f>
        <v>Yes</v>
      </c>
      <c r="O550" s="3" t="s">
        <v>5426</v>
      </c>
      <c r="P550" s="3" t="s">
        <v>5483</v>
      </c>
    </row>
    <row r="551" customFormat="false" ht="15" hidden="false" customHeight="false" outlineLevel="0" collapsed="false">
      <c r="A551" s="15" t="s">
        <v>1391</v>
      </c>
      <c r="B551" s="15" t="s">
        <v>656</v>
      </c>
      <c r="C551" s="15" t="s">
        <v>74</v>
      </c>
      <c r="D551" s="15" t="s">
        <v>1395</v>
      </c>
      <c r="E551" s="15" t="s">
        <v>662</v>
      </c>
      <c r="F551" s="15" t="s">
        <v>680</v>
      </c>
      <c r="G551" s="15"/>
      <c r="H551" s="16" t="n">
        <v>60</v>
      </c>
      <c r="I551" s="15" t="n">
        <v>34</v>
      </c>
      <c r="J551" s="15" t="s">
        <v>5159</v>
      </c>
      <c r="K551" s="15" t="s">
        <v>5440</v>
      </c>
      <c r="L551" s="15" t="n">
        <v>2</v>
      </c>
      <c r="M551" s="15" t="s">
        <v>5161</v>
      </c>
      <c r="N551" s="18" t="str">
        <f aca="false">IFERROR(IF(ISNUMBER(SEARCH(D551,INDEX(Pages!$J$2:$J$824,MATCH(A551,Pages!$B$2:$B$824,0)))),"Yes","No"),"Page not found")</f>
        <v>No</v>
      </c>
      <c r="O551" s="3" t="s">
        <v>5426</v>
      </c>
      <c r="P551" s="3"/>
    </row>
    <row r="552" customFormat="false" ht="15" hidden="false" customHeight="false" outlineLevel="0" collapsed="false">
      <c r="A552" s="15" t="s">
        <v>3827</v>
      </c>
      <c r="B552" s="15" t="s">
        <v>2076</v>
      </c>
      <c r="C552" s="15" t="s">
        <v>74</v>
      </c>
      <c r="D552" s="15" t="s">
        <v>3831</v>
      </c>
      <c r="E552" s="15" t="s">
        <v>104</v>
      </c>
      <c r="F552" s="15" t="s">
        <v>729</v>
      </c>
      <c r="G552" s="15" t="s">
        <v>2428</v>
      </c>
      <c r="H552" s="16" t="n">
        <v>60</v>
      </c>
      <c r="I552" s="15" t="n">
        <v>35</v>
      </c>
      <c r="J552" s="15" t="s">
        <v>5227</v>
      </c>
      <c r="K552" s="15" t="s">
        <v>5444</v>
      </c>
      <c r="L552" s="15" t="n">
        <v>4</v>
      </c>
      <c r="M552" s="15" t="s">
        <v>5161</v>
      </c>
      <c r="N552" s="18" t="str">
        <f aca="false">IFERROR(IF(ISNUMBER(SEARCH(D552,INDEX(Pages!$J$2:$J$824,MATCH(A552,Pages!$B$2:$B$824,0)))),"Yes","No"),"Page not found")</f>
        <v>Yes</v>
      </c>
      <c r="O552" s="3" t="s">
        <v>5426</v>
      </c>
      <c r="P552" s="3" t="s">
        <v>5427</v>
      </c>
    </row>
    <row r="553" customFormat="false" ht="15" hidden="false" customHeight="false" outlineLevel="0" collapsed="false">
      <c r="A553" s="15" t="s">
        <v>1457</v>
      </c>
      <c r="B553" s="15" t="s">
        <v>656</v>
      </c>
      <c r="C553" s="15" t="s">
        <v>75</v>
      </c>
      <c r="D553" s="15" t="s">
        <v>1461</v>
      </c>
      <c r="E553" s="15" t="s">
        <v>662</v>
      </c>
      <c r="F553" s="15" t="s">
        <v>666</v>
      </c>
      <c r="G553" s="15"/>
      <c r="H553" s="16" t="n">
        <v>60</v>
      </c>
      <c r="I553" s="15" t="n">
        <v>29</v>
      </c>
      <c r="J553" s="15" t="s">
        <v>5159</v>
      </c>
      <c r="K553" s="15" t="s">
        <v>5324</v>
      </c>
      <c r="L553" s="15" t="n">
        <v>3</v>
      </c>
      <c r="M553" s="15" t="s">
        <v>5161</v>
      </c>
      <c r="N553" s="18" t="str">
        <f aca="false">IFERROR(IF(ISNUMBER(SEARCH(D553,INDEX(Pages!$J$2:$J$824,MATCH(A553,Pages!$B$2:$B$824,0)))),"Yes","No"),"Page not found")</f>
        <v>No</v>
      </c>
      <c r="O553" s="3" t="s">
        <v>5426</v>
      </c>
      <c r="P553" s="3"/>
    </row>
    <row r="554" customFormat="false" ht="15" hidden="false" customHeight="false" outlineLevel="0" collapsed="false">
      <c r="A554" s="15" t="s">
        <v>3911</v>
      </c>
      <c r="B554" s="15" t="s">
        <v>2076</v>
      </c>
      <c r="C554" s="15" t="s">
        <v>81</v>
      </c>
      <c r="D554" s="15" t="s">
        <v>3915</v>
      </c>
      <c r="E554" s="15" t="s">
        <v>104</v>
      </c>
      <c r="F554" s="15" t="s">
        <v>666</v>
      </c>
      <c r="G554" s="15" t="s">
        <v>2120</v>
      </c>
      <c r="H554" s="16" t="n">
        <v>60</v>
      </c>
      <c r="I554" s="15" t="n">
        <v>28</v>
      </c>
      <c r="J554" s="15" t="s">
        <v>5227</v>
      </c>
      <c r="K554" s="15" t="s">
        <v>5235</v>
      </c>
      <c r="L554" s="15" t="n">
        <v>4</v>
      </c>
      <c r="M554" s="15" t="s">
        <v>5161</v>
      </c>
      <c r="N554" s="18" t="str">
        <f aca="false">IFERROR(IF(ISNUMBER(SEARCH(D554,INDEX(Pages!$J$2:$J$824,MATCH(A554,Pages!$B$2:$B$824,0)))),"Yes","No"),"Page not found")</f>
        <v>Yes</v>
      </c>
      <c r="O554" s="3" t="s">
        <v>5426</v>
      </c>
      <c r="P554" s="3"/>
    </row>
    <row r="555" customFormat="false" ht="23.85" hidden="false" customHeight="false" outlineLevel="0" collapsed="false">
      <c r="A555" s="15" t="s">
        <v>3935</v>
      </c>
      <c r="B555" s="15" t="s">
        <v>2076</v>
      </c>
      <c r="C555" s="15" t="s">
        <v>81</v>
      </c>
      <c r="D555" s="15" t="s">
        <v>3939</v>
      </c>
      <c r="E555" s="15" t="s">
        <v>104</v>
      </c>
      <c r="F555" s="15" t="s">
        <v>666</v>
      </c>
      <c r="G555" s="15" t="s">
        <v>2148</v>
      </c>
      <c r="H555" s="16" t="n">
        <v>60</v>
      </c>
      <c r="I555" s="15" t="n">
        <v>20</v>
      </c>
      <c r="J555" s="15" t="s">
        <v>5227</v>
      </c>
      <c r="K555" s="15" t="s">
        <v>5235</v>
      </c>
      <c r="L555" s="15" t="n">
        <v>4</v>
      </c>
      <c r="M555" s="15" t="s">
        <v>5161</v>
      </c>
      <c r="N555" s="18" t="str">
        <f aca="false">IFERROR(IF(ISNUMBER(SEARCH(D555,INDEX(Pages!$J$2:$J$824,MATCH(A555,Pages!$B$2:$B$824,0)))),"Yes","No"),"Page not found")</f>
        <v>No</v>
      </c>
      <c r="O555" s="3" t="s">
        <v>5426</v>
      </c>
      <c r="P555" s="3" t="s">
        <v>5483</v>
      </c>
    </row>
    <row r="556" customFormat="false" ht="15" hidden="false" customHeight="false" outlineLevel="0" collapsed="false">
      <c r="A556" s="15" t="s">
        <v>1697</v>
      </c>
      <c r="B556" s="15" t="s">
        <v>656</v>
      </c>
      <c r="C556" s="15" t="s">
        <v>81</v>
      </c>
      <c r="D556" s="15" t="s">
        <v>1701</v>
      </c>
      <c r="E556" s="15" t="s">
        <v>662</v>
      </c>
      <c r="F556" s="15" t="s">
        <v>673</v>
      </c>
      <c r="G556" s="15"/>
      <c r="H556" s="16" t="n">
        <v>59</v>
      </c>
      <c r="I556" s="15" t="n">
        <v>24</v>
      </c>
      <c r="J556" s="15" t="s">
        <v>5159</v>
      </c>
      <c r="K556" s="15" t="s">
        <v>5235</v>
      </c>
      <c r="L556" s="15" t="n">
        <v>4</v>
      </c>
      <c r="M556" s="15" t="s">
        <v>5161</v>
      </c>
      <c r="N556" s="18" t="str">
        <f aca="false">IFERROR(IF(ISNUMBER(SEARCH(D556,INDEX(Pages!$J$2:$J$824,MATCH(A556,Pages!$B$2:$B$824,0)))),"Yes","No"),"Page not found")</f>
        <v>No</v>
      </c>
      <c r="O556" s="3" t="s">
        <v>5426</v>
      </c>
      <c r="P556" s="3" t="s">
        <v>5482</v>
      </c>
    </row>
    <row r="557" customFormat="false" ht="23.85" hidden="false" customHeight="false" outlineLevel="0" collapsed="false">
      <c r="A557" s="15" t="s">
        <v>2112</v>
      </c>
      <c r="B557" s="15" t="s">
        <v>2076</v>
      </c>
      <c r="C557" s="15" t="s">
        <v>89</v>
      </c>
      <c r="D557" s="15" t="s">
        <v>2117</v>
      </c>
      <c r="E557" s="15" t="s">
        <v>104</v>
      </c>
      <c r="F557" s="15" t="s">
        <v>666</v>
      </c>
      <c r="G557" s="15" t="s">
        <v>2113</v>
      </c>
      <c r="H557" s="16" t="n">
        <v>58</v>
      </c>
      <c r="I557" s="15" t="n">
        <v>25</v>
      </c>
      <c r="J557" s="15" t="s">
        <v>5227</v>
      </c>
      <c r="K557" s="15" t="s">
        <v>5473</v>
      </c>
      <c r="L557" s="15" t="n">
        <v>4</v>
      </c>
      <c r="M557" s="15" t="s">
        <v>5161</v>
      </c>
      <c r="N557" s="18" t="str">
        <f aca="false">IFERROR(IF(ISNUMBER(SEARCH(D557,INDEX(Pages!$J$2:$J$824,MATCH(A557,Pages!$B$2:$B$824,0)))),"Yes","No"),"Page not found")</f>
        <v>Yes</v>
      </c>
      <c r="O557" s="3" t="s">
        <v>5426</v>
      </c>
      <c r="P557" s="3" t="s">
        <v>5483</v>
      </c>
    </row>
    <row r="558" customFormat="false" ht="15" hidden="false" customHeight="false" outlineLevel="0" collapsed="false">
      <c r="A558" s="15" t="s">
        <v>2861</v>
      </c>
      <c r="B558" s="15" t="s">
        <v>2076</v>
      </c>
      <c r="C558" s="15" t="s">
        <v>85</v>
      </c>
      <c r="D558" s="15" t="s">
        <v>2865</v>
      </c>
      <c r="E558" s="15" t="s">
        <v>104</v>
      </c>
      <c r="F558" s="15" t="s">
        <v>666</v>
      </c>
      <c r="G558" s="15" t="s">
        <v>2113</v>
      </c>
      <c r="H558" s="16" t="n">
        <v>58</v>
      </c>
      <c r="I558" s="15" t="n">
        <v>32</v>
      </c>
      <c r="J558" s="15" t="s">
        <v>5227</v>
      </c>
      <c r="K558" s="15" t="s">
        <v>5392</v>
      </c>
      <c r="L558" s="15" t="n">
        <v>4</v>
      </c>
      <c r="M558" s="15" t="s">
        <v>5161</v>
      </c>
      <c r="N558" s="18" t="str">
        <f aca="false">IFERROR(IF(ISNUMBER(SEARCH(D558,INDEX(Pages!$J$2:$J$824,MATCH(A558,Pages!$B$2:$B$824,0)))),"Yes","No"),"Page not found")</f>
        <v>Yes</v>
      </c>
      <c r="O558" s="3" t="s">
        <v>5426</v>
      </c>
      <c r="P558" s="3"/>
    </row>
    <row r="559" customFormat="false" ht="15" hidden="false" customHeight="false" outlineLevel="0" collapsed="false">
      <c r="A559" s="15" t="s">
        <v>863</v>
      </c>
      <c r="B559" s="15" t="s">
        <v>656</v>
      </c>
      <c r="C559" s="15" t="s">
        <v>85</v>
      </c>
      <c r="D559" s="15" t="s">
        <v>867</v>
      </c>
      <c r="E559" s="15" t="s">
        <v>662</v>
      </c>
      <c r="F559" s="15" t="s">
        <v>701</v>
      </c>
      <c r="G559" s="15"/>
      <c r="H559" s="16" t="n">
        <v>58</v>
      </c>
      <c r="I559" s="15" t="n">
        <v>33</v>
      </c>
      <c r="J559" s="15" t="s">
        <v>5159</v>
      </c>
      <c r="K559" s="15" t="s">
        <v>5321</v>
      </c>
      <c r="L559" s="15" t="n">
        <v>5</v>
      </c>
      <c r="M559" s="15" t="s">
        <v>5161</v>
      </c>
      <c r="N559" s="18" t="str">
        <f aca="false">IFERROR(IF(ISNUMBER(SEARCH(D559,INDEX(Pages!$J$2:$J$824,MATCH(A559,Pages!$B$2:$B$824,0)))),"Yes","No"),"Page not found")</f>
        <v>No</v>
      </c>
      <c r="O559" s="3" t="s">
        <v>5376</v>
      </c>
      <c r="P559" s="3"/>
    </row>
    <row r="560" customFormat="false" ht="23.85" hidden="false" customHeight="false" outlineLevel="0" collapsed="false">
      <c r="A560" s="15" t="s">
        <v>2126</v>
      </c>
      <c r="B560" s="15" t="s">
        <v>2076</v>
      </c>
      <c r="C560" s="15" t="s">
        <v>89</v>
      </c>
      <c r="D560" s="15" t="s">
        <v>2131</v>
      </c>
      <c r="E560" s="15" t="s">
        <v>104</v>
      </c>
      <c r="F560" s="15" t="s">
        <v>666</v>
      </c>
      <c r="G560" s="15" t="s">
        <v>2127</v>
      </c>
      <c r="H560" s="16" t="n">
        <v>57</v>
      </c>
      <c r="I560" s="15" t="n">
        <v>25</v>
      </c>
      <c r="J560" s="15" t="s">
        <v>5227</v>
      </c>
      <c r="K560" s="15" t="s">
        <v>5473</v>
      </c>
      <c r="L560" s="15" t="n">
        <v>4</v>
      </c>
      <c r="M560" s="15" t="s">
        <v>5161</v>
      </c>
      <c r="N560" s="18" t="str">
        <f aca="false">IFERROR(IF(ISNUMBER(SEARCH(D560,INDEX(Pages!$J$2:$J$824,MATCH(A560,Pages!$B$2:$B$824,0)))),"Yes","No"),"Page not found")</f>
        <v>Yes</v>
      </c>
      <c r="O560" s="3" t="s">
        <v>5426</v>
      </c>
      <c r="P560" s="3" t="s">
        <v>5483</v>
      </c>
    </row>
    <row r="561" customFormat="false" ht="15" hidden="false" customHeight="false" outlineLevel="0" collapsed="false">
      <c r="A561" s="15" t="s">
        <v>2873</v>
      </c>
      <c r="B561" s="15" t="s">
        <v>2076</v>
      </c>
      <c r="C561" s="15" t="s">
        <v>85</v>
      </c>
      <c r="D561" s="15" t="s">
        <v>2877</v>
      </c>
      <c r="E561" s="15" t="s">
        <v>104</v>
      </c>
      <c r="F561" s="15" t="s">
        <v>666</v>
      </c>
      <c r="G561" s="15" t="s">
        <v>2127</v>
      </c>
      <c r="H561" s="16" t="n">
        <v>57</v>
      </c>
      <c r="I561" s="15" t="n">
        <v>32</v>
      </c>
      <c r="J561" s="15" t="s">
        <v>5227</v>
      </c>
      <c r="K561" s="15" t="s">
        <v>5392</v>
      </c>
      <c r="L561" s="15" t="n">
        <v>4</v>
      </c>
      <c r="M561" s="15" t="s">
        <v>5161</v>
      </c>
      <c r="N561" s="18" t="str">
        <f aca="false">IFERROR(IF(ISNUMBER(SEARCH(D561,INDEX(Pages!$J$2:$J$824,MATCH(A561,Pages!$B$2:$B$824,0)))),"Yes","No"),"Page not found")</f>
        <v>Yes</v>
      </c>
      <c r="O561" s="3" t="s">
        <v>5426</v>
      </c>
      <c r="P561" s="3"/>
    </row>
    <row r="562" customFormat="false" ht="15" hidden="false" customHeight="false" outlineLevel="0" collapsed="false">
      <c r="A562" s="15" t="s">
        <v>3605</v>
      </c>
      <c r="B562" s="15" t="s">
        <v>2076</v>
      </c>
      <c r="C562" s="15" t="s">
        <v>74</v>
      </c>
      <c r="D562" s="15" t="s">
        <v>3609</v>
      </c>
      <c r="E562" s="15" t="s">
        <v>104</v>
      </c>
      <c r="F562" s="15" t="s">
        <v>666</v>
      </c>
      <c r="G562" s="15" t="s">
        <v>2169</v>
      </c>
      <c r="H562" s="16" t="n">
        <v>57</v>
      </c>
      <c r="I562" s="15" t="n">
        <v>35</v>
      </c>
      <c r="J562" s="15" t="s">
        <v>5227</v>
      </c>
      <c r="K562" s="15" t="s">
        <v>5444</v>
      </c>
      <c r="L562" s="15" t="n">
        <v>3</v>
      </c>
      <c r="M562" s="15" t="s">
        <v>5161</v>
      </c>
      <c r="N562" s="18" t="str">
        <f aca="false">IFERROR(IF(ISNUMBER(SEARCH(D562,INDEX(Pages!$J$2:$J$824,MATCH(A562,Pages!$B$2:$B$824,0)))),"Yes","No"),"Page not found")</f>
        <v>Yes</v>
      </c>
      <c r="O562" s="3" t="s">
        <v>5426</v>
      </c>
      <c r="P562" s="3"/>
    </row>
    <row r="563" customFormat="false" ht="15" hidden="false" customHeight="false" outlineLevel="0" collapsed="false">
      <c r="A563" s="15" t="s">
        <v>4529</v>
      </c>
      <c r="B563" s="15" t="s">
        <v>2076</v>
      </c>
      <c r="C563" s="15" t="s">
        <v>86</v>
      </c>
      <c r="D563" s="15" t="s">
        <v>4533</v>
      </c>
      <c r="E563" s="15" t="s">
        <v>104</v>
      </c>
      <c r="F563" s="15" t="s">
        <v>729</v>
      </c>
      <c r="G563" s="15" t="s">
        <v>2435</v>
      </c>
      <c r="H563" s="16" t="n">
        <v>57</v>
      </c>
      <c r="I563" s="15" t="n">
        <v>32</v>
      </c>
      <c r="J563" s="15" t="s">
        <v>5227</v>
      </c>
      <c r="K563" s="15" t="s">
        <v>5392</v>
      </c>
      <c r="L563" s="15" t="n">
        <v>5</v>
      </c>
      <c r="M563" s="15" t="s">
        <v>5161</v>
      </c>
      <c r="N563" s="18" t="str">
        <f aca="false">IFERROR(IF(ISNUMBER(SEARCH(D563,INDEX(Pages!$J$2:$J$824,MATCH(A563,Pages!$B$2:$B$824,0)))),"Yes","No"),"Page not found")</f>
        <v>Yes</v>
      </c>
      <c r="O563" s="3" t="s">
        <v>5426</v>
      </c>
      <c r="P563" s="3" t="s">
        <v>5427</v>
      </c>
    </row>
    <row r="564" customFormat="false" ht="23.85" hidden="false" customHeight="false" outlineLevel="0" collapsed="false">
      <c r="A564" s="15" t="s">
        <v>2238</v>
      </c>
      <c r="B564" s="15" t="s">
        <v>2076</v>
      </c>
      <c r="C564" s="15" t="s">
        <v>89</v>
      </c>
      <c r="D564" s="15" t="s">
        <v>2243</v>
      </c>
      <c r="E564" s="15" t="s">
        <v>104</v>
      </c>
      <c r="F564" s="15" t="s">
        <v>715</v>
      </c>
      <c r="G564" s="15" t="s">
        <v>2239</v>
      </c>
      <c r="H564" s="16" t="n">
        <v>56</v>
      </c>
      <c r="I564" s="15" t="n">
        <v>33</v>
      </c>
      <c r="J564" s="15" t="s">
        <v>5227</v>
      </c>
      <c r="K564" s="15" t="s">
        <v>5473</v>
      </c>
      <c r="L564" s="15" t="n">
        <v>4</v>
      </c>
      <c r="M564" s="15" t="s">
        <v>5161</v>
      </c>
      <c r="N564" s="18" t="str">
        <f aca="false">IFERROR(IF(ISNUMBER(SEARCH(D564,INDEX(Pages!$J$2:$J$824,MATCH(A564,Pages!$B$2:$B$824,0)))),"Yes","No"),"Page not found")</f>
        <v>Yes</v>
      </c>
      <c r="O564" s="3" t="s">
        <v>5426</v>
      </c>
      <c r="P564" s="3" t="s">
        <v>5483</v>
      </c>
    </row>
    <row r="565" customFormat="false" ht="15" hidden="false" customHeight="false" outlineLevel="0" collapsed="false">
      <c r="A565" s="15" t="s">
        <v>2969</v>
      </c>
      <c r="B565" s="15" t="s">
        <v>2076</v>
      </c>
      <c r="C565" s="15" t="s">
        <v>85</v>
      </c>
      <c r="D565" s="15" t="s">
        <v>2973</v>
      </c>
      <c r="E565" s="15" t="s">
        <v>104</v>
      </c>
      <c r="F565" s="15" t="s">
        <v>715</v>
      </c>
      <c r="G565" s="15" t="s">
        <v>2239</v>
      </c>
      <c r="H565" s="16" t="n">
        <v>56</v>
      </c>
      <c r="I565" s="15" t="n">
        <v>40</v>
      </c>
      <c r="J565" s="15" t="s">
        <v>5227</v>
      </c>
      <c r="K565" s="15" t="s">
        <v>5392</v>
      </c>
      <c r="L565" s="15" t="n">
        <v>5</v>
      </c>
      <c r="M565" s="15" t="s">
        <v>5161</v>
      </c>
      <c r="N565" s="18" t="str">
        <f aca="false">IFERROR(IF(ISNUMBER(SEARCH(D565,INDEX(Pages!$J$2:$J$824,MATCH(A565,Pages!$B$2:$B$824,0)))),"Yes","No"),"Page not found")</f>
        <v>Yes</v>
      </c>
      <c r="O565" s="3" t="s">
        <v>5426</v>
      </c>
      <c r="P565" s="3"/>
    </row>
    <row r="566" customFormat="false" ht="15" hidden="false" customHeight="false" outlineLevel="0" collapsed="false">
      <c r="A566" s="15" t="s">
        <v>2133</v>
      </c>
      <c r="B566" s="15" t="s">
        <v>2076</v>
      </c>
      <c r="C566" s="15" t="s">
        <v>89</v>
      </c>
      <c r="D566" s="15" t="s">
        <v>2138</v>
      </c>
      <c r="E566" s="15" t="s">
        <v>104</v>
      </c>
      <c r="F566" s="15" t="s">
        <v>666</v>
      </c>
      <c r="G566" s="15" t="s">
        <v>2134</v>
      </c>
      <c r="H566" s="16" t="n">
        <v>55</v>
      </c>
      <c r="I566" s="15" t="n">
        <v>33</v>
      </c>
      <c r="J566" s="15" t="s">
        <v>5227</v>
      </c>
      <c r="K566" s="15" t="s">
        <v>5473</v>
      </c>
      <c r="L566" s="15" t="n">
        <v>3</v>
      </c>
      <c r="M566" s="15" t="s">
        <v>5161</v>
      </c>
      <c r="N566" s="18" t="str">
        <f aca="false">IFERROR(IF(ISNUMBER(SEARCH(D566,INDEX(Pages!$J$2:$J$824,MATCH(A566,Pages!$B$2:$B$824,0)))),"Yes","No"),"Page not found")</f>
        <v>Yes</v>
      </c>
      <c r="O566" s="3" t="s">
        <v>5426</v>
      </c>
      <c r="P566" s="3"/>
    </row>
    <row r="567" customFormat="false" ht="15" hidden="false" customHeight="false" outlineLevel="0" collapsed="false">
      <c r="A567" s="15" t="s">
        <v>686</v>
      </c>
      <c r="B567" s="15" t="s">
        <v>656</v>
      </c>
      <c r="C567" s="15" t="s">
        <v>89</v>
      </c>
      <c r="D567" s="15" t="s">
        <v>691</v>
      </c>
      <c r="E567" s="15" t="s">
        <v>662</v>
      </c>
      <c r="F567" s="15" t="s">
        <v>687</v>
      </c>
      <c r="G567" s="15"/>
      <c r="H567" s="16" t="n">
        <v>55</v>
      </c>
      <c r="I567" s="15" t="n">
        <v>34</v>
      </c>
      <c r="J567" s="15" t="s">
        <v>5159</v>
      </c>
      <c r="K567" s="15" t="s">
        <v>5425</v>
      </c>
      <c r="L567" s="15" t="n">
        <v>3</v>
      </c>
      <c r="M567" s="15" t="s">
        <v>5161</v>
      </c>
      <c r="N567" s="18" t="str">
        <f aca="false">IFERROR(IF(ISNUMBER(SEARCH(D567,INDEX(Pages!$J$2:$J$824,MATCH(A567,Pages!$B$2:$B$824,0)))),"Yes","No"),"Page not found")</f>
        <v>No</v>
      </c>
      <c r="O567" s="3" t="s">
        <v>5426</v>
      </c>
      <c r="P567" s="3"/>
    </row>
    <row r="568" customFormat="false" ht="23.85" hidden="false" customHeight="false" outlineLevel="0" collapsed="false">
      <c r="A568" s="15" t="s">
        <v>2266</v>
      </c>
      <c r="B568" s="15" t="s">
        <v>2076</v>
      </c>
      <c r="C568" s="15" t="s">
        <v>89</v>
      </c>
      <c r="D568" s="15" t="s">
        <v>2271</v>
      </c>
      <c r="E568" s="15" t="s">
        <v>104</v>
      </c>
      <c r="F568" s="15" t="s">
        <v>715</v>
      </c>
      <c r="G568" s="15" t="s">
        <v>2267</v>
      </c>
      <c r="H568" s="16" t="n">
        <v>55</v>
      </c>
      <c r="I568" s="15" t="n">
        <v>33</v>
      </c>
      <c r="J568" s="15" t="s">
        <v>5227</v>
      </c>
      <c r="K568" s="15" t="s">
        <v>5473</v>
      </c>
      <c r="L568" s="15" t="n">
        <v>4</v>
      </c>
      <c r="M568" s="15" t="s">
        <v>5161</v>
      </c>
      <c r="N568" s="18" t="str">
        <f aca="false">IFERROR(IF(ISNUMBER(SEARCH(D568,INDEX(Pages!$J$2:$J$824,MATCH(A568,Pages!$B$2:$B$824,0)))),"Yes","No"),"Page not found")</f>
        <v>Yes</v>
      </c>
      <c r="O568" s="3" t="s">
        <v>5426</v>
      </c>
      <c r="P568" s="3" t="s">
        <v>5483</v>
      </c>
    </row>
    <row r="569" customFormat="false" ht="15" hidden="false" customHeight="false" outlineLevel="0" collapsed="false">
      <c r="A569" s="15" t="s">
        <v>2879</v>
      </c>
      <c r="B569" s="15" t="s">
        <v>2076</v>
      </c>
      <c r="C569" s="15" t="s">
        <v>85</v>
      </c>
      <c r="D569" s="15" t="s">
        <v>2883</v>
      </c>
      <c r="E569" s="15" t="s">
        <v>104</v>
      </c>
      <c r="F569" s="15" t="s">
        <v>666</v>
      </c>
      <c r="G569" s="15" t="s">
        <v>2134</v>
      </c>
      <c r="H569" s="16" t="n">
        <v>55</v>
      </c>
      <c r="I569" s="15" t="n">
        <v>40</v>
      </c>
      <c r="J569" s="15" t="s">
        <v>5227</v>
      </c>
      <c r="K569" s="15" t="s">
        <v>5392</v>
      </c>
      <c r="L569" s="15" t="n">
        <v>5</v>
      </c>
      <c r="M569" s="15" t="s">
        <v>5161</v>
      </c>
      <c r="N569" s="18" t="str">
        <f aca="false">IFERROR(IF(ISNUMBER(SEARCH(D569,INDEX(Pages!$J$2:$J$824,MATCH(A569,Pages!$B$2:$B$824,0)))),"Yes","No"),"Page not found")</f>
        <v>Yes</v>
      </c>
      <c r="O569" s="3" t="s">
        <v>5426</v>
      </c>
      <c r="P569" s="3"/>
    </row>
    <row r="570" customFormat="false" ht="15" hidden="false" customHeight="false" outlineLevel="0" collapsed="false">
      <c r="A570" s="15" t="s">
        <v>2993</v>
      </c>
      <c r="B570" s="15" t="s">
        <v>2076</v>
      </c>
      <c r="C570" s="15" t="s">
        <v>85</v>
      </c>
      <c r="D570" s="15" t="s">
        <v>2997</v>
      </c>
      <c r="E570" s="15" t="s">
        <v>104</v>
      </c>
      <c r="F570" s="15" t="s">
        <v>715</v>
      </c>
      <c r="G570" s="15" t="s">
        <v>2267</v>
      </c>
      <c r="H570" s="16" t="n">
        <v>55</v>
      </c>
      <c r="I570" s="15" t="n">
        <v>40</v>
      </c>
      <c r="J570" s="15" t="s">
        <v>5227</v>
      </c>
      <c r="K570" s="15" t="s">
        <v>5392</v>
      </c>
      <c r="L570" s="15" t="n">
        <v>5</v>
      </c>
      <c r="M570" s="15" t="s">
        <v>5161</v>
      </c>
      <c r="N570" s="18" t="str">
        <f aca="false">IFERROR(IF(ISNUMBER(SEARCH(D570,INDEX(Pages!$J$2:$J$824,MATCH(A570,Pages!$B$2:$B$824,0)))),"Yes","No"),"Page not found")</f>
        <v>Yes</v>
      </c>
      <c r="O570" s="3" t="s">
        <v>5426</v>
      </c>
      <c r="P570" s="3"/>
    </row>
    <row r="571" customFormat="false" ht="23.85" hidden="false" customHeight="false" outlineLevel="0" collapsed="false">
      <c r="A571" s="15" t="s">
        <v>2259</v>
      </c>
      <c r="B571" s="15" t="s">
        <v>2076</v>
      </c>
      <c r="C571" s="15" t="s">
        <v>89</v>
      </c>
      <c r="D571" s="15" t="s">
        <v>2264</v>
      </c>
      <c r="E571" s="15" t="s">
        <v>104</v>
      </c>
      <c r="F571" s="15" t="s">
        <v>715</v>
      </c>
      <c r="G571" s="15" t="s">
        <v>2260</v>
      </c>
      <c r="H571" s="16" t="n">
        <v>53</v>
      </c>
      <c r="I571" s="15" t="n">
        <v>25</v>
      </c>
      <c r="J571" s="15" t="s">
        <v>5227</v>
      </c>
      <c r="K571" s="15" t="s">
        <v>5473</v>
      </c>
      <c r="L571" s="15" t="n">
        <v>4</v>
      </c>
      <c r="M571" s="15" t="s">
        <v>5161</v>
      </c>
      <c r="N571" s="18" t="str">
        <f aca="false">IFERROR(IF(ISNUMBER(SEARCH(D571,INDEX(Pages!$J$2:$J$824,MATCH(A571,Pages!$B$2:$B$824,0)))),"Yes","No"),"Page not found")</f>
        <v>Yes</v>
      </c>
      <c r="O571" s="3" t="s">
        <v>5426</v>
      </c>
      <c r="P571" s="3" t="s">
        <v>5483</v>
      </c>
    </row>
    <row r="572" customFormat="false" ht="23.85" hidden="false" customHeight="false" outlineLevel="0" collapsed="false">
      <c r="A572" s="15" t="s">
        <v>2357</v>
      </c>
      <c r="B572" s="15" t="s">
        <v>2076</v>
      </c>
      <c r="C572" s="15" t="s">
        <v>89</v>
      </c>
      <c r="D572" s="15" t="s">
        <v>2362</v>
      </c>
      <c r="E572" s="15" t="s">
        <v>104</v>
      </c>
      <c r="F572" s="15" t="s">
        <v>715</v>
      </c>
      <c r="G572" s="15" t="s">
        <v>2358</v>
      </c>
      <c r="H572" s="16" t="n">
        <v>53</v>
      </c>
      <c r="I572" s="15" t="n">
        <v>33</v>
      </c>
      <c r="J572" s="15" t="s">
        <v>5227</v>
      </c>
      <c r="K572" s="15" t="s">
        <v>5473</v>
      </c>
      <c r="L572" s="15" t="n">
        <v>4</v>
      </c>
      <c r="M572" s="15" t="s">
        <v>5161</v>
      </c>
      <c r="N572" s="18" t="str">
        <f aca="false">IFERROR(IF(ISNUMBER(SEARCH(D572,INDEX(Pages!$J$2:$J$824,MATCH(A572,Pages!$B$2:$B$824,0)))),"Yes","No"),"Page not found")</f>
        <v>No</v>
      </c>
      <c r="O572" s="3" t="s">
        <v>5426</v>
      </c>
      <c r="P572" s="3" t="s">
        <v>5483</v>
      </c>
    </row>
    <row r="573" customFormat="false" ht="23.85" hidden="false" customHeight="false" outlineLevel="0" collapsed="false">
      <c r="A573" s="15" t="s">
        <v>2399</v>
      </c>
      <c r="B573" s="15" t="s">
        <v>2076</v>
      </c>
      <c r="C573" s="15" t="s">
        <v>89</v>
      </c>
      <c r="D573" s="15" t="s">
        <v>2404</v>
      </c>
      <c r="E573" s="15" t="s">
        <v>104</v>
      </c>
      <c r="F573" s="15" t="s">
        <v>715</v>
      </c>
      <c r="G573" s="15" t="s">
        <v>2400</v>
      </c>
      <c r="H573" s="16" t="n">
        <v>53</v>
      </c>
      <c r="I573" s="15" t="n">
        <v>25</v>
      </c>
      <c r="J573" s="15" t="s">
        <v>5227</v>
      </c>
      <c r="K573" s="15" t="s">
        <v>5473</v>
      </c>
      <c r="L573" s="15" t="n">
        <v>4</v>
      </c>
      <c r="M573" s="15" t="s">
        <v>5161</v>
      </c>
      <c r="N573" s="18" t="str">
        <f aca="false">IFERROR(IF(ISNUMBER(SEARCH(D573,INDEX(Pages!$J$2:$J$824,MATCH(A573,Pages!$B$2:$B$824,0)))),"Yes","No"),"Page not found")</f>
        <v>Yes</v>
      </c>
      <c r="O573" s="3" t="s">
        <v>5426</v>
      </c>
      <c r="P573" s="3" t="s">
        <v>5483</v>
      </c>
    </row>
    <row r="574" customFormat="false" ht="23.85" hidden="false" customHeight="false" outlineLevel="0" collapsed="false">
      <c r="A574" s="15" t="s">
        <v>2987</v>
      </c>
      <c r="B574" s="15" t="s">
        <v>2076</v>
      </c>
      <c r="C574" s="15" t="s">
        <v>85</v>
      </c>
      <c r="D574" s="15" t="s">
        <v>2991</v>
      </c>
      <c r="E574" s="15" t="s">
        <v>104</v>
      </c>
      <c r="F574" s="15" t="s">
        <v>715</v>
      </c>
      <c r="G574" s="15" t="s">
        <v>2260</v>
      </c>
      <c r="H574" s="16" t="n">
        <v>53</v>
      </c>
      <c r="I574" s="15" t="n">
        <v>32</v>
      </c>
      <c r="J574" s="15" t="s">
        <v>5227</v>
      </c>
      <c r="K574" s="15" t="s">
        <v>5392</v>
      </c>
      <c r="L574" s="15" t="n">
        <v>5</v>
      </c>
      <c r="M574" s="15" t="s">
        <v>5161</v>
      </c>
      <c r="N574" s="18" t="str">
        <f aca="false">IFERROR(IF(ISNUMBER(SEARCH(D574,INDEX(Pages!$J$2:$J$824,MATCH(A574,Pages!$B$2:$B$824,0)))),"Yes","No"),"Page not found")</f>
        <v>Yes</v>
      </c>
      <c r="O574" s="3" t="s">
        <v>5426</v>
      </c>
      <c r="P574" s="3" t="s">
        <v>5483</v>
      </c>
    </row>
    <row r="575" customFormat="false" ht="15" hidden="false" customHeight="false" outlineLevel="0" collapsed="false">
      <c r="A575" s="15" t="s">
        <v>3071</v>
      </c>
      <c r="B575" s="15" t="s">
        <v>2076</v>
      </c>
      <c r="C575" s="15" t="s">
        <v>85</v>
      </c>
      <c r="D575" s="15" t="s">
        <v>3075</v>
      </c>
      <c r="E575" s="15" t="s">
        <v>104</v>
      </c>
      <c r="F575" s="15" t="s">
        <v>715</v>
      </c>
      <c r="G575" s="15" t="s">
        <v>2358</v>
      </c>
      <c r="H575" s="16" t="n">
        <v>53</v>
      </c>
      <c r="I575" s="15" t="n">
        <v>40</v>
      </c>
      <c r="J575" s="15" t="s">
        <v>5227</v>
      </c>
      <c r="K575" s="15" t="s">
        <v>5392</v>
      </c>
      <c r="L575" s="15" t="n">
        <v>5</v>
      </c>
      <c r="M575" s="15" t="s">
        <v>5161</v>
      </c>
      <c r="N575" s="18" t="str">
        <f aca="false">IFERROR(IF(ISNUMBER(SEARCH(D575,INDEX(Pages!$J$2:$J$824,MATCH(A575,Pages!$B$2:$B$824,0)))),"Yes","No"),"Page not found")</f>
        <v>No</v>
      </c>
      <c r="O575" s="3" t="s">
        <v>5426</v>
      </c>
      <c r="P575" s="3"/>
    </row>
    <row r="576" customFormat="false" ht="23.85" hidden="false" customHeight="false" outlineLevel="0" collapsed="false">
      <c r="A576" s="15" t="s">
        <v>3107</v>
      </c>
      <c r="B576" s="15" t="s">
        <v>2076</v>
      </c>
      <c r="C576" s="15" t="s">
        <v>85</v>
      </c>
      <c r="D576" s="15" t="s">
        <v>3111</v>
      </c>
      <c r="E576" s="15" t="s">
        <v>104</v>
      </c>
      <c r="F576" s="15" t="s">
        <v>715</v>
      </c>
      <c r="G576" s="15" t="s">
        <v>2400</v>
      </c>
      <c r="H576" s="16" t="n">
        <v>53</v>
      </c>
      <c r="I576" s="15" t="n">
        <v>32</v>
      </c>
      <c r="J576" s="15" t="s">
        <v>5227</v>
      </c>
      <c r="K576" s="15" t="s">
        <v>5392</v>
      </c>
      <c r="L576" s="15" t="n">
        <v>5</v>
      </c>
      <c r="M576" s="15" t="s">
        <v>5161</v>
      </c>
      <c r="N576" s="18" t="str">
        <f aca="false">IFERROR(IF(ISNUMBER(SEARCH(D576,INDEX(Pages!$J$2:$J$824,MATCH(A576,Pages!$B$2:$B$824,0)))),"Yes","No"),"Page not found")</f>
        <v>Yes</v>
      </c>
      <c r="O576" s="3" t="s">
        <v>5426</v>
      </c>
      <c r="P576" s="3" t="s">
        <v>5483</v>
      </c>
    </row>
    <row r="577" customFormat="false" ht="23.85" hidden="false" customHeight="false" outlineLevel="0" collapsed="false">
      <c r="A577" s="15" t="s">
        <v>4307</v>
      </c>
      <c r="B577" s="15" t="s">
        <v>2076</v>
      </c>
      <c r="C577" s="15" t="s">
        <v>86</v>
      </c>
      <c r="D577" s="15" t="s">
        <v>4311</v>
      </c>
      <c r="E577" s="15" t="s">
        <v>104</v>
      </c>
      <c r="F577" s="15" t="s">
        <v>673</v>
      </c>
      <c r="G577" s="15" t="s">
        <v>2176</v>
      </c>
      <c r="H577" s="16" t="n">
        <v>53</v>
      </c>
      <c r="I577" s="15" t="n">
        <v>24</v>
      </c>
      <c r="J577" s="15" t="s">
        <v>5227</v>
      </c>
      <c r="K577" s="15" t="s">
        <v>5392</v>
      </c>
      <c r="L577" s="15" t="n">
        <v>5</v>
      </c>
      <c r="M577" s="15" t="s">
        <v>5161</v>
      </c>
      <c r="N577" s="18" t="str">
        <f aca="false">IFERROR(IF(ISNUMBER(SEARCH(D577,INDEX(Pages!$J$2:$J$824,MATCH(A577,Pages!$B$2:$B$824,0)))),"Yes","No"),"Page not found")</f>
        <v>Yes</v>
      </c>
      <c r="O577" s="3" t="s">
        <v>5426</v>
      </c>
      <c r="P577" s="3" t="s">
        <v>5483</v>
      </c>
    </row>
    <row r="578" customFormat="false" ht="23.85" hidden="false" customHeight="false" outlineLevel="0" collapsed="false">
      <c r="A578" s="15" t="s">
        <v>2140</v>
      </c>
      <c r="B578" s="15" t="s">
        <v>2076</v>
      </c>
      <c r="C578" s="15" t="s">
        <v>89</v>
      </c>
      <c r="D578" s="15" t="s">
        <v>2145</v>
      </c>
      <c r="E578" s="15" t="s">
        <v>104</v>
      </c>
      <c r="F578" s="15" t="s">
        <v>666</v>
      </c>
      <c r="G578" s="15" t="s">
        <v>2141</v>
      </c>
      <c r="H578" s="16" t="n">
        <v>52</v>
      </c>
      <c r="I578" s="15" t="n">
        <v>17</v>
      </c>
      <c r="J578" s="15" t="s">
        <v>5227</v>
      </c>
      <c r="K578" s="15" t="s">
        <v>5473</v>
      </c>
      <c r="L578" s="15" t="n">
        <v>3</v>
      </c>
      <c r="M578" s="15" t="s">
        <v>5161</v>
      </c>
      <c r="N578" s="18" t="str">
        <f aca="false">IFERROR(IF(ISNUMBER(SEARCH(D578,INDEX(Pages!$J$2:$J$824,MATCH(A578,Pages!$B$2:$B$824,0)))),"Yes","No"),"Page not found")</f>
        <v>Yes</v>
      </c>
      <c r="O578" s="3" t="s">
        <v>5426</v>
      </c>
      <c r="P578" s="3" t="s">
        <v>5483</v>
      </c>
    </row>
    <row r="579" customFormat="false" ht="23.85" hidden="false" customHeight="false" outlineLevel="0" collapsed="false">
      <c r="A579" s="15" t="s">
        <v>2280</v>
      </c>
      <c r="B579" s="15" t="s">
        <v>2076</v>
      </c>
      <c r="C579" s="15" t="s">
        <v>89</v>
      </c>
      <c r="D579" s="15" t="s">
        <v>2285</v>
      </c>
      <c r="E579" s="15" t="s">
        <v>104</v>
      </c>
      <c r="F579" s="15" t="s">
        <v>715</v>
      </c>
      <c r="G579" s="15" t="s">
        <v>2281</v>
      </c>
      <c r="H579" s="16" t="n">
        <v>52</v>
      </c>
      <c r="I579" s="15" t="n">
        <v>33</v>
      </c>
      <c r="J579" s="15" t="s">
        <v>5227</v>
      </c>
      <c r="K579" s="15" t="s">
        <v>5473</v>
      </c>
      <c r="L579" s="15" t="n">
        <v>4</v>
      </c>
      <c r="M579" s="15" t="s">
        <v>5161</v>
      </c>
      <c r="N579" s="18" t="str">
        <f aca="false">IFERROR(IF(ISNUMBER(SEARCH(D579,INDEX(Pages!$J$2:$J$824,MATCH(A579,Pages!$B$2:$B$824,0)))),"Yes","No"),"Page not found")</f>
        <v>Yes</v>
      </c>
      <c r="O579" s="3" t="s">
        <v>5426</v>
      </c>
      <c r="P579" s="3" t="s">
        <v>5483</v>
      </c>
    </row>
    <row r="580" customFormat="false" ht="23.85" hidden="false" customHeight="false" outlineLevel="0" collapsed="false">
      <c r="A580" s="15" t="s">
        <v>2308</v>
      </c>
      <c r="B580" s="15" t="s">
        <v>2076</v>
      </c>
      <c r="C580" s="15" t="s">
        <v>89</v>
      </c>
      <c r="D580" s="15" t="s">
        <v>2313</v>
      </c>
      <c r="E580" s="15" t="s">
        <v>104</v>
      </c>
      <c r="F580" s="15" t="s">
        <v>715</v>
      </c>
      <c r="G580" s="15" t="s">
        <v>2309</v>
      </c>
      <c r="H580" s="16" t="n">
        <v>52</v>
      </c>
      <c r="I580" s="15" t="n">
        <v>25</v>
      </c>
      <c r="J580" s="15" t="s">
        <v>5227</v>
      </c>
      <c r="K580" s="15" t="s">
        <v>5473</v>
      </c>
      <c r="L580" s="15" t="n">
        <v>4</v>
      </c>
      <c r="M580" s="15" t="s">
        <v>5161</v>
      </c>
      <c r="N580" s="18" t="str">
        <f aca="false">IFERROR(IF(ISNUMBER(SEARCH(D580,INDEX(Pages!$J$2:$J$824,MATCH(A580,Pages!$B$2:$B$824,0)))),"Yes","No"),"Page not found")</f>
        <v>Yes</v>
      </c>
      <c r="O580" s="3" t="s">
        <v>5426</v>
      </c>
      <c r="P580" s="3" t="s">
        <v>5483</v>
      </c>
    </row>
    <row r="581" customFormat="false" ht="23.85" hidden="false" customHeight="false" outlineLevel="0" collapsed="false">
      <c r="A581" s="15" t="s">
        <v>2885</v>
      </c>
      <c r="B581" s="15" t="s">
        <v>2076</v>
      </c>
      <c r="C581" s="15" t="s">
        <v>85</v>
      </c>
      <c r="D581" s="15" t="s">
        <v>2889</v>
      </c>
      <c r="E581" s="15" t="s">
        <v>104</v>
      </c>
      <c r="F581" s="15" t="s">
        <v>666</v>
      </c>
      <c r="G581" s="15" t="s">
        <v>2141</v>
      </c>
      <c r="H581" s="16" t="n">
        <v>52</v>
      </c>
      <c r="I581" s="15" t="n">
        <v>24</v>
      </c>
      <c r="J581" s="15" t="s">
        <v>5227</v>
      </c>
      <c r="K581" s="15" t="s">
        <v>5392</v>
      </c>
      <c r="L581" s="15" t="n">
        <v>5</v>
      </c>
      <c r="M581" s="15" t="s">
        <v>5161</v>
      </c>
      <c r="N581" s="18" t="str">
        <f aca="false">IFERROR(IF(ISNUMBER(SEARCH(D581,INDEX(Pages!$J$2:$J$824,MATCH(A581,Pages!$B$2:$B$824,0)))),"Yes","No"),"Page not found")</f>
        <v>Yes</v>
      </c>
      <c r="O581" s="3" t="s">
        <v>5426</v>
      </c>
      <c r="P581" s="3" t="s">
        <v>5483</v>
      </c>
    </row>
    <row r="582" customFormat="false" ht="15" hidden="false" customHeight="false" outlineLevel="0" collapsed="false">
      <c r="A582" s="15" t="s">
        <v>3005</v>
      </c>
      <c r="B582" s="15" t="s">
        <v>2076</v>
      </c>
      <c r="C582" s="15" t="s">
        <v>85</v>
      </c>
      <c r="D582" s="15" t="s">
        <v>3009</v>
      </c>
      <c r="E582" s="15" t="s">
        <v>104</v>
      </c>
      <c r="F582" s="15" t="s">
        <v>715</v>
      </c>
      <c r="G582" s="15" t="s">
        <v>2281</v>
      </c>
      <c r="H582" s="16" t="n">
        <v>52</v>
      </c>
      <c r="I582" s="15" t="n">
        <v>40</v>
      </c>
      <c r="J582" s="15" t="s">
        <v>5227</v>
      </c>
      <c r="K582" s="15" t="s">
        <v>5392</v>
      </c>
      <c r="L582" s="15" t="n">
        <v>5</v>
      </c>
      <c r="M582" s="15" t="s">
        <v>5161</v>
      </c>
      <c r="N582" s="18" t="str">
        <f aca="false">IFERROR(IF(ISNUMBER(SEARCH(D582,INDEX(Pages!$J$2:$J$824,MATCH(A582,Pages!$B$2:$B$824,0)))),"Yes","No"),"Page not found")</f>
        <v>Yes</v>
      </c>
      <c r="O582" s="3" t="s">
        <v>5426</v>
      </c>
      <c r="P582" s="3"/>
    </row>
    <row r="583" customFormat="false" ht="23.85" hidden="false" customHeight="false" outlineLevel="0" collapsed="false">
      <c r="A583" s="15" t="s">
        <v>3029</v>
      </c>
      <c r="B583" s="15" t="s">
        <v>2076</v>
      </c>
      <c r="C583" s="15" t="s">
        <v>85</v>
      </c>
      <c r="D583" s="15" t="s">
        <v>3033</v>
      </c>
      <c r="E583" s="15" t="s">
        <v>104</v>
      </c>
      <c r="F583" s="15" t="s">
        <v>715</v>
      </c>
      <c r="G583" s="15" t="s">
        <v>2309</v>
      </c>
      <c r="H583" s="16" t="n">
        <v>52</v>
      </c>
      <c r="I583" s="15" t="n">
        <v>32</v>
      </c>
      <c r="J583" s="15" t="s">
        <v>5227</v>
      </c>
      <c r="K583" s="15" t="s">
        <v>5392</v>
      </c>
      <c r="L583" s="15" t="n">
        <v>5</v>
      </c>
      <c r="M583" s="15" t="s">
        <v>5161</v>
      </c>
      <c r="N583" s="18" t="str">
        <f aca="false">IFERROR(IF(ISNUMBER(SEARCH(D583,INDEX(Pages!$J$2:$J$824,MATCH(A583,Pages!$B$2:$B$824,0)))),"Yes","No"),"Page not found")</f>
        <v>Yes</v>
      </c>
      <c r="O583" s="3" t="s">
        <v>5426</v>
      </c>
      <c r="P583" s="3" t="s">
        <v>5483</v>
      </c>
    </row>
    <row r="584" customFormat="false" ht="15" hidden="false" customHeight="false" outlineLevel="0" collapsed="false">
      <c r="A584" s="15" t="s">
        <v>4717</v>
      </c>
      <c r="B584" s="15" t="s">
        <v>4572</v>
      </c>
      <c r="C584" s="15" t="s">
        <v>94</v>
      </c>
      <c r="D584" s="15" t="s">
        <v>4721</v>
      </c>
      <c r="E584" s="15" t="s">
        <v>104</v>
      </c>
      <c r="F584" s="15" t="s">
        <v>687</v>
      </c>
      <c r="G584" s="15" t="s">
        <v>2211</v>
      </c>
      <c r="H584" s="16" t="n">
        <v>52</v>
      </c>
      <c r="I584" s="15" t="n">
        <v>30</v>
      </c>
      <c r="J584" s="15" t="s">
        <v>5227</v>
      </c>
      <c r="K584" s="15" t="s">
        <v>5243</v>
      </c>
      <c r="L584" s="15" t="n">
        <v>4</v>
      </c>
      <c r="M584" s="15" t="s">
        <v>5161</v>
      </c>
      <c r="N584" s="18" t="str">
        <f aca="false">IFERROR(IF(ISNUMBER(SEARCH(D584,INDEX(Pages!$J$2:$J$824,MATCH(A584,Pages!$B$2:$B$824,0)))),"Yes","No"),"Page not found")</f>
        <v>No</v>
      </c>
      <c r="O584" s="3" t="s">
        <v>5471</v>
      </c>
      <c r="P584" s="3" t="s">
        <v>5472</v>
      </c>
    </row>
    <row r="585" customFormat="false" ht="15" hidden="false" customHeight="false" outlineLevel="0" collapsed="false">
      <c r="A585" s="15" t="s">
        <v>1451</v>
      </c>
      <c r="B585" s="15" t="s">
        <v>656</v>
      </c>
      <c r="C585" s="15" t="s">
        <v>75</v>
      </c>
      <c r="D585" s="15" t="s">
        <v>1455</v>
      </c>
      <c r="E585" s="15" t="s">
        <v>662</v>
      </c>
      <c r="F585" s="15" t="s">
        <v>657</v>
      </c>
      <c r="G585" s="15"/>
      <c r="H585" s="16" t="n">
        <v>52</v>
      </c>
      <c r="I585" s="15" t="n">
        <v>29</v>
      </c>
      <c r="J585" s="15" t="s">
        <v>5159</v>
      </c>
      <c r="K585" s="15" t="s">
        <v>5324</v>
      </c>
      <c r="L585" s="15" t="n">
        <v>3</v>
      </c>
      <c r="M585" s="15" t="s">
        <v>5161</v>
      </c>
      <c r="N585" s="18" t="str">
        <f aca="false">IFERROR(IF(ISNUMBER(SEARCH(D585,INDEX(Pages!$J$2:$J$824,MATCH(A585,Pages!$B$2:$B$824,0)))),"Yes","No"),"Page not found")</f>
        <v>No</v>
      </c>
      <c r="O585" s="3" t="s">
        <v>5426</v>
      </c>
      <c r="P585" s="3"/>
    </row>
    <row r="586" customFormat="false" ht="15" hidden="false" customHeight="false" outlineLevel="0" collapsed="false">
      <c r="A586" s="15" t="s">
        <v>1145</v>
      </c>
      <c r="B586" s="15" t="s">
        <v>656</v>
      </c>
      <c r="C586" s="15" t="s">
        <v>79</v>
      </c>
      <c r="D586" s="15" t="s">
        <v>1149</v>
      </c>
      <c r="E586" s="15" t="s">
        <v>662</v>
      </c>
      <c r="F586" s="15" t="s">
        <v>666</v>
      </c>
      <c r="G586" s="15"/>
      <c r="H586" s="16" t="n">
        <v>51</v>
      </c>
      <c r="I586" s="15" t="n">
        <v>33</v>
      </c>
      <c r="J586" s="15" t="s">
        <v>5159</v>
      </c>
      <c r="K586" s="15" t="s">
        <v>5384</v>
      </c>
      <c r="L586" s="15" t="n">
        <v>2</v>
      </c>
      <c r="M586" s="15" t="s">
        <v>5161</v>
      </c>
      <c r="N586" s="18" t="str">
        <f aca="false">IFERROR(IF(ISNUMBER(SEARCH(D586,INDEX(Pages!$J$2:$J$824,MATCH(A586,Pages!$B$2:$B$824,0)))),"Yes","No"),"Page not found")</f>
        <v>No</v>
      </c>
      <c r="O586" s="3" t="s">
        <v>5224</v>
      </c>
      <c r="P586" s="3"/>
    </row>
    <row r="587" customFormat="false" ht="23.85" hidden="false" customHeight="false" outlineLevel="0" collapsed="false">
      <c r="A587" s="15" t="s">
        <v>3629</v>
      </c>
      <c r="B587" s="15" t="s">
        <v>2076</v>
      </c>
      <c r="C587" s="15" t="s">
        <v>74</v>
      </c>
      <c r="D587" s="15" t="s">
        <v>3633</v>
      </c>
      <c r="E587" s="15" t="s">
        <v>104</v>
      </c>
      <c r="F587" s="15" t="s">
        <v>680</v>
      </c>
      <c r="G587" s="15" t="s">
        <v>2197</v>
      </c>
      <c r="H587" s="16" t="n">
        <v>51</v>
      </c>
      <c r="I587" s="15" t="n">
        <v>27</v>
      </c>
      <c r="J587" s="15" t="s">
        <v>5227</v>
      </c>
      <c r="K587" s="15" t="s">
        <v>5444</v>
      </c>
      <c r="L587" s="15" t="n">
        <v>3</v>
      </c>
      <c r="M587" s="15" t="s">
        <v>5161</v>
      </c>
      <c r="N587" s="18" t="str">
        <f aca="false">IFERROR(IF(ISNUMBER(SEARCH(D587,INDEX(Pages!$J$2:$J$824,MATCH(A587,Pages!$B$2:$B$824,0)))),"Yes","No"),"Page not found")</f>
        <v>Yes</v>
      </c>
      <c r="O587" s="3" t="s">
        <v>5426</v>
      </c>
      <c r="P587" s="3" t="s">
        <v>5483</v>
      </c>
    </row>
    <row r="588" customFormat="false" ht="23.85" hidden="false" customHeight="false" outlineLevel="0" collapsed="false">
      <c r="A588" s="15" t="s">
        <v>2231</v>
      </c>
      <c r="B588" s="15" t="s">
        <v>2076</v>
      </c>
      <c r="C588" s="15" t="s">
        <v>89</v>
      </c>
      <c r="D588" s="15" t="s">
        <v>2236</v>
      </c>
      <c r="E588" s="15" t="s">
        <v>104</v>
      </c>
      <c r="F588" s="15" t="s">
        <v>715</v>
      </c>
      <c r="G588" s="15" t="s">
        <v>2232</v>
      </c>
      <c r="H588" s="16" t="n">
        <v>50</v>
      </c>
      <c r="I588" s="15" t="n">
        <v>25</v>
      </c>
      <c r="J588" s="15" t="s">
        <v>5227</v>
      </c>
      <c r="K588" s="15" t="s">
        <v>5473</v>
      </c>
      <c r="L588" s="15" t="n">
        <v>4</v>
      </c>
      <c r="M588" s="15" t="s">
        <v>5161</v>
      </c>
      <c r="N588" s="18" t="str">
        <f aca="false">IFERROR(IF(ISNUMBER(SEARCH(D588,INDEX(Pages!$J$2:$J$824,MATCH(A588,Pages!$B$2:$B$824,0)))),"Yes","No"),"Page not found")</f>
        <v>Yes</v>
      </c>
      <c r="O588" s="3" t="s">
        <v>5426</v>
      </c>
      <c r="P588" s="3" t="s">
        <v>5483</v>
      </c>
    </row>
    <row r="589" customFormat="false" ht="23.85" hidden="false" customHeight="false" outlineLevel="0" collapsed="false">
      <c r="A589" s="15" t="s">
        <v>2963</v>
      </c>
      <c r="B589" s="15" t="s">
        <v>2076</v>
      </c>
      <c r="C589" s="15" t="s">
        <v>85</v>
      </c>
      <c r="D589" s="15" t="s">
        <v>2967</v>
      </c>
      <c r="E589" s="15" t="s">
        <v>104</v>
      </c>
      <c r="F589" s="15" t="s">
        <v>715</v>
      </c>
      <c r="G589" s="15" t="s">
        <v>2232</v>
      </c>
      <c r="H589" s="16" t="n">
        <v>50</v>
      </c>
      <c r="I589" s="15" t="n">
        <v>32</v>
      </c>
      <c r="J589" s="15" t="s">
        <v>5227</v>
      </c>
      <c r="K589" s="15" t="s">
        <v>5392</v>
      </c>
      <c r="L589" s="15" t="n">
        <v>5</v>
      </c>
      <c r="M589" s="15" t="s">
        <v>5161</v>
      </c>
      <c r="N589" s="18" t="str">
        <f aca="false">IFERROR(IF(ISNUMBER(SEARCH(D589,INDEX(Pages!$J$2:$J$824,MATCH(A589,Pages!$B$2:$B$824,0)))),"Yes","No"),"Page not found")</f>
        <v>Yes</v>
      </c>
      <c r="O589" s="3" t="s">
        <v>5426</v>
      </c>
      <c r="P589" s="3" t="s">
        <v>5483</v>
      </c>
    </row>
    <row r="590" customFormat="false" ht="15" hidden="false" customHeight="false" outlineLevel="0" collapsed="false">
      <c r="A590" s="15" t="s">
        <v>1751</v>
      </c>
      <c r="B590" s="15" t="s">
        <v>656</v>
      </c>
      <c r="C590" s="15" t="s">
        <v>81</v>
      </c>
      <c r="D590" s="15" t="s">
        <v>1755</v>
      </c>
      <c r="E590" s="15" t="s">
        <v>662</v>
      </c>
      <c r="F590" s="15" t="s">
        <v>736</v>
      </c>
      <c r="G590" s="15"/>
      <c r="H590" s="16" t="n">
        <v>50</v>
      </c>
      <c r="I590" s="15" t="n">
        <v>24</v>
      </c>
      <c r="J590" s="15" t="s">
        <v>5159</v>
      </c>
      <c r="K590" s="15" t="s">
        <v>5235</v>
      </c>
      <c r="L590" s="15" t="n">
        <v>4</v>
      </c>
      <c r="M590" s="15" t="s">
        <v>5161</v>
      </c>
      <c r="N590" s="18" t="str">
        <f aca="false">IFERROR(IF(ISNUMBER(SEARCH(D590,INDEX(Pages!$J$2:$J$824,MATCH(A590,Pages!$B$2:$B$824,0)))),"Yes","No"),"Page not found")</f>
        <v>No</v>
      </c>
      <c r="O590" s="3" t="s">
        <v>5426</v>
      </c>
      <c r="P590" s="3" t="s">
        <v>5482</v>
      </c>
    </row>
    <row r="591" customFormat="false" ht="15" hidden="false" customHeight="false" outlineLevel="0" collapsed="false">
      <c r="A591" s="15" t="s">
        <v>4211</v>
      </c>
      <c r="B591" s="15" t="s">
        <v>2076</v>
      </c>
      <c r="C591" s="15" t="s">
        <v>81</v>
      </c>
      <c r="D591" s="15" t="s">
        <v>4215</v>
      </c>
      <c r="E591" s="15" t="s">
        <v>104</v>
      </c>
      <c r="F591" s="15" t="s">
        <v>736</v>
      </c>
      <c r="G591" s="15" t="s">
        <v>2470</v>
      </c>
      <c r="H591" s="16" t="n">
        <v>49</v>
      </c>
      <c r="I591" s="15" t="n">
        <v>28</v>
      </c>
      <c r="J591" s="15" t="s">
        <v>5227</v>
      </c>
      <c r="K591" s="15" t="s">
        <v>5235</v>
      </c>
      <c r="L591" s="15" t="n">
        <v>4</v>
      </c>
      <c r="M591" s="15" t="s">
        <v>5161</v>
      </c>
      <c r="N591" s="18" t="str">
        <f aca="false">IFERROR(IF(ISNUMBER(SEARCH(D591,INDEX(Pages!$J$2:$J$824,MATCH(A591,Pages!$B$2:$B$824,0)))),"Yes","No"),"Page not found")</f>
        <v>Yes</v>
      </c>
      <c r="O591" s="3" t="s">
        <v>5426</v>
      </c>
      <c r="P591" s="3"/>
    </row>
    <row r="592" customFormat="false" ht="23.85" hidden="false" customHeight="false" outlineLevel="0" collapsed="false">
      <c r="A592" s="15" t="s">
        <v>2392</v>
      </c>
      <c r="B592" s="15" t="s">
        <v>2076</v>
      </c>
      <c r="C592" s="15" t="s">
        <v>89</v>
      </c>
      <c r="D592" s="15" t="s">
        <v>2397</v>
      </c>
      <c r="E592" s="15" t="s">
        <v>104</v>
      </c>
      <c r="F592" s="15" t="s">
        <v>715</v>
      </c>
      <c r="G592" s="15" t="s">
        <v>2393</v>
      </c>
      <c r="H592" s="16" t="n">
        <v>48</v>
      </c>
      <c r="I592" s="15" t="n">
        <v>33</v>
      </c>
      <c r="J592" s="15" t="s">
        <v>5227</v>
      </c>
      <c r="K592" s="15" t="s">
        <v>5473</v>
      </c>
      <c r="L592" s="15" t="n">
        <v>4</v>
      </c>
      <c r="M592" s="15" t="s">
        <v>5161</v>
      </c>
      <c r="N592" s="18" t="str">
        <f aca="false">IFERROR(IF(ISNUMBER(SEARCH(D592,INDEX(Pages!$J$2:$J$824,MATCH(A592,Pages!$B$2:$B$824,0)))),"Yes","No"),"Page not found")</f>
        <v>Yes</v>
      </c>
      <c r="O592" s="3" t="s">
        <v>5426</v>
      </c>
      <c r="P592" s="3" t="s">
        <v>5483</v>
      </c>
    </row>
    <row r="593" customFormat="false" ht="15" hidden="false" customHeight="false" outlineLevel="0" collapsed="false">
      <c r="A593" s="15" t="s">
        <v>2448</v>
      </c>
      <c r="B593" s="15" t="s">
        <v>2076</v>
      </c>
      <c r="C593" s="15" t="s">
        <v>89</v>
      </c>
      <c r="D593" s="15" t="s">
        <v>2453</v>
      </c>
      <c r="E593" s="15" t="s">
        <v>104</v>
      </c>
      <c r="F593" s="15" t="s">
        <v>729</v>
      </c>
      <c r="G593" s="15" t="s">
        <v>2449</v>
      </c>
      <c r="H593" s="16" t="n">
        <v>48</v>
      </c>
      <c r="I593" s="15" t="n">
        <v>33</v>
      </c>
      <c r="J593" s="15" t="s">
        <v>5227</v>
      </c>
      <c r="K593" s="15" t="s">
        <v>5473</v>
      </c>
      <c r="L593" s="15" t="n">
        <v>5</v>
      </c>
      <c r="M593" s="15" t="s">
        <v>5161</v>
      </c>
      <c r="N593" s="18" t="str">
        <f aca="false">IFERROR(IF(ISNUMBER(SEARCH(D593,INDEX(Pages!$J$2:$J$824,MATCH(A593,Pages!$B$2:$B$824,0)))),"Yes","No"),"Page not found")</f>
        <v>Yes</v>
      </c>
      <c r="O593" s="3" t="s">
        <v>5426</v>
      </c>
      <c r="P593" s="3" t="s">
        <v>5427</v>
      </c>
    </row>
    <row r="594" customFormat="false" ht="15" hidden="false" customHeight="false" outlineLevel="0" collapsed="false">
      <c r="A594" s="15" t="s">
        <v>845</v>
      </c>
      <c r="B594" s="15" t="s">
        <v>656</v>
      </c>
      <c r="C594" s="15" t="s">
        <v>85</v>
      </c>
      <c r="D594" s="15" t="s">
        <v>849</v>
      </c>
      <c r="E594" s="15" t="s">
        <v>662</v>
      </c>
      <c r="F594" s="15" t="s">
        <v>680</v>
      </c>
      <c r="G594" s="15"/>
      <c r="H594" s="16" t="n">
        <v>48</v>
      </c>
      <c r="I594" s="15" t="n">
        <v>33</v>
      </c>
      <c r="J594" s="15" t="s">
        <v>5159</v>
      </c>
      <c r="K594" s="15" t="s">
        <v>5321</v>
      </c>
      <c r="L594" s="15" t="n">
        <v>5</v>
      </c>
      <c r="M594" s="15" t="s">
        <v>5161</v>
      </c>
      <c r="N594" s="18" t="str">
        <f aca="false">IFERROR(IF(ISNUMBER(SEARCH(D594,INDEX(Pages!$J$2:$J$824,MATCH(A594,Pages!$B$2:$B$824,0)))),"Yes","No"),"Page not found")</f>
        <v>No</v>
      </c>
      <c r="O594" s="3" t="s">
        <v>5408</v>
      </c>
      <c r="P594" s="3"/>
    </row>
    <row r="595" customFormat="false" ht="15" hidden="false" customHeight="false" outlineLevel="0" collapsed="false">
      <c r="A595" s="15" t="s">
        <v>3101</v>
      </c>
      <c r="B595" s="15" t="s">
        <v>2076</v>
      </c>
      <c r="C595" s="15" t="s">
        <v>85</v>
      </c>
      <c r="D595" s="15" t="s">
        <v>3105</v>
      </c>
      <c r="E595" s="15" t="s">
        <v>104</v>
      </c>
      <c r="F595" s="15" t="s">
        <v>715</v>
      </c>
      <c r="G595" s="15" t="s">
        <v>2393</v>
      </c>
      <c r="H595" s="16" t="n">
        <v>48</v>
      </c>
      <c r="I595" s="15" t="n">
        <v>40</v>
      </c>
      <c r="J595" s="15" t="s">
        <v>5227</v>
      </c>
      <c r="K595" s="15" t="s">
        <v>5392</v>
      </c>
      <c r="L595" s="15" t="n">
        <v>5</v>
      </c>
      <c r="M595" s="15" t="s">
        <v>5161</v>
      </c>
      <c r="N595" s="18" t="str">
        <f aca="false">IFERROR(IF(ISNUMBER(SEARCH(D595,INDEX(Pages!$J$2:$J$824,MATCH(A595,Pages!$B$2:$B$824,0)))),"Yes","No"),"Page not found")</f>
        <v>Yes</v>
      </c>
      <c r="O595" s="3" t="s">
        <v>5426</v>
      </c>
      <c r="P595" s="3"/>
    </row>
    <row r="596" customFormat="false" ht="15" hidden="false" customHeight="false" outlineLevel="0" collapsed="false">
      <c r="A596" s="15" t="s">
        <v>3149</v>
      </c>
      <c r="B596" s="15" t="s">
        <v>2076</v>
      </c>
      <c r="C596" s="15" t="s">
        <v>85</v>
      </c>
      <c r="D596" s="15" t="s">
        <v>3153</v>
      </c>
      <c r="E596" s="15" t="s">
        <v>104</v>
      </c>
      <c r="F596" s="15" t="s">
        <v>729</v>
      </c>
      <c r="G596" s="15" t="s">
        <v>2449</v>
      </c>
      <c r="H596" s="16" t="n">
        <v>48</v>
      </c>
      <c r="I596" s="15" t="n">
        <v>40</v>
      </c>
      <c r="J596" s="15" t="s">
        <v>5227</v>
      </c>
      <c r="K596" s="15" t="s">
        <v>5392</v>
      </c>
      <c r="L596" s="15" t="n">
        <v>5</v>
      </c>
      <c r="M596" s="15" t="s">
        <v>5161</v>
      </c>
      <c r="N596" s="18" t="str">
        <f aca="false">IFERROR(IF(ISNUMBER(SEARCH(D596,INDEX(Pages!$J$2:$J$824,MATCH(A596,Pages!$B$2:$B$824,0)))),"Yes","No"),"Page not found")</f>
        <v>Yes</v>
      </c>
      <c r="O596" s="3" t="s">
        <v>5426</v>
      </c>
      <c r="P596" s="3" t="s">
        <v>5427</v>
      </c>
    </row>
    <row r="597" customFormat="false" ht="23.85" hidden="false" customHeight="false" outlineLevel="0" collapsed="false">
      <c r="A597" s="15" t="s">
        <v>3527</v>
      </c>
      <c r="B597" s="15" t="s">
        <v>2076</v>
      </c>
      <c r="C597" s="15" t="s">
        <v>74</v>
      </c>
      <c r="D597" s="15" t="s">
        <v>3531</v>
      </c>
      <c r="E597" s="15" t="s">
        <v>104</v>
      </c>
      <c r="F597" s="15" t="s">
        <v>657</v>
      </c>
      <c r="G597" s="15" t="s">
        <v>2077</v>
      </c>
      <c r="H597" s="16" t="n">
        <v>48</v>
      </c>
      <c r="I597" s="15" t="n">
        <v>19</v>
      </c>
      <c r="J597" s="15" t="s">
        <v>5227</v>
      </c>
      <c r="K597" s="15" t="s">
        <v>5444</v>
      </c>
      <c r="L597" s="15" t="n">
        <v>3</v>
      </c>
      <c r="M597" s="15" t="s">
        <v>5161</v>
      </c>
      <c r="N597" s="18" t="str">
        <f aca="false">IFERROR(IF(ISNUMBER(SEARCH(D597,INDEX(Pages!$J$2:$J$824,MATCH(A597,Pages!$B$2:$B$824,0)))),"Yes","No"),"Page not found")</f>
        <v>Yes</v>
      </c>
      <c r="O597" s="3" t="s">
        <v>5426</v>
      </c>
      <c r="P597" s="3" t="s">
        <v>5483</v>
      </c>
    </row>
    <row r="598" customFormat="false" ht="15" hidden="false" customHeight="false" outlineLevel="0" collapsed="false">
      <c r="A598" s="15" t="s">
        <v>1121</v>
      </c>
      <c r="B598" s="15" t="s">
        <v>656</v>
      </c>
      <c r="C598" s="15" t="s">
        <v>77</v>
      </c>
      <c r="D598" s="15" t="s">
        <v>1125</v>
      </c>
      <c r="E598" s="15" t="s">
        <v>662</v>
      </c>
      <c r="F598" s="15" t="s">
        <v>729</v>
      </c>
      <c r="G598" s="15"/>
      <c r="H598" s="16" t="n">
        <v>47</v>
      </c>
      <c r="I598" s="15" t="n">
        <v>32</v>
      </c>
      <c r="J598" s="15" t="s">
        <v>5159</v>
      </c>
      <c r="K598" s="15" t="s">
        <v>5254</v>
      </c>
      <c r="L598" s="15" t="n">
        <v>4</v>
      </c>
      <c r="M598" s="15" t="s">
        <v>5161</v>
      </c>
      <c r="N598" s="18" t="str">
        <f aca="false">IFERROR(IF(ISNUMBER(SEARCH(D598,INDEX(Pages!$J$2:$J$824,MATCH(A598,Pages!$B$2:$B$824,0)))),"Yes","No"),"Page not found")</f>
        <v>No</v>
      </c>
      <c r="O598" s="3" t="s">
        <v>5426</v>
      </c>
      <c r="P598" s="3" t="s">
        <v>5378</v>
      </c>
    </row>
    <row r="599" customFormat="false" ht="15" hidden="false" customHeight="false" outlineLevel="0" collapsed="false">
      <c r="A599" s="15" t="s">
        <v>1349</v>
      </c>
      <c r="B599" s="15" t="s">
        <v>656</v>
      </c>
      <c r="C599" s="15" t="s">
        <v>84</v>
      </c>
      <c r="D599" s="15" t="s">
        <v>1353</v>
      </c>
      <c r="E599" s="15" t="s">
        <v>662</v>
      </c>
      <c r="F599" s="15" t="s">
        <v>722</v>
      </c>
      <c r="G599" s="15"/>
      <c r="H599" s="16" t="n">
        <v>46</v>
      </c>
      <c r="I599" s="15" t="n">
        <v>39</v>
      </c>
      <c r="J599" s="15" t="s">
        <v>5159</v>
      </c>
      <c r="K599" s="15" t="s">
        <v>5321</v>
      </c>
      <c r="L599" s="15" t="n">
        <v>4</v>
      </c>
      <c r="M599" s="15" t="s">
        <v>5161</v>
      </c>
      <c r="N599" s="18" t="str">
        <f aca="false">IFERROR(IF(ISNUMBER(SEARCH(D599,INDEX(Pages!$J$2:$J$824,MATCH(A599,Pages!$B$2:$B$824,0)))),"Yes","No"),"Page not found")</f>
        <v>No</v>
      </c>
      <c r="O599" s="3" t="s">
        <v>5426</v>
      </c>
      <c r="P599" s="3"/>
    </row>
    <row r="600" customFormat="false" ht="23.85" hidden="false" customHeight="false" outlineLevel="0" collapsed="false">
      <c r="A600" s="15" t="s">
        <v>3635</v>
      </c>
      <c r="B600" s="15" t="s">
        <v>2076</v>
      </c>
      <c r="C600" s="15" t="s">
        <v>74</v>
      </c>
      <c r="D600" s="15" t="s">
        <v>3639</v>
      </c>
      <c r="E600" s="15" t="s">
        <v>104</v>
      </c>
      <c r="F600" s="15" t="s">
        <v>680</v>
      </c>
      <c r="G600" s="15" t="s">
        <v>2204</v>
      </c>
      <c r="H600" s="16" t="n">
        <v>46</v>
      </c>
      <c r="I600" s="15" t="n">
        <v>27</v>
      </c>
      <c r="J600" s="15" t="s">
        <v>5227</v>
      </c>
      <c r="K600" s="15" t="s">
        <v>5444</v>
      </c>
      <c r="L600" s="15" t="n">
        <v>3</v>
      </c>
      <c r="M600" s="15" t="s">
        <v>5161</v>
      </c>
      <c r="N600" s="18" t="str">
        <f aca="false">IFERROR(IF(ISNUMBER(SEARCH(D600,INDEX(Pages!$J$2:$J$824,MATCH(A600,Pages!$B$2:$B$824,0)))),"Yes","No"),"Page not found")</f>
        <v>Yes</v>
      </c>
      <c r="O600" s="3" t="s">
        <v>5426</v>
      </c>
      <c r="P600" s="3" t="s">
        <v>5483</v>
      </c>
    </row>
    <row r="601" customFormat="false" ht="15" hidden="false" customHeight="false" outlineLevel="0" collapsed="false">
      <c r="A601" s="15" t="s">
        <v>4187</v>
      </c>
      <c r="B601" s="15" t="s">
        <v>2076</v>
      </c>
      <c r="C601" s="15" t="s">
        <v>81</v>
      </c>
      <c r="D601" s="15" t="s">
        <v>4191</v>
      </c>
      <c r="E601" s="15" t="s">
        <v>104</v>
      </c>
      <c r="F601" s="15" t="s">
        <v>729</v>
      </c>
      <c r="G601" s="15" t="s">
        <v>2442</v>
      </c>
      <c r="H601" s="16" t="n">
        <v>46</v>
      </c>
      <c r="I601" s="15" t="n">
        <v>28</v>
      </c>
      <c r="J601" s="15" t="s">
        <v>5227</v>
      </c>
      <c r="K601" s="15" t="s">
        <v>5235</v>
      </c>
      <c r="L601" s="15" t="n">
        <v>5</v>
      </c>
      <c r="M601" s="15" t="s">
        <v>5161</v>
      </c>
      <c r="N601" s="18" t="str">
        <f aca="false">IFERROR(IF(ISNUMBER(SEARCH(D601,INDEX(Pages!$J$2:$J$824,MATCH(A601,Pages!$B$2:$B$824,0)))),"Yes","No"),"Page not found")</f>
        <v>Yes</v>
      </c>
      <c r="O601" s="3" t="s">
        <v>5426</v>
      </c>
      <c r="P601" s="3" t="s">
        <v>5427</v>
      </c>
    </row>
    <row r="602" customFormat="false" ht="15" hidden="false" customHeight="false" outlineLevel="0" collapsed="false">
      <c r="A602" s="15" t="s">
        <v>2210</v>
      </c>
      <c r="B602" s="15" t="s">
        <v>2076</v>
      </c>
      <c r="C602" s="15" t="s">
        <v>89</v>
      </c>
      <c r="D602" s="15" t="s">
        <v>2215</v>
      </c>
      <c r="E602" s="15" t="s">
        <v>104</v>
      </c>
      <c r="F602" s="15" t="s">
        <v>687</v>
      </c>
      <c r="G602" s="15" t="s">
        <v>2211</v>
      </c>
      <c r="H602" s="16" t="n">
        <v>45</v>
      </c>
      <c r="I602" s="15" t="n">
        <v>33</v>
      </c>
      <c r="J602" s="15" t="s">
        <v>5227</v>
      </c>
      <c r="K602" s="15" t="s">
        <v>5473</v>
      </c>
      <c r="L602" s="15" t="n">
        <v>3</v>
      </c>
      <c r="M602" s="15" t="s">
        <v>5161</v>
      </c>
      <c r="N602" s="18" t="str">
        <f aca="false">IFERROR(IF(ISNUMBER(SEARCH(D602,INDEX(Pages!$J$2:$J$824,MATCH(A602,Pages!$B$2:$B$824,0)))),"Yes","No"),"Page not found")</f>
        <v>No</v>
      </c>
      <c r="O602" s="3" t="s">
        <v>5426</v>
      </c>
      <c r="P602" s="3"/>
    </row>
    <row r="603" customFormat="false" ht="15" hidden="false" customHeight="false" outlineLevel="0" collapsed="false">
      <c r="A603" s="15" t="s">
        <v>2945</v>
      </c>
      <c r="B603" s="15" t="s">
        <v>2076</v>
      </c>
      <c r="C603" s="15" t="s">
        <v>85</v>
      </c>
      <c r="D603" s="15" t="s">
        <v>2949</v>
      </c>
      <c r="E603" s="15" t="s">
        <v>104</v>
      </c>
      <c r="F603" s="15" t="s">
        <v>687</v>
      </c>
      <c r="G603" s="15" t="s">
        <v>2211</v>
      </c>
      <c r="H603" s="16" t="n">
        <v>45</v>
      </c>
      <c r="I603" s="15" t="n">
        <v>40</v>
      </c>
      <c r="J603" s="15" t="s">
        <v>5227</v>
      </c>
      <c r="K603" s="15" t="s">
        <v>5392</v>
      </c>
      <c r="L603" s="15" t="n">
        <v>5</v>
      </c>
      <c r="M603" s="15" t="s">
        <v>5161</v>
      </c>
      <c r="N603" s="18" t="str">
        <f aca="false">IFERROR(IF(ISNUMBER(SEARCH(D603,INDEX(Pages!$J$2:$J$824,MATCH(A603,Pages!$B$2:$B$824,0)))),"Yes","No"),"Page not found")</f>
        <v>No</v>
      </c>
      <c r="O603" s="3" t="s">
        <v>5426</v>
      </c>
      <c r="P603" s="3"/>
    </row>
    <row r="604" customFormat="false" ht="15" hidden="false" customHeight="false" outlineLevel="0" collapsed="false">
      <c r="A604" s="15" t="s">
        <v>4043</v>
      </c>
      <c r="B604" s="15" t="s">
        <v>2076</v>
      </c>
      <c r="C604" s="15" t="s">
        <v>81</v>
      </c>
      <c r="D604" s="15" t="s">
        <v>4047</v>
      </c>
      <c r="E604" s="15" t="s">
        <v>104</v>
      </c>
      <c r="F604" s="15" t="s">
        <v>715</v>
      </c>
      <c r="G604" s="15" t="s">
        <v>2274</v>
      </c>
      <c r="H604" s="16" t="n">
        <v>45</v>
      </c>
      <c r="I604" s="15" t="n">
        <v>36</v>
      </c>
      <c r="J604" s="15" t="s">
        <v>5227</v>
      </c>
      <c r="K604" s="15" t="s">
        <v>5235</v>
      </c>
      <c r="L604" s="15" t="n">
        <v>4</v>
      </c>
      <c r="M604" s="15" t="s">
        <v>5161</v>
      </c>
      <c r="N604" s="18" t="str">
        <f aca="false">IFERROR(IF(ISNUMBER(SEARCH(D604,INDEX(Pages!$J$2:$J$824,MATCH(A604,Pages!$B$2:$B$824,0)))),"Yes","No"),"Page not found")</f>
        <v>Yes</v>
      </c>
      <c r="O604" s="3" t="s">
        <v>5426</v>
      </c>
      <c r="P604" s="3"/>
    </row>
    <row r="605" customFormat="false" ht="23.85" hidden="false" customHeight="false" outlineLevel="0" collapsed="false">
      <c r="A605" s="15" t="s">
        <v>2371</v>
      </c>
      <c r="B605" s="15" t="s">
        <v>2076</v>
      </c>
      <c r="C605" s="15" t="s">
        <v>89</v>
      </c>
      <c r="D605" s="15" t="s">
        <v>2376</v>
      </c>
      <c r="E605" s="15" t="s">
        <v>104</v>
      </c>
      <c r="F605" s="15" t="s">
        <v>715</v>
      </c>
      <c r="G605" s="15" t="s">
        <v>2372</v>
      </c>
      <c r="H605" s="16" t="n">
        <v>44</v>
      </c>
      <c r="I605" s="15" t="n">
        <v>25</v>
      </c>
      <c r="J605" s="15" t="s">
        <v>5227</v>
      </c>
      <c r="K605" s="15" t="s">
        <v>5473</v>
      </c>
      <c r="L605" s="15" t="n">
        <v>4</v>
      </c>
      <c r="M605" s="15" t="s">
        <v>5161</v>
      </c>
      <c r="N605" s="18" t="str">
        <f aca="false">IFERROR(IF(ISNUMBER(SEARCH(D605,INDEX(Pages!$J$2:$J$824,MATCH(A605,Pages!$B$2:$B$824,0)))),"Yes","No"),"Page not found")</f>
        <v>Yes</v>
      </c>
      <c r="O605" s="3" t="s">
        <v>5426</v>
      </c>
      <c r="P605" s="3" t="s">
        <v>5483</v>
      </c>
    </row>
    <row r="606" customFormat="false" ht="23.85" hidden="false" customHeight="false" outlineLevel="0" collapsed="false">
      <c r="A606" s="15" t="s">
        <v>3083</v>
      </c>
      <c r="B606" s="15" t="s">
        <v>2076</v>
      </c>
      <c r="C606" s="15" t="s">
        <v>85</v>
      </c>
      <c r="D606" s="15" t="s">
        <v>3087</v>
      </c>
      <c r="E606" s="15" t="s">
        <v>104</v>
      </c>
      <c r="F606" s="15" t="s">
        <v>715</v>
      </c>
      <c r="G606" s="15" t="s">
        <v>2372</v>
      </c>
      <c r="H606" s="16" t="n">
        <v>44</v>
      </c>
      <c r="I606" s="15" t="n">
        <v>32</v>
      </c>
      <c r="J606" s="15" t="s">
        <v>5227</v>
      </c>
      <c r="K606" s="15" t="s">
        <v>5392</v>
      </c>
      <c r="L606" s="15" t="n">
        <v>5</v>
      </c>
      <c r="M606" s="15" t="s">
        <v>5161</v>
      </c>
      <c r="N606" s="18" t="str">
        <f aca="false">IFERROR(IF(ISNUMBER(SEARCH(D606,INDEX(Pages!$J$2:$J$824,MATCH(A606,Pages!$B$2:$B$824,0)))),"Yes","No"),"Page not found")</f>
        <v>Yes</v>
      </c>
      <c r="O606" s="3" t="s">
        <v>5426</v>
      </c>
      <c r="P606" s="3" t="s">
        <v>5483</v>
      </c>
    </row>
    <row r="607" customFormat="false" ht="15" hidden="false" customHeight="false" outlineLevel="0" collapsed="false">
      <c r="A607" s="15" t="s">
        <v>1139</v>
      </c>
      <c r="B607" s="15" t="s">
        <v>656</v>
      </c>
      <c r="C607" s="15" t="s">
        <v>79</v>
      </c>
      <c r="D607" s="15" t="s">
        <v>1143</v>
      </c>
      <c r="E607" s="15" t="s">
        <v>662</v>
      </c>
      <c r="F607" s="15" t="s">
        <v>657</v>
      </c>
      <c r="G607" s="15"/>
      <c r="H607" s="16" t="n">
        <v>44</v>
      </c>
      <c r="I607" s="15" t="n">
        <v>33</v>
      </c>
      <c r="J607" s="15" t="s">
        <v>5159</v>
      </c>
      <c r="K607" s="15" t="s">
        <v>5384</v>
      </c>
      <c r="L607" s="15" t="n">
        <v>2</v>
      </c>
      <c r="M607" s="15" t="s">
        <v>5161</v>
      </c>
      <c r="N607" s="18" t="str">
        <f aca="false">IFERROR(IF(ISNUMBER(SEARCH(D607,INDEX(Pages!$J$2:$J$824,MATCH(A607,Pages!$B$2:$B$824,0)))),"Yes","No"),"Page not found")</f>
        <v>No</v>
      </c>
      <c r="O607" s="3" t="s">
        <v>5224</v>
      </c>
      <c r="P607" s="3"/>
    </row>
    <row r="608" customFormat="false" ht="15" hidden="false" customHeight="false" outlineLevel="0" collapsed="false">
      <c r="A608" s="15" t="s">
        <v>4663</v>
      </c>
      <c r="B608" s="15" t="s">
        <v>4572</v>
      </c>
      <c r="C608" s="15" t="s">
        <v>94</v>
      </c>
      <c r="D608" s="15" t="s">
        <v>4667</v>
      </c>
      <c r="E608" s="15" t="s">
        <v>104</v>
      </c>
      <c r="F608" s="15" t="s">
        <v>666</v>
      </c>
      <c r="G608" s="15" t="s">
        <v>2169</v>
      </c>
      <c r="H608" s="16" t="n">
        <v>44</v>
      </c>
      <c r="I608" s="15" t="n">
        <v>30</v>
      </c>
      <c r="J608" s="15" t="s">
        <v>5227</v>
      </c>
      <c r="K608" s="15" t="s">
        <v>5243</v>
      </c>
      <c r="L608" s="15" t="n">
        <v>4</v>
      </c>
      <c r="M608" s="15" t="s">
        <v>5161</v>
      </c>
      <c r="N608" s="18" t="str">
        <f aca="false">IFERROR(IF(ISNUMBER(SEARCH(D608,INDEX(Pages!$J$2:$J$824,MATCH(A608,Pages!$B$2:$B$824,0)))),"Yes","No"),"Page not found")</f>
        <v>No</v>
      </c>
      <c r="O608" s="3" t="s">
        <v>5471</v>
      </c>
      <c r="P608" s="3" t="s">
        <v>5472</v>
      </c>
    </row>
    <row r="609" customFormat="false" ht="15" hidden="false" customHeight="false" outlineLevel="0" collapsed="false">
      <c r="A609" s="15" t="s">
        <v>1721</v>
      </c>
      <c r="B609" s="15" t="s">
        <v>656</v>
      </c>
      <c r="C609" s="15" t="s">
        <v>81</v>
      </c>
      <c r="D609" s="15" t="s">
        <v>1725</v>
      </c>
      <c r="E609" s="15" t="s">
        <v>662</v>
      </c>
      <c r="F609" s="15" t="s">
        <v>701</v>
      </c>
      <c r="G609" s="15"/>
      <c r="H609" s="16" t="n">
        <v>44</v>
      </c>
      <c r="I609" s="15" t="n">
        <v>24</v>
      </c>
      <c r="J609" s="15" t="s">
        <v>5159</v>
      </c>
      <c r="K609" s="15" t="s">
        <v>5235</v>
      </c>
      <c r="L609" s="15" t="n">
        <v>4</v>
      </c>
      <c r="M609" s="15" t="s">
        <v>5161</v>
      </c>
      <c r="N609" s="18" t="str">
        <f aca="false">IFERROR(IF(ISNUMBER(SEARCH(D609,INDEX(Pages!$J$2:$J$824,MATCH(A609,Pages!$B$2:$B$824,0)))),"Yes","No"),"Page not found")</f>
        <v>No</v>
      </c>
      <c r="O609" s="3" t="s">
        <v>5426</v>
      </c>
      <c r="P609" s="3" t="s">
        <v>5482</v>
      </c>
    </row>
    <row r="610" customFormat="false" ht="15" hidden="false" customHeight="false" outlineLevel="0" collapsed="false">
      <c r="A610" s="15" t="s">
        <v>4001</v>
      </c>
      <c r="B610" s="15" t="s">
        <v>2076</v>
      </c>
      <c r="C610" s="15" t="s">
        <v>81</v>
      </c>
      <c r="D610" s="15" t="s">
        <v>4005</v>
      </c>
      <c r="E610" s="15" t="s">
        <v>104</v>
      </c>
      <c r="F610" s="15" t="s">
        <v>701</v>
      </c>
      <c r="G610" s="15" t="s">
        <v>2225</v>
      </c>
      <c r="H610" s="16" t="n">
        <v>44</v>
      </c>
      <c r="I610" s="15" t="n">
        <v>28</v>
      </c>
      <c r="J610" s="15" t="s">
        <v>5227</v>
      </c>
      <c r="K610" s="15" t="s">
        <v>5235</v>
      </c>
      <c r="L610" s="15" t="n">
        <v>4</v>
      </c>
      <c r="M610" s="15" t="s">
        <v>5161</v>
      </c>
      <c r="N610" s="18" t="str">
        <f aca="false">IFERROR(IF(ISNUMBER(SEARCH(D610,INDEX(Pages!$J$2:$J$824,MATCH(A610,Pages!$B$2:$B$824,0)))),"Yes","No"),"Page not found")</f>
        <v>Yes</v>
      </c>
      <c r="O610" s="3" t="s">
        <v>5426</v>
      </c>
      <c r="P610" s="3"/>
    </row>
    <row r="611" customFormat="false" ht="15" hidden="false" customHeight="false" outlineLevel="0" collapsed="false">
      <c r="A611" s="15" t="s">
        <v>965</v>
      </c>
      <c r="B611" s="15" t="s">
        <v>656</v>
      </c>
      <c r="C611" s="15" t="s">
        <v>90</v>
      </c>
      <c r="D611" s="15" t="s">
        <v>969</v>
      </c>
      <c r="E611" s="15" t="s">
        <v>662</v>
      </c>
      <c r="F611" s="15" t="s">
        <v>729</v>
      </c>
      <c r="G611" s="15"/>
      <c r="H611" s="16" t="n">
        <v>43</v>
      </c>
      <c r="I611" s="15" t="n">
        <v>29</v>
      </c>
      <c r="J611" s="15" t="s">
        <v>5159</v>
      </c>
      <c r="K611" s="15" t="s">
        <v>5425</v>
      </c>
      <c r="L611" s="15" t="n">
        <v>5</v>
      </c>
      <c r="M611" s="15" t="s">
        <v>5161</v>
      </c>
      <c r="N611" s="18" t="str">
        <f aca="false">IFERROR(IF(ISNUMBER(SEARCH(D611,INDEX(Pages!$J$2:$J$824,MATCH(A611,Pages!$B$2:$B$824,0)))),"Yes","No"),"Page not found")</f>
        <v>No</v>
      </c>
      <c r="O611" s="3" t="s">
        <v>5426</v>
      </c>
      <c r="P611" s="3" t="s">
        <v>5378</v>
      </c>
    </row>
    <row r="612" customFormat="false" ht="23.85" hidden="false" customHeight="false" outlineLevel="0" collapsed="false">
      <c r="A612" s="15" t="s">
        <v>3821</v>
      </c>
      <c r="B612" s="15" t="s">
        <v>2076</v>
      </c>
      <c r="C612" s="15" t="s">
        <v>74</v>
      </c>
      <c r="D612" s="15" t="s">
        <v>3825</v>
      </c>
      <c r="E612" s="15" t="s">
        <v>104</v>
      </c>
      <c r="F612" s="15" t="s">
        <v>729</v>
      </c>
      <c r="G612" s="15" t="s">
        <v>2421</v>
      </c>
      <c r="H612" s="16" t="n">
        <v>43</v>
      </c>
      <c r="I612" s="15" t="n">
        <v>27</v>
      </c>
      <c r="J612" s="15" t="s">
        <v>5227</v>
      </c>
      <c r="K612" s="15" t="s">
        <v>5444</v>
      </c>
      <c r="L612" s="15" t="n">
        <v>5</v>
      </c>
      <c r="M612" s="15" t="s">
        <v>5161</v>
      </c>
      <c r="N612" s="18" t="str">
        <f aca="false">IFERROR(IF(ISNUMBER(SEARCH(D612,INDEX(Pages!$J$2:$J$824,MATCH(A612,Pages!$B$2:$B$824,0)))),"Yes","No"),"Page not found")</f>
        <v>Yes</v>
      </c>
      <c r="O612" s="3" t="s">
        <v>5426</v>
      </c>
      <c r="P612" s="3" t="s">
        <v>5497</v>
      </c>
    </row>
    <row r="613" customFormat="false" ht="15" hidden="false" customHeight="false" outlineLevel="0" collapsed="false">
      <c r="A613" s="15" t="s">
        <v>4205</v>
      </c>
      <c r="B613" s="15" t="s">
        <v>2076</v>
      </c>
      <c r="C613" s="15" t="s">
        <v>81</v>
      </c>
      <c r="D613" s="15" t="s">
        <v>4209</v>
      </c>
      <c r="E613" s="15" t="s">
        <v>104</v>
      </c>
      <c r="F613" s="15" t="s">
        <v>736</v>
      </c>
      <c r="G613" s="15" t="s">
        <v>2463</v>
      </c>
      <c r="H613" s="16" t="n">
        <v>43</v>
      </c>
      <c r="I613" s="15" t="n">
        <v>28</v>
      </c>
      <c r="J613" s="15" t="s">
        <v>5227</v>
      </c>
      <c r="K613" s="15" t="s">
        <v>5235</v>
      </c>
      <c r="L613" s="15" t="n">
        <v>4</v>
      </c>
      <c r="M613" s="15" t="s">
        <v>5161</v>
      </c>
      <c r="N613" s="18" t="str">
        <f aca="false">IFERROR(IF(ISNUMBER(SEARCH(D613,INDEX(Pages!$J$2:$J$824,MATCH(A613,Pages!$B$2:$B$824,0)))),"Yes","No"),"Page not found")</f>
        <v>Yes</v>
      </c>
      <c r="O613" s="3" t="s">
        <v>5426</v>
      </c>
      <c r="P613" s="3"/>
    </row>
    <row r="614" customFormat="false" ht="15" hidden="false" customHeight="false" outlineLevel="0" collapsed="false">
      <c r="A614" s="15" t="s">
        <v>1901</v>
      </c>
      <c r="B614" s="15" t="s">
        <v>656</v>
      </c>
      <c r="C614" s="15" t="s">
        <v>74</v>
      </c>
      <c r="D614" s="15" t="s">
        <v>1905</v>
      </c>
      <c r="E614" s="15" t="s">
        <v>662</v>
      </c>
      <c r="F614" s="15" t="s">
        <v>729</v>
      </c>
      <c r="G614" s="15"/>
      <c r="H614" s="16" t="n">
        <v>43</v>
      </c>
      <c r="I614" s="15" t="n">
        <v>34</v>
      </c>
      <c r="J614" s="15" t="s">
        <v>5159</v>
      </c>
      <c r="K614" s="15" t="s">
        <v>5440</v>
      </c>
      <c r="L614" s="15" t="n">
        <v>4</v>
      </c>
      <c r="M614" s="15" t="s">
        <v>5161</v>
      </c>
      <c r="N614" s="18" t="str">
        <f aca="false">IFERROR(IF(ISNUMBER(SEARCH(D614,INDEX(Pages!$J$2:$J$824,MATCH(A614,Pages!$B$2:$B$824,0)))),"Yes","No"),"Page not found")</f>
        <v>No</v>
      </c>
      <c r="O614" s="3" t="s">
        <v>5426</v>
      </c>
      <c r="P614" s="3" t="s">
        <v>5378</v>
      </c>
    </row>
    <row r="615" customFormat="false" ht="23.85" hidden="false" customHeight="false" outlineLevel="0" collapsed="false">
      <c r="A615" s="15" t="s">
        <v>3623</v>
      </c>
      <c r="B615" s="15" t="s">
        <v>2076</v>
      </c>
      <c r="C615" s="15" t="s">
        <v>74</v>
      </c>
      <c r="D615" s="15" t="s">
        <v>3627</v>
      </c>
      <c r="E615" s="15" t="s">
        <v>104</v>
      </c>
      <c r="F615" s="15" t="s">
        <v>680</v>
      </c>
      <c r="G615" s="15" t="s">
        <v>2190</v>
      </c>
      <c r="H615" s="16" t="n">
        <v>42</v>
      </c>
      <c r="I615" s="15" t="n">
        <v>27</v>
      </c>
      <c r="J615" s="15" t="s">
        <v>5227</v>
      </c>
      <c r="K615" s="15" t="s">
        <v>5444</v>
      </c>
      <c r="L615" s="15" t="n">
        <v>4</v>
      </c>
      <c r="M615" s="15" t="s">
        <v>5161</v>
      </c>
      <c r="N615" s="18" t="str">
        <f aca="false">IFERROR(IF(ISNUMBER(SEARCH(D615,INDEX(Pages!$J$2:$J$824,MATCH(A615,Pages!$B$2:$B$824,0)))),"Yes","No"),"Page not found")</f>
        <v>Yes</v>
      </c>
      <c r="O615" s="3" t="s">
        <v>5426</v>
      </c>
      <c r="P615" s="3" t="s">
        <v>5483</v>
      </c>
    </row>
    <row r="616" customFormat="false" ht="15" hidden="false" customHeight="false" outlineLevel="0" collapsed="false">
      <c r="A616" s="15" t="s">
        <v>4511</v>
      </c>
      <c r="B616" s="15" t="s">
        <v>2076</v>
      </c>
      <c r="C616" s="15" t="s">
        <v>86</v>
      </c>
      <c r="D616" s="15" t="s">
        <v>4515</v>
      </c>
      <c r="E616" s="15" t="s">
        <v>104</v>
      </c>
      <c r="F616" s="15" t="s">
        <v>722</v>
      </c>
      <c r="G616" s="15" t="s">
        <v>2414</v>
      </c>
      <c r="H616" s="16" t="n">
        <v>42</v>
      </c>
      <c r="I616" s="15" t="n">
        <v>32</v>
      </c>
      <c r="J616" s="15" t="s">
        <v>5227</v>
      </c>
      <c r="K616" s="15" t="s">
        <v>5392</v>
      </c>
      <c r="L616" s="15" t="n">
        <v>5</v>
      </c>
      <c r="M616" s="15" t="s">
        <v>5161</v>
      </c>
      <c r="N616" s="18" t="str">
        <f aca="false">IFERROR(IF(ISNUMBER(SEARCH(D616,INDEX(Pages!$J$2:$J$824,MATCH(A616,Pages!$B$2:$B$824,0)))),"Yes","No"),"Page not found")</f>
        <v>Yes</v>
      </c>
      <c r="O616" s="3" t="s">
        <v>5426</v>
      </c>
      <c r="P616" s="3"/>
    </row>
    <row r="617" customFormat="false" ht="23.85" hidden="false" customHeight="false" outlineLevel="0" collapsed="false">
      <c r="A617" s="15" t="s">
        <v>4547</v>
      </c>
      <c r="B617" s="15" t="s">
        <v>2076</v>
      </c>
      <c r="C617" s="15" t="s">
        <v>86</v>
      </c>
      <c r="D617" s="15" t="s">
        <v>4551</v>
      </c>
      <c r="E617" s="15" t="s">
        <v>104</v>
      </c>
      <c r="F617" s="15" t="s">
        <v>729</v>
      </c>
      <c r="G617" s="15" t="s">
        <v>2456</v>
      </c>
      <c r="H617" s="16" t="n">
        <v>42</v>
      </c>
      <c r="I617" s="15" t="n">
        <v>24</v>
      </c>
      <c r="J617" s="15" t="s">
        <v>5227</v>
      </c>
      <c r="K617" s="15" t="s">
        <v>5392</v>
      </c>
      <c r="L617" s="15" t="n">
        <v>5</v>
      </c>
      <c r="M617" s="15" t="s">
        <v>5161</v>
      </c>
      <c r="N617" s="18" t="str">
        <f aca="false">IFERROR(IF(ISNUMBER(SEARCH(D617,INDEX(Pages!$J$2:$J$824,MATCH(A617,Pages!$B$2:$B$824,0)))),"Yes","No"),"Page not found")</f>
        <v>Yes</v>
      </c>
      <c r="O617" s="3" t="s">
        <v>5426</v>
      </c>
      <c r="P617" s="3" t="s">
        <v>5497</v>
      </c>
    </row>
    <row r="618" customFormat="false" ht="23.85" hidden="false" customHeight="false" outlineLevel="0" collapsed="false">
      <c r="A618" s="15" t="s">
        <v>2098</v>
      </c>
      <c r="B618" s="15" t="s">
        <v>2076</v>
      </c>
      <c r="C618" s="15" t="s">
        <v>89</v>
      </c>
      <c r="D618" s="15" t="s">
        <v>2103</v>
      </c>
      <c r="E618" s="15" t="s">
        <v>104</v>
      </c>
      <c r="F618" s="15" t="s">
        <v>657</v>
      </c>
      <c r="G618" s="15" t="s">
        <v>2099</v>
      </c>
      <c r="H618" s="16" t="n">
        <v>41</v>
      </c>
      <c r="I618" s="15" t="n">
        <v>25</v>
      </c>
      <c r="J618" s="15" t="s">
        <v>5227</v>
      </c>
      <c r="K618" s="15" t="s">
        <v>5473</v>
      </c>
      <c r="L618" s="15" t="n">
        <v>4</v>
      </c>
      <c r="M618" s="15" t="s">
        <v>5161</v>
      </c>
      <c r="N618" s="18" t="str">
        <f aca="false">IFERROR(IF(ISNUMBER(SEARCH(D618,INDEX(Pages!$J$2:$J$824,MATCH(A618,Pages!$B$2:$B$824,0)))),"Yes","No"),"Page not found")</f>
        <v>Yes</v>
      </c>
      <c r="O618" s="3" t="s">
        <v>5426</v>
      </c>
      <c r="P618" s="3" t="s">
        <v>5483</v>
      </c>
    </row>
    <row r="619" customFormat="false" ht="23.85" hidden="false" customHeight="false" outlineLevel="0" collapsed="false">
      <c r="A619" s="15" t="s">
        <v>2105</v>
      </c>
      <c r="B619" s="15" t="s">
        <v>2076</v>
      </c>
      <c r="C619" s="15" t="s">
        <v>89</v>
      </c>
      <c r="D619" s="15" t="s">
        <v>2110</v>
      </c>
      <c r="E619" s="15" t="s">
        <v>104</v>
      </c>
      <c r="F619" s="15" t="s">
        <v>657</v>
      </c>
      <c r="G619" s="15" t="s">
        <v>2106</v>
      </c>
      <c r="H619" s="16" t="n">
        <v>41</v>
      </c>
      <c r="I619" s="15" t="n">
        <v>25</v>
      </c>
      <c r="J619" s="15" t="s">
        <v>5227</v>
      </c>
      <c r="K619" s="15" t="s">
        <v>5473</v>
      </c>
      <c r="L619" s="15" t="n">
        <v>4</v>
      </c>
      <c r="M619" s="15" t="s">
        <v>5161</v>
      </c>
      <c r="N619" s="18" t="str">
        <f aca="false">IFERROR(IF(ISNUMBER(SEARCH(D619,INDEX(Pages!$J$2:$J$824,MATCH(A619,Pages!$B$2:$B$824,0)))),"Yes","No"),"Page not found")</f>
        <v>Yes</v>
      </c>
      <c r="O619" s="3" t="s">
        <v>5426</v>
      </c>
      <c r="P619" s="3" t="s">
        <v>5483</v>
      </c>
    </row>
    <row r="620" customFormat="false" ht="23.85" hidden="false" customHeight="false" outlineLevel="0" collapsed="false">
      <c r="A620" s="15" t="s">
        <v>2343</v>
      </c>
      <c r="B620" s="15" t="s">
        <v>2076</v>
      </c>
      <c r="C620" s="15" t="s">
        <v>89</v>
      </c>
      <c r="D620" s="15" t="s">
        <v>2348</v>
      </c>
      <c r="E620" s="15" t="s">
        <v>104</v>
      </c>
      <c r="F620" s="15" t="s">
        <v>715</v>
      </c>
      <c r="G620" s="15" t="s">
        <v>2344</v>
      </c>
      <c r="H620" s="16" t="n">
        <v>41</v>
      </c>
      <c r="I620" s="15" t="n">
        <v>25</v>
      </c>
      <c r="J620" s="15" t="s">
        <v>5227</v>
      </c>
      <c r="K620" s="15" t="s">
        <v>5473</v>
      </c>
      <c r="L620" s="15" t="n">
        <v>4</v>
      </c>
      <c r="M620" s="15" t="s">
        <v>5161</v>
      </c>
      <c r="N620" s="18" t="str">
        <f aca="false">IFERROR(IF(ISNUMBER(SEARCH(D620,INDEX(Pages!$J$2:$J$824,MATCH(A620,Pages!$B$2:$B$824,0)))),"Yes","No"),"Page not found")</f>
        <v>Yes</v>
      </c>
      <c r="O620" s="3" t="s">
        <v>5426</v>
      </c>
      <c r="P620" s="3" t="s">
        <v>5483</v>
      </c>
    </row>
    <row r="621" customFormat="false" ht="15" hidden="false" customHeight="false" outlineLevel="0" collapsed="false">
      <c r="A621" s="15" t="s">
        <v>2849</v>
      </c>
      <c r="B621" s="15" t="s">
        <v>2076</v>
      </c>
      <c r="C621" s="15" t="s">
        <v>85</v>
      </c>
      <c r="D621" s="15" t="s">
        <v>2853</v>
      </c>
      <c r="E621" s="15" t="s">
        <v>104</v>
      </c>
      <c r="F621" s="15" t="s">
        <v>657</v>
      </c>
      <c r="G621" s="15" t="s">
        <v>2099</v>
      </c>
      <c r="H621" s="16" t="n">
        <v>41</v>
      </c>
      <c r="I621" s="15" t="n">
        <v>32</v>
      </c>
      <c r="J621" s="15" t="s">
        <v>5227</v>
      </c>
      <c r="K621" s="15" t="s">
        <v>5392</v>
      </c>
      <c r="L621" s="15" t="n">
        <v>5</v>
      </c>
      <c r="M621" s="15" t="s">
        <v>5161</v>
      </c>
      <c r="N621" s="18" t="str">
        <f aca="false">IFERROR(IF(ISNUMBER(SEARCH(D621,INDEX(Pages!$J$2:$J$824,MATCH(A621,Pages!$B$2:$B$824,0)))),"Yes","No"),"Page not found")</f>
        <v>Yes</v>
      </c>
      <c r="O621" s="3" t="s">
        <v>5426</v>
      </c>
      <c r="P621" s="3"/>
    </row>
    <row r="622" customFormat="false" ht="15" hidden="false" customHeight="false" outlineLevel="0" collapsed="false">
      <c r="A622" s="15" t="s">
        <v>2855</v>
      </c>
      <c r="B622" s="15" t="s">
        <v>2076</v>
      </c>
      <c r="C622" s="15" t="s">
        <v>85</v>
      </c>
      <c r="D622" s="15" t="s">
        <v>2859</v>
      </c>
      <c r="E622" s="15" t="s">
        <v>104</v>
      </c>
      <c r="F622" s="15" t="s">
        <v>657</v>
      </c>
      <c r="G622" s="15" t="s">
        <v>2106</v>
      </c>
      <c r="H622" s="16" t="n">
        <v>41</v>
      </c>
      <c r="I622" s="15" t="n">
        <v>32</v>
      </c>
      <c r="J622" s="15" t="s">
        <v>5227</v>
      </c>
      <c r="K622" s="15" t="s">
        <v>5392</v>
      </c>
      <c r="L622" s="15" t="n">
        <v>5</v>
      </c>
      <c r="M622" s="15" t="s">
        <v>5161</v>
      </c>
      <c r="N622" s="18" t="str">
        <f aca="false">IFERROR(IF(ISNUMBER(SEARCH(D622,INDEX(Pages!$J$2:$J$824,MATCH(A622,Pages!$B$2:$B$824,0)))),"Yes","No"),"Page not found")</f>
        <v>Yes</v>
      </c>
      <c r="O622" s="3" t="s">
        <v>5426</v>
      </c>
      <c r="P622" s="3"/>
    </row>
    <row r="623" customFormat="false" ht="23.85" hidden="false" customHeight="false" outlineLevel="0" collapsed="false">
      <c r="A623" s="15" t="s">
        <v>3059</v>
      </c>
      <c r="B623" s="15" t="s">
        <v>2076</v>
      </c>
      <c r="C623" s="15" t="s">
        <v>85</v>
      </c>
      <c r="D623" s="15" t="s">
        <v>3063</v>
      </c>
      <c r="E623" s="15" t="s">
        <v>104</v>
      </c>
      <c r="F623" s="15" t="s">
        <v>715</v>
      </c>
      <c r="G623" s="15" t="s">
        <v>2344</v>
      </c>
      <c r="H623" s="16" t="n">
        <v>41</v>
      </c>
      <c r="I623" s="15" t="n">
        <v>32</v>
      </c>
      <c r="J623" s="15" t="s">
        <v>5227</v>
      </c>
      <c r="K623" s="15" t="s">
        <v>5392</v>
      </c>
      <c r="L623" s="15" t="n">
        <v>5</v>
      </c>
      <c r="M623" s="15" t="s">
        <v>5161</v>
      </c>
      <c r="N623" s="18" t="str">
        <f aca="false">IFERROR(IF(ISNUMBER(SEARCH(D623,INDEX(Pages!$J$2:$J$824,MATCH(A623,Pages!$B$2:$B$824,0)))),"Yes","No"),"Page not found")</f>
        <v>Yes</v>
      </c>
      <c r="O623" s="3" t="s">
        <v>5426</v>
      </c>
      <c r="P623" s="3" t="s">
        <v>5483</v>
      </c>
    </row>
    <row r="624" customFormat="false" ht="15" hidden="false" customHeight="false" outlineLevel="0" collapsed="false">
      <c r="A624" s="15" t="s">
        <v>1397</v>
      </c>
      <c r="B624" s="15" t="s">
        <v>656</v>
      </c>
      <c r="C624" s="15" t="s">
        <v>74</v>
      </c>
      <c r="D624" s="15" t="s">
        <v>1401</v>
      </c>
      <c r="E624" s="15" t="s">
        <v>662</v>
      </c>
      <c r="F624" s="15" t="s">
        <v>687</v>
      </c>
      <c r="G624" s="15"/>
      <c r="H624" s="16" t="n">
        <v>41</v>
      </c>
      <c r="I624" s="15" t="n">
        <v>34</v>
      </c>
      <c r="J624" s="15" t="s">
        <v>5159</v>
      </c>
      <c r="K624" s="15" t="s">
        <v>5440</v>
      </c>
      <c r="L624" s="15" t="n">
        <v>3</v>
      </c>
      <c r="M624" s="15" t="s">
        <v>5161</v>
      </c>
      <c r="N624" s="18" t="str">
        <f aca="false">IFERROR(IF(ISNUMBER(SEARCH(D624,INDEX(Pages!$J$2:$J$824,MATCH(A624,Pages!$B$2:$B$824,0)))),"Yes","No"),"Page not found")</f>
        <v>No</v>
      </c>
      <c r="O624" s="3" t="s">
        <v>5426</v>
      </c>
      <c r="P624" s="3"/>
    </row>
    <row r="625" customFormat="false" ht="15" hidden="false" customHeight="false" outlineLevel="0" collapsed="false">
      <c r="A625" s="15" t="s">
        <v>2427</v>
      </c>
      <c r="B625" s="15" t="s">
        <v>2076</v>
      </c>
      <c r="C625" s="15" t="s">
        <v>89</v>
      </c>
      <c r="D625" s="15" t="s">
        <v>2432</v>
      </c>
      <c r="E625" s="15" t="s">
        <v>104</v>
      </c>
      <c r="F625" s="15" t="s">
        <v>729</v>
      </c>
      <c r="G625" s="15" t="s">
        <v>2428</v>
      </c>
      <c r="H625" s="16" t="n">
        <v>40</v>
      </c>
      <c r="I625" s="15" t="n">
        <v>33</v>
      </c>
      <c r="J625" s="15" t="s">
        <v>5227</v>
      </c>
      <c r="K625" s="15" t="s">
        <v>5473</v>
      </c>
      <c r="L625" s="15" t="n">
        <v>5</v>
      </c>
      <c r="M625" s="15" t="s">
        <v>5161</v>
      </c>
      <c r="N625" s="18" t="str">
        <f aca="false">IFERROR(IF(ISNUMBER(SEARCH(D625,INDEX(Pages!$J$2:$J$824,MATCH(A625,Pages!$B$2:$B$824,0)))),"Yes","No"),"Page not found")</f>
        <v>Yes</v>
      </c>
      <c r="O625" s="3" t="s">
        <v>5426</v>
      </c>
      <c r="P625" s="3" t="s">
        <v>5427</v>
      </c>
    </row>
    <row r="626" customFormat="false" ht="15" hidden="false" customHeight="false" outlineLevel="0" collapsed="false">
      <c r="A626" s="15" t="s">
        <v>3131</v>
      </c>
      <c r="B626" s="15" t="s">
        <v>2076</v>
      </c>
      <c r="C626" s="15" t="s">
        <v>85</v>
      </c>
      <c r="D626" s="15" t="s">
        <v>3135</v>
      </c>
      <c r="E626" s="15" t="s">
        <v>104</v>
      </c>
      <c r="F626" s="15" t="s">
        <v>729</v>
      </c>
      <c r="G626" s="15" t="s">
        <v>2428</v>
      </c>
      <c r="H626" s="16" t="n">
        <v>40</v>
      </c>
      <c r="I626" s="15" t="n">
        <v>40</v>
      </c>
      <c r="J626" s="15" t="s">
        <v>5227</v>
      </c>
      <c r="K626" s="15" t="s">
        <v>5392</v>
      </c>
      <c r="L626" s="15" t="n">
        <v>5</v>
      </c>
      <c r="M626" s="15" t="s">
        <v>5161</v>
      </c>
      <c r="N626" s="18" t="str">
        <f aca="false">IFERROR(IF(ISNUMBER(SEARCH(D626,INDEX(Pages!$J$2:$J$824,MATCH(A626,Pages!$B$2:$B$824,0)))),"Yes","No"),"Page not found")</f>
        <v>Yes</v>
      </c>
      <c r="O626" s="3" t="s">
        <v>5426</v>
      </c>
      <c r="P626" s="3" t="s">
        <v>5427</v>
      </c>
    </row>
    <row r="627" customFormat="false" ht="15" hidden="false" customHeight="false" outlineLevel="0" collapsed="false">
      <c r="A627" s="15" t="s">
        <v>2168</v>
      </c>
      <c r="B627" s="15" t="s">
        <v>2076</v>
      </c>
      <c r="C627" s="15" t="s">
        <v>89</v>
      </c>
      <c r="D627" s="15" t="s">
        <v>2173</v>
      </c>
      <c r="E627" s="15" t="s">
        <v>104</v>
      </c>
      <c r="F627" s="15" t="s">
        <v>666</v>
      </c>
      <c r="G627" s="15" t="s">
        <v>2169</v>
      </c>
      <c r="H627" s="16" t="n">
        <v>39</v>
      </c>
      <c r="I627" s="15" t="n">
        <v>33</v>
      </c>
      <c r="J627" s="15" t="s">
        <v>5227</v>
      </c>
      <c r="K627" s="15" t="s">
        <v>5473</v>
      </c>
      <c r="L627" s="15" t="n">
        <v>3</v>
      </c>
      <c r="M627" s="15" t="s">
        <v>5161</v>
      </c>
      <c r="N627" s="18" t="str">
        <f aca="false">IFERROR(IF(ISNUMBER(SEARCH(D627,INDEX(Pages!$J$2:$J$824,MATCH(A627,Pages!$B$2:$B$824,0)))),"Yes","No"),"Page not found")</f>
        <v>Yes</v>
      </c>
      <c r="O627" s="3" t="s">
        <v>5426</v>
      </c>
      <c r="P627" s="3"/>
    </row>
    <row r="628" customFormat="false" ht="15" hidden="false" customHeight="false" outlineLevel="0" collapsed="false">
      <c r="A628" s="15" t="s">
        <v>2909</v>
      </c>
      <c r="B628" s="15" t="s">
        <v>2076</v>
      </c>
      <c r="C628" s="15" t="s">
        <v>85</v>
      </c>
      <c r="D628" s="15" t="s">
        <v>2913</v>
      </c>
      <c r="E628" s="15" t="s">
        <v>104</v>
      </c>
      <c r="F628" s="15" t="s">
        <v>666</v>
      </c>
      <c r="G628" s="15" t="s">
        <v>2169</v>
      </c>
      <c r="H628" s="16" t="n">
        <v>39</v>
      </c>
      <c r="I628" s="15" t="n">
        <v>40</v>
      </c>
      <c r="J628" s="15" t="s">
        <v>5227</v>
      </c>
      <c r="K628" s="15" t="s">
        <v>5392</v>
      </c>
      <c r="L628" s="15" t="n">
        <v>5</v>
      </c>
      <c r="M628" s="15" t="s">
        <v>5161</v>
      </c>
      <c r="N628" s="18" t="str">
        <f aca="false">IFERROR(IF(ISNUMBER(SEARCH(D628,INDEX(Pages!$J$2:$J$824,MATCH(A628,Pages!$B$2:$B$824,0)))),"Yes","No"),"Page not found")</f>
        <v>Yes</v>
      </c>
      <c r="O628" s="3" t="s">
        <v>5426</v>
      </c>
      <c r="P628" s="3"/>
    </row>
    <row r="629" customFormat="false" ht="15" hidden="false" customHeight="false" outlineLevel="0" collapsed="false">
      <c r="A629" s="15" t="s">
        <v>1043</v>
      </c>
      <c r="B629" s="15" t="s">
        <v>656</v>
      </c>
      <c r="C629" s="15" t="s">
        <v>76</v>
      </c>
      <c r="D629" s="15" t="s">
        <v>1047</v>
      </c>
      <c r="E629" s="15" t="s">
        <v>662</v>
      </c>
      <c r="F629" s="15" t="s">
        <v>729</v>
      </c>
      <c r="G629" s="15"/>
      <c r="H629" s="16" t="n">
        <v>39</v>
      </c>
      <c r="I629" s="15" t="n">
        <v>29</v>
      </c>
      <c r="J629" s="15" t="s">
        <v>5159</v>
      </c>
      <c r="K629" s="15" t="s">
        <v>5254</v>
      </c>
      <c r="L629" s="15" t="n">
        <v>4</v>
      </c>
      <c r="M629" s="15" t="s">
        <v>5161</v>
      </c>
      <c r="N629" s="18" t="str">
        <f aca="false">IFERROR(IF(ISNUMBER(SEARCH(D629,INDEX(Pages!$J$2:$J$824,MATCH(A629,Pages!$B$2:$B$824,0)))),"Yes","No"),"Page not found")</f>
        <v>No</v>
      </c>
      <c r="O629" s="3" t="s">
        <v>5426</v>
      </c>
      <c r="P629" s="3" t="s">
        <v>5378</v>
      </c>
    </row>
    <row r="630" customFormat="false" ht="23.85" hidden="false" customHeight="false" outlineLevel="0" collapsed="false">
      <c r="A630" s="15" t="s">
        <v>3833</v>
      </c>
      <c r="B630" s="15" t="s">
        <v>2076</v>
      </c>
      <c r="C630" s="15" t="s">
        <v>74</v>
      </c>
      <c r="D630" s="15" t="s">
        <v>3837</v>
      </c>
      <c r="E630" s="15" t="s">
        <v>104</v>
      </c>
      <c r="F630" s="15" t="s">
        <v>729</v>
      </c>
      <c r="G630" s="15" t="s">
        <v>2435</v>
      </c>
      <c r="H630" s="16" t="n">
        <v>39</v>
      </c>
      <c r="I630" s="15" t="n">
        <v>27</v>
      </c>
      <c r="J630" s="15" t="s">
        <v>5227</v>
      </c>
      <c r="K630" s="15" t="s">
        <v>5444</v>
      </c>
      <c r="L630" s="15" t="n">
        <v>5</v>
      </c>
      <c r="M630" s="15" t="s">
        <v>5161</v>
      </c>
      <c r="N630" s="18" t="str">
        <f aca="false">IFERROR(IF(ISNUMBER(SEARCH(D630,INDEX(Pages!$J$2:$J$824,MATCH(A630,Pages!$B$2:$B$824,0)))),"Yes","No"),"Page not found")</f>
        <v>Yes</v>
      </c>
      <c r="O630" s="3" t="s">
        <v>5426</v>
      </c>
      <c r="P630" s="3" t="s">
        <v>5497</v>
      </c>
    </row>
    <row r="631" customFormat="false" ht="23.85" hidden="false" customHeight="false" outlineLevel="0" collapsed="false">
      <c r="A631" s="15" t="s">
        <v>3611</v>
      </c>
      <c r="B631" s="15" t="s">
        <v>2076</v>
      </c>
      <c r="C631" s="15" t="s">
        <v>74</v>
      </c>
      <c r="D631" s="15" t="s">
        <v>3615</v>
      </c>
      <c r="E631" s="15" t="s">
        <v>104</v>
      </c>
      <c r="F631" s="15" t="s">
        <v>673</v>
      </c>
      <c r="G631" s="15" t="s">
        <v>2176</v>
      </c>
      <c r="H631" s="16" t="n">
        <v>36</v>
      </c>
      <c r="I631" s="15" t="n">
        <v>19</v>
      </c>
      <c r="J631" s="15" t="s">
        <v>5227</v>
      </c>
      <c r="K631" s="15" t="s">
        <v>5444</v>
      </c>
      <c r="L631" s="15" t="n">
        <v>3</v>
      </c>
      <c r="M631" s="15" t="s">
        <v>5161</v>
      </c>
      <c r="N631" s="18" t="str">
        <f aca="false">IFERROR(IF(ISNUMBER(SEARCH(D631,INDEX(Pages!$J$2:$J$824,MATCH(A631,Pages!$B$2:$B$824,0)))),"Yes","No"),"Page not found")</f>
        <v>Yes</v>
      </c>
      <c r="O631" s="3" t="s">
        <v>5426</v>
      </c>
      <c r="P631" s="3" t="s">
        <v>5483</v>
      </c>
    </row>
    <row r="632" customFormat="false" ht="15" hidden="false" customHeight="false" outlineLevel="0" collapsed="false">
      <c r="A632" s="15" t="s">
        <v>1703</v>
      </c>
      <c r="B632" s="15" t="s">
        <v>656</v>
      </c>
      <c r="C632" s="15" t="s">
        <v>81</v>
      </c>
      <c r="D632" s="15" t="s">
        <v>1707</v>
      </c>
      <c r="E632" s="15" t="s">
        <v>662</v>
      </c>
      <c r="F632" s="15" t="s">
        <v>680</v>
      </c>
      <c r="G632" s="15"/>
      <c r="H632" s="16" t="n">
        <v>36</v>
      </c>
      <c r="I632" s="15" t="n">
        <v>24</v>
      </c>
      <c r="J632" s="15" t="s">
        <v>5159</v>
      </c>
      <c r="K632" s="15" t="s">
        <v>5235</v>
      </c>
      <c r="L632" s="15" t="n">
        <v>4</v>
      </c>
      <c r="M632" s="15" t="s">
        <v>5161</v>
      </c>
      <c r="N632" s="18" t="str">
        <f aca="false">IFERROR(IF(ISNUMBER(SEARCH(D632,INDEX(Pages!$J$2:$J$824,MATCH(A632,Pages!$B$2:$B$824,0)))),"Yes","No"),"Page not found")</f>
        <v>No</v>
      </c>
      <c r="O632" s="3" t="s">
        <v>5426</v>
      </c>
      <c r="P632" s="3" t="s">
        <v>5482</v>
      </c>
    </row>
    <row r="633" customFormat="false" ht="15" hidden="false" customHeight="false" outlineLevel="0" collapsed="false">
      <c r="A633" s="15" t="s">
        <v>4061</v>
      </c>
      <c r="B633" s="15" t="s">
        <v>2076</v>
      </c>
      <c r="C633" s="15" t="s">
        <v>81</v>
      </c>
      <c r="D633" s="15" t="s">
        <v>4065</v>
      </c>
      <c r="E633" s="15" t="s">
        <v>104</v>
      </c>
      <c r="F633" s="15" t="s">
        <v>715</v>
      </c>
      <c r="G633" s="15" t="s">
        <v>2295</v>
      </c>
      <c r="H633" s="16" t="n">
        <v>35</v>
      </c>
      <c r="I633" s="15" t="n">
        <v>36</v>
      </c>
      <c r="J633" s="15" t="s">
        <v>5227</v>
      </c>
      <c r="K633" s="15" t="s">
        <v>5235</v>
      </c>
      <c r="L633" s="15" t="n">
        <v>5</v>
      </c>
      <c r="M633" s="15" t="s">
        <v>5161</v>
      </c>
      <c r="N633" s="18" t="str">
        <f aca="false">IFERROR(IF(ISNUMBER(SEARCH(D633,INDEX(Pages!$J$2:$J$824,MATCH(A633,Pages!$B$2:$B$824,0)))),"Yes","No"),"Page not found")</f>
        <v>No</v>
      </c>
      <c r="O633" s="3" t="s">
        <v>5426</v>
      </c>
      <c r="P633" s="3"/>
    </row>
    <row r="634" customFormat="false" ht="23.85" hidden="false" customHeight="false" outlineLevel="0" collapsed="false">
      <c r="A634" s="15" t="s">
        <v>2196</v>
      </c>
      <c r="B634" s="15" t="s">
        <v>2076</v>
      </c>
      <c r="C634" s="15" t="s">
        <v>89</v>
      </c>
      <c r="D634" s="15" t="s">
        <v>2201</v>
      </c>
      <c r="E634" s="15" t="s">
        <v>104</v>
      </c>
      <c r="F634" s="15" t="s">
        <v>680</v>
      </c>
      <c r="G634" s="15" t="s">
        <v>2197</v>
      </c>
      <c r="H634" s="16" t="n">
        <v>34</v>
      </c>
      <c r="I634" s="15" t="n">
        <v>25</v>
      </c>
      <c r="J634" s="15" t="s">
        <v>5227</v>
      </c>
      <c r="K634" s="15" t="s">
        <v>5473</v>
      </c>
      <c r="L634" s="15" t="n">
        <v>4</v>
      </c>
      <c r="M634" s="15" t="s">
        <v>5161</v>
      </c>
      <c r="N634" s="18" t="str">
        <f aca="false">IFERROR(IF(ISNUMBER(SEARCH(D634,INDEX(Pages!$J$2:$J$824,MATCH(A634,Pages!$B$2:$B$824,0)))),"Yes","No"),"Page not found")</f>
        <v>Yes</v>
      </c>
      <c r="O634" s="3" t="s">
        <v>5426</v>
      </c>
      <c r="P634" s="3" t="s">
        <v>5483</v>
      </c>
    </row>
    <row r="635" customFormat="false" ht="15" hidden="false" customHeight="false" outlineLevel="0" collapsed="false">
      <c r="A635" s="15" t="s">
        <v>2933</v>
      </c>
      <c r="B635" s="15" t="s">
        <v>2076</v>
      </c>
      <c r="C635" s="15" t="s">
        <v>85</v>
      </c>
      <c r="D635" s="15" t="s">
        <v>2937</v>
      </c>
      <c r="E635" s="15" t="s">
        <v>104</v>
      </c>
      <c r="F635" s="15" t="s">
        <v>680</v>
      </c>
      <c r="G635" s="15" t="s">
        <v>2197</v>
      </c>
      <c r="H635" s="16" t="n">
        <v>34</v>
      </c>
      <c r="I635" s="15" t="n">
        <v>32</v>
      </c>
      <c r="J635" s="15" t="s">
        <v>5227</v>
      </c>
      <c r="K635" s="15" t="s">
        <v>5392</v>
      </c>
      <c r="L635" s="15" t="n">
        <v>5</v>
      </c>
      <c r="M635" s="15" t="s">
        <v>5161</v>
      </c>
      <c r="N635" s="18" t="str">
        <f aca="false">IFERROR(IF(ISNUMBER(SEARCH(D635,INDEX(Pages!$J$2:$J$824,MATCH(A635,Pages!$B$2:$B$824,0)))),"Yes","No"),"Page not found")</f>
        <v>Yes</v>
      </c>
      <c r="O635" s="3" t="s">
        <v>5426</v>
      </c>
      <c r="P635" s="3"/>
    </row>
    <row r="636" customFormat="false" ht="15" hidden="false" customHeight="false" outlineLevel="0" collapsed="false">
      <c r="A636" s="15" t="s">
        <v>851</v>
      </c>
      <c r="B636" s="15" t="s">
        <v>656</v>
      </c>
      <c r="C636" s="15" t="s">
        <v>85</v>
      </c>
      <c r="D636" s="15" t="s">
        <v>855</v>
      </c>
      <c r="E636" s="15" t="s">
        <v>662</v>
      </c>
      <c r="F636" s="15" t="s">
        <v>687</v>
      </c>
      <c r="G636" s="15"/>
      <c r="H636" s="16" t="n">
        <v>33</v>
      </c>
      <c r="I636" s="15" t="n">
        <v>29</v>
      </c>
      <c r="J636" s="15" t="s">
        <v>5159</v>
      </c>
      <c r="K636" s="15" t="s">
        <v>5321</v>
      </c>
      <c r="L636" s="15" t="n">
        <v>5</v>
      </c>
      <c r="M636" s="15" t="s">
        <v>5161</v>
      </c>
      <c r="N636" s="18" t="str">
        <f aca="false">IFERROR(IF(ISNUMBER(SEARCH(D636,INDEX(Pages!$J$2:$J$824,MATCH(A636,Pages!$B$2:$B$824,0)))),"Yes","No"),"Page not found")</f>
        <v>No</v>
      </c>
      <c r="O636" s="3" t="s">
        <v>5426</v>
      </c>
      <c r="P636" s="3"/>
    </row>
    <row r="637" customFormat="false" ht="23.85" hidden="false" customHeight="false" outlineLevel="0" collapsed="false">
      <c r="A637" s="15" t="s">
        <v>2075</v>
      </c>
      <c r="B637" s="15" t="s">
        <v>2076</v>
      </c>
      <c r="C637" s="15" t="s">
        <v>89</v>
      </c>
      <c r="D637" s="15" t="s">
        <v>2081</v>
      </c>
      <c r="E637" s="15" t="s">
        <v>104</v>
      </c>
      <c r="F637" s="15" t="s">
        <v>657</v>
      </c>
      <c r="G637" s="15" t="s">
        <v>2077</v>
      </c>
      <c r="H637" s="16" t="n">
        <v>32</v>
      </c>
      <c r="I637" s="15" t="n">
        <v>17</v>
      </c>
      <c r="J637" s="15" t="s">
        <v>5227</v>
      </c>
      <c r="K637" s="15" t="s">
        <v>5473</v>
      </c>
      <c r="L637" s="15" t="n">
        <v>4</v>
      </c>
      <c r="M637" s="15" t="s">
        <v>5161</v>
      </c>
      <c r="N637" s="18" t="str">
        <f aca="false">IFERROR(IF(ISNUMBER(SEARCH(D637,INDEX(Pages!$J$2:$J$824,MATCH(A637,Pages!$B$2:$B$824,0)))),"Yes","No"),"Page not found")</f>
        <v>Yes</v>
      </c>
      <c r="O637" s="3" t="s">
        <v>5426</v>
      </c>
      <c r="P637" s="3" t="s">
        <v>5483</v>
      </c>
    </row>
    <row r="638" customFormat="false" ht="23.85" hidden="false" customHeight="false" outlineLevel="0" collapsed="false">
      <c r="A638" s="15" t="s">
        <v>2831</v>
      </c>
      <c r="B638" s="15" t="s">
        <v>2076</v>
      </c>
      <c r="C638" s="15" t="s">
        <v>85</v>
      </c>
      <c r="D638" s="15" t="s">
        <v>2835</v>
      </c>
      <c r="E638" s="15" t="s">
        <v>104</v>
      </c>
      <c r="F638" s="15" t="s">
        <v>657</v>
      </c>
      <c r="G638" s="15" t="s">
        <v>2077</v>
      </c>
      <c r="H638" s="16" t="n">
        <v>32</v>
      </c>
      <c r="I638" s="15" t="n">
        <v>24</v>
      </c>
      <c r="J638" s="15" t="s">
        <v>5227</v>
      </c>
      <c r="K638" s="15" t="s">
        <v>5392</v>
      </c>
      <c r="L638" s="15" t="n">
        <v>5</v>
      </c>
      <c r="M638" s="15" t="s">
        <v>5161</v>
      </c>
      <c r="N638" s="18" t="str">
        <f aca="false">IFERROR(IF(ISNUMBER(SEARCH(D638,INDEX(Pages!$J$2:$J$824,MATCH(A638,Pages!$B$2:$B$824,0)))),"Yes","No"),"Page not found")</f>
        <v>Yes</v>
      </c>
      <c r="O638" s="3" t="s">
        <v>5426</v>
      </c>
      <c r="P638" s="3" t="s">
        <v>5483</v>
      </c>
    </row>
    <row r="639" customFormat="false" ht="23.85" hidden="false" customHeight="false" outlineLevel="0" collapsed="false">
      <c r="A639" s="15" t="s">
        <v>2203</v>
      </c>
      <c r="B639" s="15" t="s">
        <v>2076</v>
      </c>
      <c r="C639" s="15" t="s">
        <v>89</v>
      </c>
      <c r="D639" s="15" t="s">
        <v>2208</v>
      </c>
      <c r="E639" s="15" t="s">
        <v>104</v>
      </c>
      <c r="F639" s="15" t="s">
        <v>680</v>
      </c>
      <c r="G639" s="15" t="s">
        <v>2204</v>
      </c>
      <c r="H639" s="16" t="n">
        <v>31</v>
      </c>
      <c r="I639" s="15" t="n">
        <v>25</v>
      </c>
      <c r="J639" s="15" t="s">
        <v>5227</v>
      </c>
      <c r="K639" s="15" t="s">
        <v>5473</v>
      </c>
      <c r="L639" s="15" t="n">
        <v>4</v>
      </c>
      <c r="M639" s="15" t="s">
        <v>5161</v>
      </c>
      <c r="N639" s="18" t="str">
        <f aca="false">IFERROR(IF(ISNUMBER(SEARCH(D639,INDEX(Pages!$J$2:$J$824,MATCH(A639,Pages!$B$2:$B$824,0)))),"Yes","No"),"Page not found")</f>
        <v>Yes</v>
      </c>
      <c r="O639" s="3" t="s">
        <v>5426</v>
      </c>
      <c r="P639" s="3" t="s">
        <v>5483</v>
      </c>
    </row>
    <row r="640" customFormat="false" ht="15" hidden="false" customHeight="false" outlineLevel="0" collapsed="false">
      <c r="A640" s="15" t="s">
        <v>2939</v>
      </c>
      <c r="B640" s="15" t="s">
        <v>2076</v>
      </c>
      <c r="C640" s="15" t="s">
        <v>85</v>
      </c>
      <c r="D640" s="15" t="s">
        <v>2943</v>
      </c>
      <c r="E640" s="15" t="s">
        <v>104</v>
      </c>
      <c r="F640" s="15" t="s">
        <v>680</v>
      </c>
      <c r="G640" s="15" t="s">
        <v>2204</v>
      </c>
      <c r="H640" s="16" t="n">
        <v>31</v>
      </c>
      <c r="I640" s="15" t="n">
        <v>32</v>
      </c>
      <c r="J640" s="15" t="s">
        <v>5227</v>
      </c>
      <c r="K640" s="15" t="s">
        <v>5392</v>
      </c>
      <c r="L640" s="15" t="n">
        <v>5</v>
      </c>
      <c r="M640" s="15" t="s">
        <v>5161</v>
      </c>
      <c r="N640" s="18" t="str">
        <f aca="false">IFERROR(IF(ISNUMBER(SEARCH(D640,INDEX(Pages!$J$2:$J$824,MATCH(A640,Pages!$B$2:$B$824,0)))),"Yes","No"),"Page not found")</f>
        <v>Yes</v>
      </c>
      <c r="O640" s="3" t="s">
        <v>5426</v>
      </c>
      <c r="P640" s="3"/>
    </row>
    <row r="641" customFormat="false" ht="15" hidden="false" customHeight="false" outlineLevel="0" collapsed="false">
      <c r="A641" s="15" t="s">
        <v>1511</v>
      </c>
      <c r="B641" s="15" t="s">
        <v>656</v>
      </c>
      <c r="C641" s="15" t="s">
        <v>75</v>
      </c>
      <c r="D641" s="15" t="s">
        <v>1515</v>
      </c>
      <c r="E641" s="15" t="s">
        <v>662</v>
      </c>
      <c r="F641" s="15" t="s">
        <v>729</v>
      </c>
      <c r="G641" s="15"/>
      <c r="H641" s="16" t="n">
        <v>30</v>
      </c>
      <c r="I641" s="15" t="n">
        <v>29</v>
      </c>
      <c r="J641" s="15" t="s">
        <v>5159</v>
      </c>
      <c r="K641" s="15" t="s">
        <v>5324</v>
      </c>
      <c r="L641" s="15" t="n">
        <v>5</v>
      </c>
      <c r="M641" s="15" t="s">
        <v>5161</v>
      </c>
      <c r="N641" s="18" t="str">
        <f aca="false">IFERROR(IF(ISNUMBER(SEARCH(D641,INDEX(Pages!$J$2:$J$824,MATCH(A641,Pages!$B$2:$B$824,0)))),"Yes","No"),"Page not found")</f>
        <v>No</v>
      </c>
      <c r="O641" s="3" t="s">
        <v>5426</v>
      </c>
      <c r="P641" s="3" t="s">
        <v>5378</v>
      </c>
    </row>
    <row r="642" customFormat="false" ht="23.85" hidden="false" customHeight="false" outlineLevel="0" collapsed="false">
      <c r="A642" s="15" t="s">
        <v>2189</v>
      </c>
      <c r="B642" s="15" t="s">
        <v>2076</v>
      </c>
      <c r="C642" s="15" t="s">
        <v>89</v>
      </c>
      <c r="D642" s="15" t="s">
        <v>2194</v>
      </c>
      <c r="E642" s="15" t="s">
        <v>104</v>
      </c>
      <c r="F642" s="15" t="s">
        <v>680</v>
      </c>
      <c r="G642" s="15" t="s">
        <v>2190</v>
      </c>
      <c r="H642" s="16" t="n">
        <v>29</v>
      </c>
      <c r="I642" s="15" t="n">
        <v>25</v>
      </c>
      <c r="J642" s="15" t="s">
        <v>5227</v>
      </c>
      <c r="K642" s="15" t="s">
        <v>5473</v>
      </c>
      <c r="L642" s="15" t="n">
        <v>4</v>
      </c>
      <c r="M642" s="15" t="s">
        <v>5161</v>
      </c>
      <c r="N642" s="18" t="str">
        <f aca="false">IFERROR(IF(ISNUMBER(SEARCH(D642,INDEX(Pages!$J$2:$J$824,MATCH(A642,Pages!$B$2:$B$824,0)))),"Yes","No"),"Page not found")</f>
        <v>Yes</v>
      </c>
      <c r="O642" s="3" t="s">
        <v>5426</v>
      </c>
      <c r="P642" s="3" t="s">
        <v>5483</v>
      </c>
    </row>
    <row r="643" customFormat="false" ht="23.85" hidden="false" customHeight="false" outlineLevel="0" collapsed="false">
      <c r="A643" s="15" t="s">
        <v>2420</v>
      </c>
      <c r="B643" s="15" t="s">
        <v>2076</v>
      </c>
      <c r="C643" s="15" t="s">
        <v>89</v>
      </c>
      <c r="D643" s="15" t="s">
        <v>2425</v>
      </c>
      <c r="E643" s="15" t="s">
        <v>104</v>
      </c>
      <c r="F643" s="15" t="s">
        <v>729</v>
      </c>
      <c r="G643" s="15" t="s">
        <v>2421</v>
      </c>
      <c r="H643" s="16" t="n">
        <v>29</v>
      </c>
      <c r="I643" s="15" t="n">
        <v>25</v>
      </c>
      <c r="J643" s="15" t="s">
        <v>5227</v>
      </c>
      <c r="K643" s="15" t="s">
        <v>5473</v>
      </c>
      <c r="L643" s="15" t="n">
        <v>5</v>
      </c>
      <c r="M643" s="15" t="s">
        <v>5161</v>
      </c>
      <c r="N643" s="18" t="str">
        <f aca="false">IFERROR(IF(ISNUMBER(SEARCH(D643,INDEX(Pages!$J$2:$J$824,MATCH(A643,Pages!$B$2:$B$824,0)))),"Yes","No"),"Page not found")</f>
        <v>Yes</v>
      </c>
      <c r="O643" s="3" t="s">
        <v>5426</v>
      </c>
      <c r="P643" s="3" t="s">
        <v>5497</v>
      </c>
    </row>
    <row r="644" customFormat="false" ht="15" hidden="false" customHeight="false" outlineLevel="0" collapsed="false">
      <c r="A644" s="15" t="s">
        <v>2927</v>
      </c>
      <c r="B644" s="15" t="s">
        <v>2076</v>
      </c>
      <c r="C644" s="15" t="s">
        <v>85</v>
      </c>
      <c r="D644" s="15" t="s">
        <v>2931</v>
      </c>
      <c r="E644" s="15" t="s">
        <v>104</v>
      </c>
      <c r="F644" s="15" t="s">
        <v>680</v>
      </c>
      <c r="G644" s="15" t="s">
        <v>2190</v>
      </c>
      <c r="H644" s="16" t="n">
        <v>29</v>
      </c>
      <c r="I644" s="15" t="n">
        <v>32</v>
      </c>
      <c r="J644" s="15" t="s">
        <v>5227</v>
      </c>
      <c r="K644" s="15" t="s">
        <v>5392</v>
      </c>
      <c r="L644" s="15" t="n">
        <v>5</v>
      </c>
      <c r="M644" s="15" t="s">
        <v>5161</v>
      </c>
      <c r="N644" s="18" t="str">
        <f aca="false">IFERROR(IF(ISNUMBER(SEARCH(D644,INDEX(Pages!$J$2:$J$824,MATCH(A644,Pages!$B$2:$B$824,0)))),"Yes","No"),"Page not found")</f>
        <v>Yes</v>
      </c>
      <c r="O644" s="3" t="s">
        <v>5426</v>
      </c>
      <c r="P644" s="3"/>
    </row>
    <row r="645" customFormat="false" ht="15" hidden="false" customHeight="false" outlineLevel="0" collapsed="false">
      <c r="A645" s="15" t="s">
        <v>3125</v>
      </c>
      <c r="B645" s="15" t="s">
        <v>2076</v>
      </c>
      <c r="C645" s="15" t="s">
        <v>85</v>
      </c>
      <c r="D645" s="15" t="s">
        <v>3129</v>
      </c>
      <c r="E645" s="15" t="s">
        <v>104</v>
      </c>
      <c r="F645" s="15" t="s">
        <v>729</v>
      </c>
      <c r="G645" s="15" t="s">
        <v>2421</v>
      </c>
      <c r="H645" s="16" t="n">
        <v>29</v>
      </c>
      <c r="I645" s="15" t="n">
        <v>32</v>
      </c>
      <c r="J645" s="15" t="s">
        <v>5227</v>
      </c>
      <c r="K645" s="15" t="s">
        <v>5392</v>
      </c>
      <c r="L645" s="15" t="n">
        <v>5</v>
      </c>
      <c r="M645" s="15" t="s">
        <v>5161</v>
      </c>
      <c r="N645" s="18" t="str">
        <f aca="false">IFERROR(IF(ISNUMBER(SEARCH(D645,INDEX(Pages!$J$2:$J$824,MATCH(A645,Pages!$B$2:$B$824,0)))),"Yes","No"),"Page not found")</f>
        <v>Yes</v>
      </c>
      <c r="O645" s="3" t="s">
        <v>5426</v>
      </c>
      <c r="P645" s="3" t="s">
        <v>5427</v>
      </c>
    </row>
    <row r="646" customFormat="false" ht="15" hidden="false" customHeight="false" outlineLevel="0" collapsed="false">
      <c r="A646" s="15" t="s">
        <v>1073</v>
      </c>
      <c r="B646" s="15" t="s">
        <v>656</v>
      </c>
      <c r="C646" s="15" t="s">
        <v>77</v>
      </c>
      <c r="D646" s="15" t="s">
        <v>1077</v>
      </c>
      <c r="E646" s="15" t="s">
        <v>662</v>
      </c>
      <c r="F646" s="15" t="s">
        <v>673</v>
      </c>
      <c r="G646" s="15"/>
      <c r="H646" s="16" t="n">
        <v>29</v>
      </c>
      <c r="I646" s="15" t="n">
        <v>22</v>
      </c>
      <c r="J646" s="15" t="s">
        <v>5159</v>
      </c>
      <c r="K646" s="15" t="s">
        <v>5254</v>
      </c>
      <c r="L646" s="15" t="n">
        <v>3</v>
      </c>
      <c r="M646" s="15" t="s">
        <v>5161</v>
      </c>
      <c r="N646" s="18" t="str">
        <f aca="false">IFERROR(IF(ISNUMBER(SEARCH(D646,INDEX(Pages!$J$2:$J$824,MATCH(A646,Pages!$B$2:$B$824,0)))),"Yes","No"),"Page not found")</f>
        <v>No</v>
      </c>
      <c r="O646" s="3" t="s">
        <v>5426</v>
      </c>
      <c r="P646" s="3"/>
    </row>
    <row r="647" customFormat="false" ht="23.85" hidden="false" customHeight="false" outlineLevel="0" collapsed="false">
      <c r="A647" s="15" t="s">
        <v>3815</v>
      </c>
      <c r="B647" s="15" t="s">
        <v>2076</v>
      </c>
      <c r="C647" s="15" t="s">
        <v>74</v>
      </c>
      <c r="D647" s="15" t="s">
        <v>3819</v>
      </c>
      <c r="E647" s="15" t="s">
        <v>104</v>
      </c>
      <c r="F647" s="15" t="s">
        <v>722</v>
      </c>
      <c r="G647" s="15" t="s">
        <v>2414</v>
      </c>
      <c r="H647" s="16" t="n">
        <v>29</v>
      </c>
      <c r="I647" s="15" t="n">
        <v>27</v>
      </c>
      <c r="J647" s="15" t="s">
        <v>5227</v>
      </c>
      <c r="K647" s="15" t="s">
        <v>5444</v>
      </c>
      <c r="L647" s="15" t="n">
        <v>4</v>
      </c>
      <c r="M647" s="15" t="s">
        <v>5161</v>
      </c>
      <c r="N647" s="18" t="str">
        <f aca="false">IFERROR(IF(ISNUMBER(SEARCH(D647,INDEX(Pages!$J$2:$J$824,MATCH(A647,Pages!$B$2:$B$824,0)))),"Yes","No"),"Page not found")</f>
        <v>Yes</v>
      </c>
      <c r="O647" s="3" t="s">
        <v>5426</v>
      </c>
      <c r="P647" s="3" t="s">
        <v>5483</v>
      </c>
    </row>
    <row r="648" customFormat="false" ht="23.85" hidden="false" customHeight="false" outlineLevel="0" collapsed="false">
      <c r="A648" s="15" t="s">
        <v>3851</v>
      </c>
      <c r="B648" s="15" t="s">
        <v>2076</v>
      </c>
      <c r="C648" s="15" t="s">
        <v>74</v>
      </c>
      <c r="D648" s="15" t="s">
        <v>3855</v>
      </c>
      <c r="E648" s="15" t="s">
        <v>104</v>
      </c>
      <c r="F648" s="15" t="s">
        <v>729</v>
      </c>
      <c r="G648" s="15" t="s">
        <v>2456</v>
      </c>
      <c r="H648" s="16" t="n">
        <v>28</v>
      </c>
      <c r="I648" s="15" t="n">
        <v>19</v>
      </c>
      <c r="J648" s="15" t="s">
        <v>5227</v>
      </c>
      <c r="K648" s="15" t="s">
        <v>5444</v>
      </c>
      <c r="L648" s="15" t="n">
        <v>5</v>
      </c>
      <c r="M648" s="15" t="s">
        <v>5161</v>
      </c>
      <c r="N648" s="18" t="str">
        <f aca="false">IFERROR(IF(ISNUMBER(SEARCH(D648,INDEX(Pages!$J$2:$J$824,MATCH(A648,Pages!$B$2:$B$824,0)))),"Yes","No"),"Page not found")</f>
        <v>Yes</v>
      </c>
      <c r="O648" s="3" t="s">
        <v>5426</v>
      </c>
      <c r="P648" s="3" t="s">
        <v>5497</v>
      </c>
    </row>
    <row r="649" customFormat="false" ht="15" hidden="false" customHeight="false" outlineLevel="0" collapsed="false">
      <c r="A649" s="15" t="s">
        <v>4139</v>
      </c>
      <c r="B649" s="15" t="s">
        <v>2076</v>
      </c>
      <c r="C649" s="15" t="s">
        <v>81</v>
      </c>
      <c r="D649" s="15" t="s">
        <v>4143</v>
      </c>
      <c r="E649" s="15" t="s">
        <v>104</v>
      </c>
      <c r="F649" s="15" t="s">
        <v>715</v>
      </c>
      <c r="G649" s="15" t="s">
        <v>2386</v>
      </c>
      <c r="H649" s="16" t="n">
        <v>28</v>
      </c>
      <c r="I649" s="15" t="n">
        <v>36</v>
      </c>
      <c r="J649" s="15" t="s">
        <v>5227</v>
      </c>
      <c r="K649" s="15" t="s">
        <v>5235</v>
      </c>
      <c r="L649" s="15" t="n">
        <v>5</v>
      </c>
      <c r="M649" s="15" t="s">
        <v>5161</v>
      </c>
      <c r="N649" s="18" t="str">
        <f aca="false">IFERROR(IF(ISNUMBER(SEARCH(D649,INDEX(Pages!$J$2:$J$824,MATCH(A649,Pages!$B$2:$B$824,0)))),"Yes","No"),"Page not found")</f>
        <v>Yes</v>
      </c>
      <c r="O649" s="3" t="s">
        <v>5426</v>
      </c>
      <c r="P649" s="3"/>
    </row>
    <row r="650" customFormat="false" ht="23.85" hidden="false" customHeight="false" outlineLevel="0" collapsed="false">
      <c r="A650" s="15" t="s">
        <v>2434</v>
      </c>
      <c r="B650" s="15" t="s">
        <v>2076</v>
      </c>
      <c r="C650" s="15" t="s">
        <v>89</v>
      </c>
      <c r="D650" s="15" t="s">
        <v>2439</v>
      </c>
      <c r="E650" s="15" t="s">
        <v>104</v>
      </c>
      <c r="F650" s="15" t="s">
        <v>729</v>
      </c>
      <c r="G650" s="15" t="s">
        <v>2435</v>
      </c>
      <c r="H650" s="16" t="n">
        <v>26</v>
      </c>
      <c r="I650" s="15" t="n">
        <v>25</v>
      </c>
      <c r="J650" s="15" t="s">
        <v>5227</v>
      </c>
      <c r="K650" s="15" t="s">
        <v>5473</v>
      </c>
      <c r="L650" s="15" t="n">
        <v>5</v>
      </c>
      <c r="M650" s="15" t="s">
        <v>5161</v>
      </c>
      <c r="N650" s="18" t="str">
        <f aca="false">IFERROR(IF(ISNUMBER(SEARCH(D650,INDEX(Pages!$J$2:$J$824,MATCH(A650,Pages!$B$2:$B$824,0)))),"Yes","No"),"Page not found")</f>
        <v>Yes</v>
      </c>
      <c r="O650" s="3" t="s">
        <v>5426</v>
      </c>
      <c r="P650" s="3" t="s">
        <v>5497</v>
      </c>
    </row>
    <row r="651" customFormat="false" ht="15" hidden="false" customHeight="false" outlineLevel="0" collapsed="false">
      <c r="A651" s="15" t="s">
        <v>3137</v>
      </c>
      <c r="B651" s="15" t="s">
        <v>2076</v>
      </c>
      <c r="C651" s="15" t="s">
        <v>85</v>
      </c>
      <c r="D651" s="15" t="s">
        <v>3141</v>
      </c>
      <c r="E651" s="15" t="s">
        <v>104</v>
      </c>
      <c r="F651" s="15" t="s">
        <v>729</v>
      </c>
      <c r="G651" s="15" t="s">
        <v>2435</v>
      </c>
      <c r="H651" s="16" t="n">
        <v>26</v>
      </c>
      <c r="I651" s="15" t="n">
        <v>32</v>
      </c>
      <c r="J651" s="15" t="s">
        <v>5227</v>
      </c>
      <c r="K651" s="15" t="s">
        <v>5392</v>
      </c>
      <c r="L651" s="15" t="n">
        <v>5</v>
      </c>
      <c r="M651" s="15" t="s">
        <v>5161</v>
      </c>
      <c r="N651" s="18" t="str">
        <f aca="false">IFERROR(IF(ISNUMBER(SEARCH(D651,INDEX(Pages!$J$2:$J$824,MATCH(A651,Pages!$B$2:$B$824,0)))),"Yes","No"),"Page not found")</f>
        <v>Yes</v>
      </c>
      <c r="O651" s="3" t="s">
        <v>5426</v>
      </c>
      <c r="P651" s="3" t="s">
        <v>5427</v>
      </c>
    </row>
    <row r="652" customFormat="false" ht="15" hidden="false" customHeight="false" outlineLevel="0" collapsed="false">
      <c r="A652" s="15" t="s">
        <v>917</v>
      </c>
      <c r="B652" s="15" t="s">
        <v>656</v>
      </c>
      <c r="C652" s="15" t="s">
        <v>90</v>
      </c>
      <c r="D652" s="15" t="s">
        <v>921</v>
      </c>
      <c r="E652" s="15" t="s">
        <v>662</v>
      </c>
      <c r="F652" s="15" t="s">
        <v>673</v>
      </c>
      <c r="G652" s="15"/>
      <c r="H652" s="16" t="n">
        <v>26</v>
      </c>
      <c r="I652" s="15" t="n">
        <v>19</v>
      </c>
      <c r="J652" s="15" t="s">
        <v>5159</v>
      </c>
      <c r="K652" s="15" t="s">
        <v>5425</v>
      </c>
      <c r="L652" s="15" t="n">
        <v>3</v>
      </c>
      <c r="M652" s="15" t="s">
        <v>5161</v>
      </c>
      <c r="N652" s="18" t="str">
        <f aca="false">IFERROR(IF(ISNUMBER(SEARCH(D652,INDEX(Pages!$J$2:$J$824,MATCH(A652,Pages!$B$2:$B$824,0)))),"Yes","No"),"Page not found")</f>
        <v>No</v>
      </c>
      <c r="O652" s="3" t="s">
        <v>5426</v>
      </c>
      <c r="P652" s="3"/>
    </row>
    <row r="653" customFormat="false" ht="15" hidden="false" customHeight="false" outlineLevel="0" collapsed="false">
      <c r="A653" s="15" t="s">
        <v>1199</v>
      </c>
      <c r="B653" s="15" t="s">
        <v>656</v>
      </c>
      <c r="C653" s="15" t="s">
        <v>79</v>
      </c>
      <c r="D653" s="15" t="s">
        <v>1203</v>
      </c>
      <c r="E653" s="15" t="s">
        <v>662</v>
      </c>
      <c r="F653" s="15" t="s">
        <v>729</v>
      </c>
      <c r="G653" s="15"/>
      <c r="H653" s="16" t="n">
        <v>26</v>
      </c>
      <c r="I653" s="15" t="n">
        <v>29</v>
      </c>
      <c r="J653" s="15" t="s">
        <v>5159</v>
      </c>
      <c r="K653" s="15" t="s">
        <v>5384</v>
      </c>
      <c r="L653" s="15" t="n">
        <v>4</v>
      </c>
      <c r="M653" s="15" t="s">
        <v>5161</v>
      </c>
      <c r="N653" s="18" t="str">
        <f aca="false">IFERROR(IF(ISNUMBER(SEARCH(D653,INDEX(Pages!$J$2:$J$824,MATCH(A653,Pages!$B$2:$B$824,0)))),"Yes","No"),"Page not found")</f>
        <v>No</v>
      </c>
      <c r="O653" s="3" t="s">
        <v>5426</v>
      </c>
      <c r="P653" s="3" t="s">
        <v>5378</v>
      </c>
    </row>
    <row r="654" customFormat="false" ht="15" hidden="false" customHeight="false" outlineLevel="0" collapsed="false">
      <c r="A654" s="15" t="s">
        <v>1853</v>
      </c>
      <c r="B654" s="15" t="s">
        <v>656</v>
      </c>
      <c r="C654" s="15" t="s">
        <v>74</v>
      </c>
      <c r="D654" s="15" t="s">
        <v>1857</v>
      </c>
      <c r="E654" s="15" t="s">
        <v>662</v>
      </c>
      <c r="F654" s="15" t="s">
        <v>673</v>
      </c>
      <c r="G654" s="15"/>
      <c r="H654" s="16" t="n">
        <v>26</v>
      </c>
      <c r="I654" s="15" t="n">
        <v>28</v>
      </c>
      <c r="J654" s="15" t="s">
        <v>5159</v>
      </c>
      <c r="K654" s="15" t="s">
        <v>5440</v>
      </c>
      <c r="L654" s="15" t="n">
        <v>4</v>
      </c>
      <c r="M654" s="15" t="s">
        <v>5161</v>
      </c>
      <c r="N654" s="18" t="str">
        <f aca="false">IFERROR(IF(ISNUMBER(SEARCH(D654,INDEX(Pages!$J$2:$J$824,MATCH(A654,Pages!$B$2:$B$824,0)))),"Yes","No"),"Page not found")</f>
        <v>No</v>
      </c>
      <c r="O654" s="3" t="s">
        <v>5224</v>
      </c>
      <c r="P654" s="3"/>
    </row>
    <row r="655" customFormat="false" ht="15" hidden="false" customHeight="false" outlineLevel="0" collapsed="false">
      <c r="A655" s="15" t="s">
        <v>1127</v>
      </c>
      <c r="B655" s="15" t="s">
        <v>656</v>
      </c>
      <c r="C655" s="15" t="s">
        <v>77</v>
      </c>
      <c r="D655" s="15" t="s">
        <v>1131</v>
      </c>
      <c r="E655" s="15" t="s">
        <v>662</v>
      </c>
      <c r="F655" s="15" t="s">
        <v>736</v>
      </c>
      <c r="G655" s="15"/>
      <c r="H655" s="16" t="n">
        <v>25</v>
      </c>
      <c r="I655" s="15" t="n">
        <v>22</v>
      </c>
      <c r="J655" s="15" t="s">
        <v>5159</v>
      </c>
      <c r="K655" s="15" t="s">
        <v>5254</v>
      </c>
      <c r="L655" s="15" t="n">
        <v>3</v>
      </c>
      <c r="M655" s="15" t="s">
        <v>5161</v>
      </c>
      <c r="N655" s="18" t="str">
        <f aca="false">IFERROR(IF(ISNUMBER(SEARCH(D655,INDEX(Pages!$J$2:$J$824,MATCH(A655,Pages!$B$2:$B$824,0)))),"Yes","No"),"Page not found")</f>
        <v>No</v>
      </c>
      <c r="O655" s="3" t="s">
        <v>5426</v>
      </c>
      <c r="P655" s="3"/>
    </row>
    <row r="656" customFormat="false" ht="15" hidden="false" customHeight="false" outlineLevel="0" collapsed="false">
      <c r="A656" s="15" t="s">
        <v>1709</v>
      </c>
      <c r="B656" s="15" t="s">
        <v>656</v>
      </c>
      <c r="C656" s="15" t="s">
        <v>81</v>
      </c>
      <c r="D656" s="15" t="s">
        <v>1713</v>
      </c>
      <c r="E656" s="15" t="s">
        <v>662</v>
      </c>
      <c r="F656" s="15" t="s">
        <v>687</v>
      </c>
      <c r="G656" s="15"/>
      <c r="H656" s="16" t="n">
        <v>25</v>
      </c>
      <c r="I656" s="15" t="n">
        <v>24</v>
      </c>
      <c r="J656" s="15" t="s">
        <v>5159</v>
      </c>
      <c r="K656" s="15" t="s">
        <v>5235</v>
      </c>
      <c r="L656" s="15" t="n">
        <v>5</v>
      </c>
      <c r="M656" s="15" t="s">
        <v>5161</v>
      </c>
      <c r="N656" s="18" t="str">
        <f aca="false">IFERROR(IF(ISNUMBER(SEARCH(D656,INDEX(Pages!$J$2:$J$824,MATCH(A656,Pages!$B$2:$B$824,0)))),"Yes","No"),"Page not found")</f>
        <v>No</v>
      </c>
      <c r="O656" s="3" t="s">
        <v>5426</v>
      </c>
      <c r="P656" s="3" t="s">
        <v>5482</v>
      </c>
    </row>
    <row r="657" customFormat="false" ht="15" hidden="false" customHeight="false" outlineLevel="0" collapsed="false">
      <c r="A657" s="15" t="s">
        <v>1817</v>
      </c>
      <c r="B657" s="15" t="s">
        <v>656</v>
      </c>
      <c r="C657" s="15" t="s">
        <v>86</v>
      </c>
      <c r="D657" s="15" t="s">
        <v>1821</v>
      </c>
      <c r="E657" s="15" t="s">
        <v>662</v>
      </c>
      <c r="F657" s="15" t="s">
        <v>722</v>
      </c>
      <c r="G657" s="15"/>
      <c r="H657" s="16" t="n">
        <v>25</v>
      </c>
      <c r="I657" s="15" t="n">
        <v>32</v>
      </c>
      <c r="J657" s="15" t="s">
        <v>5159</v>
      </c>
      <c r="K657" s="15" t="s">
        <v>5321</v>
      </c>
      <c r="L657" s="15" t="n">
        <v>5</v>
      </c>
      <c r="M657" s="15" t="s">
        <v>5161</v>
      </c>
      <c r="N657" s="18" t="str">
        <f aca="false">IFERROR(IF(ISNUMBER(SEARCH(D657,INDEX(Pages!$J$2:$J$824,MATCH(A657,Pages!$B$2:$B$824,0)))),"Yes","No"),"Page not found")</f>
        <v>No</v>
      </c>
      <c r="O657" s="3" t="s">
        <v>5426</v>
      </c>
      <c r="P657" s="3"/>
    </row>
    <row r="658" customFormat="false" ht="23.85" hidden="false" customHeight="false" outlineLevel="0" collapsed="false">
      <c r="A658" s="15" t="s">
        <v>2175</v>
      </c>
      <c r="B658" s="15" t="s">
        <v>2076</v>
      </c>
      <c r="C658" s="15" t="s">
        <v>89</v>
      </c>
      <c r="D658" s="15" t="s">
        <v>2180</v>
      </c>
      <c r="E658" s="15" t="s">
        <v>104</v>
      </c>
      <c r="F658" s="15" t="s">
        <v>673</v>
      </c>
      <c r="G658" s="15" t="s">
        <v>2176</v>
      </c>
      <c r="H658" s="16" t="n">
        <v>24</v>
      </c>
      <c r="I658" s="15" t="n">
        <v>17</v>
      </c>
      <c r="J658" s="15" t="s">
        <v>5227</v>
      </c>
      <c r="K658" s="15" t="s">
        <v>5473</v>
      </c>
      <c r="L658" s="15" t="n">
        <v>4</v>
      </c>
      <c r="M658" s="15" t="s">
        <v>5161</v>
      </c>
      <c r="N658" s="18" t="str">
        <f aca="false">IFERROR(IF(ISNUMBER(SEARCH(D658,INDEX(Pages!$J$2:$J$824,MATCH(A658,Pages!$B$2:$B$824,0)))),"Yes","No"),"Page not found")</f>
        <v>Yes</v>
      </c>
      <c r="O658" s="3" t="s">
        <v>5426</v>
      </c>
      <c r="P658" s="3" t="s">
        <v>5483</v>
      </c>
    </row>
    <row r="659" customFormat="false" ht="23.85" hidden="false" customHeight="false" outlineLevel="0" collapsed="false">
      <c r="A659" s="15" t="s">
        <v>2915</v>
      </c>
      <c r="B659" s="15" t="s">
        <v>2076</v>
      </c>
      <c r="C659" s="15" t="s">
        <v>85</v>
      </c>
      <c r="D659" s="15" t="s">
        <v>2919</v>
      </c>
      <c r="E659" s="15" t="s">
        <v>104</v>
      </c>
      <c r="F659" s="15" t="s">
        <v>673</v>
      </c>
      <c r="G659" s="15" t="s">
        <v>2176</v>
      </c>
      <c r="H659" s="16" t="n">
        <v>24</v>
      </c>
      <c r="I659" s="15" t="n">
        <v>24</v>
      </c>
      <c r="J659" s="15" t="s">
        <v>5227</v>
      </c>
      <c r="K659" s="15" t="s">
        <v>5392</v>
      </c>
      <c r="L659" s="15" t="n">
        <v>5</v>
      </c>
      <c r="M659" s="15" t="s">
        <v>5161</v>
      </c>
      <c r="N659" s="18" t="str">
        <f aca="false">IFERROR(IF(ISNUMBER(SEARCH(D659,INDEX(Pages!$J$2:$J$824,MATCH(A659,Pages!$B$2:$B$824,0)))),"Yes","No"),"Page not found")</f>
        <v>Yes</v>
      </c>
      <c r="O659" s="3" t="s">
        <v>5426</v>
      </c>
      <c r="P659" s="3" t="s">
        <v>5483</v>
      </c>
    </row>
    <row r="660" customFormat="false" ht="15" hidden="false" customHeight="false" outlineLevel="0" collapsed="false">
      <c r="A660" s="15" t="s">
        <v>4055</v>
      </c>
      <c r="B660" s="15" t="s">
        <v>2076</v>
      </c>
      <c r="C660" s="15" t="s">
        <v>81</v>
      </c>
      <c r="D660" s="15" t="s">
        <v>4059</v>
      </c>
      <c r="E660" s="15" t="s">
        <v>104</v>
      </c>
      <c r="F660" s="15" t="s">
        <v>715</v>
      </c>
      <c r="G660" s="15" t="s">
        <v>2288</v>
      </c>
      <c r="H660" s="16" t="n">
        <v>24</v>
      </c>
      <c r="I660" s="15" t="n">
        <v>36</v>
      </c>
      <c r="J660" s="15" t="s">
        <v>5227</v>
      </c>
      <c r="K660" s="15" t="s">
        <v>5235</v>
      </c>
      <c r="L660" s="15" t="n">
        <v>5</v>
      </c>
      <c r="M660" s="15" t="s">
        <v>5161</v>
      </c>
      <c r="N660" s="18" t="str">
        <f aca="false">IFERROR(IF(ISNUMBER(SEARCH(D660,INDEX(Pages!$J$2:$J$824,MATCH(A660,Pages!$B$2:$B$824,0)))),"Yes","No"),"Page not found")</f>
        <v>Yes</v>
      </c>
      <c r="O660" s="3" t="s">
        <v>5426</v>
      </c>
      <c r="P660" s="3"/>
    </row>
    <row r="661" customFormat="false" ht="15" hidden="false" customHeight="false" outlineLevel="0" collapsed="false">
      <c r="A661" s="15" t="s">
        <v>995</v>
      </c>
      <c r="B661" s="15" t="s">
        <v>656</v>
      </c>
      <c r="C661" s="15" t="s">
        <v>76</v>
      </c>
      <c r="D661" s="15" t="s">
        <v>999</v>
      </c>
      <c r="E661" s="15" t="s">
        <v>662</v>
      </c>
      <c r="F661" s="15" t="s">
        <v>673</v>
      </c>
      <c r="G661" s="15"/>
      <c r="H661" s="16" t="n">
        <v>23</v>
      </c>
      <c r="I661" s="15" t="n">
        <v>19</v>
      </c>
      <c r="J661" s="15" t="s">
        <v>5159</v>
      </c>
      <c r="K661" s="15" t="s">
        <v>5254</v>
      </c>
      <c r="L661" s="15" t="n">
        <v>3</v>
      </c>
      <c r="M661" s="15" t="s">
        <v>5161</v>
      </c>
      <c r="N661" s="18" t="str">
        <f aca="false">IFERROR(IF(ISNUMBER(SEARCH(D661,INDEX(Pages!$J$2:$J$824,MATCH(A661,Pages!$B$2:$B$824,0)))),"Yes","No"),"Page not found")</f>
        <v>No</v>
      </c>
      <c r="O661" s="3" t="s">
        <v>5426</v>
      </c>
      <c r="P661" s="3"/>
    </row>
    <row r="662" customFormat="false" ht="15" hidden="false" customHeight="false" outlineLevel="0" collapsed="false">
      <c r="A662" s="15" t="s">
        <v>971</v>
      </c>
      <c r="B662" s="15" t="s">
        <v>656</v>
      </c>
      <c r="C662" s="15" t="s">
        <v>90</v>
      </c>
      <c r="D662" s="15" t="s">
        <v>975</v>
      </c>
      <c r="E662" s="15" t="s">
        <v>662</v>
      </c>
      <c r="F662" s="15" t="s">
        <v>736</v>
      </c>
      <c r="G662" s="15"/>
      <c r="H662" s="16" t="n">
        <v>22</v>
      </c>
      <c r="I662" s="15" t="n">
        <v>19</v>
      </c>
      <c r="J662" s="15" t="s">
        <v>5159</v>
      </c>
      <c r="K662" s="15" t="s">
        <v>5425</v>
      </c>
      <c r="L662" s="15" t="n">
        <v>3</v>
      </c>
      <c r="M662" s="15" t="s">
        <v>5161</v>
      </c>
      <c r="N662" s="18" t="str">
        <f aca="false">IFERROR(IF(ISNUMBER(SEARCH(D662,INDEX(Pages!$J$2:$J$824,MATCH(A662,Pages!$B$2:$B$824,0)))),"Yes","No"),"Page not found")</f>
        <v>No</v>
      </c>
      <c r="O662" s="3" t="s">
        <v>5426</v>
      </c>
      <c r="P662" s="3"/>
    </row>
    <row r="663" customFormat="false" ht="15" hidden="false" customHeight="false" outlineLevel="0" collapsed="false">
      <c r="A663" s="15" t="s">
        <v>4157</v>
      </c>
      <c r="B663" s="15" t="s">
        <v>2076</v>
      </c>
      <c r="C663" s="15" t="s">
        <v>81</v>
      </c>
      <c r="D663" s="15" t="s">
        <v>4161</v>
      </c>
      <c r="E663" s="15" t="s">
        <v>104</v>
      </c>
      <c r="F663" s="15" t="s">
        <v>715</v>
      </c>
      <c r="G663" s="15" t="s">
        <v>2407</v>
      </c>
      <c r="H663" s="16" t="n">
        <v>22</v>
      </c>
      <c r="I663" s="15" t="n">
        <v>36</v>
      </c>
      <c r="J663" s="15" t="s">
        <v>5227</v>
      </c>
      <c r="K663" s="15" t="s">
        <v>5235</v>
      </c>
      <c r="L663" s="15" t="n">
        <v>5</v>
      </c>
      <c r="M663" s="15" t="s">
        <v>5161</v>
      </c>
      <c r="N663" s="18" t="str">
        <f aca="false">IFERROR(IF(ISNUMBER(SEARCH(D663,INDEX(Pages!$J$2:$J$824,MATCH(A663,Pages!$B$2:$B$824,0)))),"Yes","No"),"Page not found")</f>
        <v>Yes</v>
      </c>
      <c r="O663" s="3" t="s">
        <v>5426</v>
      </c>
      <c r="P663" s="3"/>
    </row>
    <row r="664" customFormat="false" ht="15" hidden="false" customHeight="false" outlineLevel="0" collapsed="false">
      <c r="A664" s="15" t="s">
        <v>1907</v>
      </c>
      <c r="B664" s="15" t="s">
        <v>656</v>
      </c>
      <c r="C664" s="15" t="s">
        <v>74</v>
      </c>
      <c r="D664" s="15" t="s">
        <v>1911</v>
      </c>
      <c r="E664" s="15" t="s">
        <v>662</v>
      </c>
      <c r="F664" s="15" t="s">
        <v>736</v>
      </c>
      <c r="G664" s="15"/>
      <c r="H664" s="16" t="n">
        <v>22</v>
      </c>
      <c r="I664" s="15" t="n">
        <v>24</v>
      </c>
      <c r="J664" s="15" t="s">
        <v>5159</v>
      </c>
      <c r="K664" s="15" t="s">
        <v>5440</v>
      </c>
      <c r="L664" s="15" t="n">
        <v>3</v>
      </c>
      <c r="M664" s="15" t="s">
        <v>5161</v>
      </c>
      <c r="N664" s="18" t="str">
        <f aca="false">IFERROR(IF(ISNUMBER(SEARCH(D664,INDEX(Pages!$J$2:$J$824,MATCH(A664,Pages!$B$2:$B$824,0)))),"Yes","No"),"Page not found")</f>
        <v>No</v>
      </c>
      <c r="O664" s="3" t="s">
        <v>5426</v>
      </c>
      <c r="P664" s="3"/>
    </row>
    <row r="665" customFormat="false" ht="15" hidden="false" customHeight="false" outlineLevel="0" collapsed="false">
      <c r="A665" s="15" t="s">
        <v>1097</v>
      </c>
      <c r="B665" s="15" t="s">
        <v>656</v>
      </c>
      <c r="C665" s="15" t="s">
        <v>77</v>
      </c>
      <c r="D665" s="15" t="s">
        <v>1101</v>
      </c>
      <c r="E665" s="15" t="s">
        <v>662</v>
      </c>
      <c r="F665" s="15" t="s">
        <v>701</v>
      </c>
      <c r="G665" s="15"/>
      <c r="H665" s="16" t="n">
        <v>21</v>
      </c>
      <c r="I665" s="15" t="n">
        <v>22</v>
      </c>
      <c r="J665" s="15" t="s">
        <v>5159</v>
      </c>
      <c r="K665" s="15" t="s">
        <v>5254</v>
      </c>
      <c r="L665" s="15" t="n">
        <v>3</v>
      </c>
      <c r="M665" s="15" t="s">
        <v>5161</v>
      </c>
      <c r="N665" s="18" t="str">
        <f aca="false">IFERROR(IF(ISNUMBER(SEARCH(D665,INDEX(Pages!$J$2:$J$824,MATCH(A665,Pages!$B$2:$B$824,0)))),"Yes","No"),"Page not found")</f>
        <v>No</v>
      </c>
      <c r="O665" s="3" t="s">
        <v>5426</v>
      </c>
      <c r="P665" s="3"/>
    </row>
    <row r="666" customFormat="false" ht="15" hidden="false" customHeight="false" outlineLevel="0" collapsed="false">
      <c r="A666" s="15" t="s">
        <v>1049</v>
      </c>
      <c r="B666" s="15" t="s">
        <v>656</v>
      </c>
      <c r="C666" s="15" t="s">
        <v>76</v>
      </c>
      <c r="D666" s="15" t="s">
        <v>1053</v>
      </c>
      <c r="E666" s="15" t="s">
        <v>662</v>
      </c>
      <c r="F666" s="15" t="s">
        <v>736</v>
      </c>
      <c r="G666" s="15"/>
      <c r="H666" s="16" t="n">
        <v>20</v>
      </c>
      <c r="I666" s="15" t="n">
        <v>19</v>
      </c>
      <c r="J666" s="15" t="s">
        <v>5159</v>
      </c>
      <c r="K666" s="15" t="s">
        <v>5254</v>
      </c>
      <c r="L666" s="15" t="n">
        <v>3</v>
      </c>
      <c r="M666" s="15" t="s">
        <v>5161</v>
      </c>
      <c r="N666" s="18" t="str">
        <f aca="false">IFERROR(IF(ISNUMBER(SEARCH(D666,INDEX(Pages!$J$2:$J$824,MATCH(A666,Pages!$B$2:$B$824,0)))),"Yes","No"),"Page not found")</f>
        <v>No</v>
      </c>
      <c r="O666" s="3" t="s">
        <v>5426</v>
      </c>
      <c r="P666" s="3"/>
    </row>
    <row r="667" customFormat="false" ht="15" hidden="false" customHeight="false" outlineLevel="0" collapsed="false">
      <c r="A667" s="15" t="s">
        <v>1271</v>
      </c>
      <c r="B667" s="15" t="s">
        <v>656</v>
      </c>
      <c r="C667" s="15" t="s">
        <v>78</v>
      </c>
      <c r="D667" s="15" t="s">
        <v>1275</v>
      </c>
      <c r="E667" s="15" t="s">
        <v>662</v>
      </c>
      <c r="F667" s="15" t="s">
        <v>722</v>
      </c>
      <c r="G667" s="15"/>
      <c r="H667" s="16" t="n">
        <v>20</v>
      </c>
      <c r="I667" s="15" t="n">
        <v>39</v>
      </c>
      <c r="J667" s="15" t="s">
        <v>5159</v>
      </c>
      <c r="K667" s="15" t="s">
        <v>5418</v>
      </c>
      <c r="L667" s="15" t="n">
        <v>5</v>
      </c>
      <c r="M667" s="15" t="s">
        <v>5161</v>
      </c>
      <c r="N667" s="18" t="str">
        <f aca="false">IFERROR(IF(ISNUMBER(SEARCH(D667,INDEX(Pages!$J$2:$J$824,MATCH(A667,Pages!$B$2:$B$824,0)))),"Yes","No"),"Page not found")</f>
        <v>No</v>
      </c>
      <c r="O667" s="3" t="s">
        <v>5426</v>
      </c>
      <c r="P667" s="3"/>
    </row>
    <row r="668" customFormat="false" ht="23.85" hidden="false" customHeight="false" outlineLevel="0" collapsed="false">
      <c r="A668" s="15" t="s">
        <v>4085</v>
      </c>
      <c r="B668" s="15" t="s">
        <v>2076</v>
      </c>
      <c r="C668" s="15" t="s">
        <v>81</v>
      </c>
      <c r="D668" s="15" t="s">
        <v>4089</v>
      </c>
      <c r="E668" s="15" t="s">
        <v>104</v>
      </c>
      <c r="F668" s="15" t="s">
        <v>715</v>
      </c>
      <c r="G668" s="15" t="s">
        <v>2323</v>
      </c>
      <c r="H668" s="16" t="n">
        <v>20</v>
      </c>
      <c r="I668" s="15" t="n">
        <v>28</v>
      </c>
      <c r="J668" s="15" t="s">
        <v>5227</v>
      </c>
      <c r="K668" s="15" t="s">
        <v>5235</v>
      </c>
      <c r="L668" s="15" t="n">
        <v>5</v>
      </c>
      <c r="M668" s="15" t="s">
        <v>5161</v>
      </c>
      <c r="N668" s="18" t="str">
        <f aca="false">IFERROR(IF(ISNUMBER(SEARCH(D668,INDEX(Pages!$J$2:$J$824,MATCH(A668,Pages!$B$2:$B$824,0)))),"Yes","No"),"Page not found")</f>
        <v>Yes</v>
      </c>
      <c r="O668" s="3" t="s">
        <v>5426</v>
      </c>
      <c r="P668" s="3" t="s">
        <v>5483</v>
      </c>
    </row>
  </sheetData>
  <autoFilter ref="A1:P6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P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2"/>
    <col collapsed="false" customWidth="true" hidden="false" outlineLevel="0" max="5" min="5" style="0" width="10"/>
    <col collapsed="false" customWidth="true" hidden="false" outlineLevel="0" max="6" min="6" style="0" width="13"/>
    <col collapsed="false" customWidth="true" hidden="false" outlineLevel="0" max="7" min="7" style="0" width="18"/>
    <col collapsed="false" customWidth="true" hidden="false" outlineLevel="0" max="8" min="8" style="0" width="9"/>
    <col collapsed="false" customWidth="true" hidden="false" outlineLevel="0" max="9" min="9" style="0" width="50"/>
    <col collapsed="false" customWidth="true" hidden="false" outlineLevel="0" max="10" min="10" style="0" width="9"/>
    <col collapsed="false" customWidth="true" hidden="false" outlineLevel="0" max="11" min="11" style="0" width="11"/>
    <col collapsed="false" customWidth="true" hidden="false" outlineLevel="0" max="12" min="12" style="0" width="40"/>
    <col collapsed="false" customWidth="true" hidden="false" outlineLevel="0" max="13" min="13" style="0" width="60"/>
    <col collapsed="false" customWidth="true" hidden="false" outlineLevel="0" max="14" min="14" style="0" width="14"/>
    <col collapsed="false" customWidth="true" hidden="false" outlineLevel="0" max="15" min="15" style="0" width="11"/>
    <col collapsed="false" customWidth="true" hidden="false" outlineLevel="0" max="16" min="16" style="0" width="12"/>
  </cols>
  <sheetData>
    <row r="1" customFormat="false" ht="31.5" hidden="false" customHeight="true" outlineLevel="0" collapsed="false">
      <c r="A1" s="9" t="s">
        <v>5149</v>
      </c>
      <c r="B1" s="9" t="s">
        <v>63</v>
      </c>
      <c r="C1" s="9" t="s">
        <v>101</v>
      </c>
      <c r="D1" s="9" t="s">
        <v>5151</v>
      </c>
      <c r="E1" s="9" t="s">
        <v>5152</v>
      </c>
      <c r="F1" s="9" t="s">
        <v>5153</v>
      </c>
      <c r="G1" s="9" t="s">
        <v>5154</v>
      </c>
      <c r="H1" s="9" t="s">
        <v>5155</v>
      </c>
      <c r="I1" s="9" t="s">
        <v>5500</v>
      </c>
      <c r="J1" s="9" t="s">
        <v>5501</v>
      </c>
      <c r="K1" s="9" t="s">
        <v>5502</v>
      </c>
      <c r="L1" s="9" t="s">
        <v>5158</v>
      </c>
      <c r="M1" s="9" t="s">
        <v>5503</v>
      </c>
      <c r="N1" s="9" t="s">
        <v>5504</v>
      </c>
      <c r="O1" s="9" t="s">
        <v>5505</v>
      </c>
      <c r="P1" s="9" t="s">
        <v>5506</v>
      </c>
    </row>
    <row r="2" customFormat="false" ht="15" hidden="false" customHeight="false" outlineLevel="0" collapsed="false">
      <c r="A2" s="15" t="s">
        <v>269</v>
      </c>
      <c r="B2" s="15" t="s">
        <v>82</v>
      </c>
      <c r="C2" s="15" t="s">
        <v>265</v>
      </c>
      <c r="D2" s="16" t="n">
        <v>74000</v>
      </c>
      <c r="E2" s="15" t="n">
        <v>85</v>
      </c>
      <c r="F2" s="15" t="s">
        <v>5159</v>
      </c>
      <c r="G2" s="15" t="s">
        <v>5160</v>
      </c>
      <c r="H2" s="15" t="n">
        <v>2</v>
      </c>
      <c r="I2" s="15" t="s">
        <v>264</v>
      </c>
      <c r="J2" s="15" t="str">
        <f aca="false">IF(I2="","No","Yes")</f>
        <v>Yes</v>
      </c>
      <c r="K2" s="18" t="str">
        <f aca="false">IF(I2="","",IFERROR(IF(ISNUMBER(SEARCH(A2,INDEX(Pages!$J$2:$J$824,MATCH(I2,Pages!$B$2:$B$824,0)))),"Yes","No"),"Page not found"))</f>
        <v>Yes</v>
      </c>
      <c r="L2" s="3" t="s">
        <v>5162</v>
      </c>
      <c r="M2" s="3" t="s">
        <v>5163</v>
      </c>
      <c r="N2" s="19"/>
      <c r="O2" s="17"/>
      <c r="P2" s="17"/>
    </row>
    <row r="3" customFormat="false" ht="15" hidden="false" customHeight="false" outlineLevel="0" collapsed="false">
      <c r="A3" s="15" t="s">
        <v>374</v>
      </c>
      <c r="B3" s="15" t="s">
        <v>80</v>
      </c>
      <c r="C3" s="15" t="s">
        <v>370</v>
      </c>
      <c r="D3" s="16" t="n">
        <v>40000</v>
      </c>
      <c r="E3" s="15" t="n">
        <v>80</v>
      </c>
      <c r="F3" s="15" t="s">
        <v>5159</v>
      </c>
      <c r="G3" s="15" t="s">
        <v>5173</v>
      </c>
      <c r="H3" s="15" t="n">
        <v>3</v>
      </c>
      <c r="I3" s="15" t="s">
        <v>369</v>
      </c>
      <c r="J3" s="15" t="str">
        <f aca="false">IF(I3="","No","Yes")</f>
        <v>Yes</v>
      </c>
      <c r="K3" s="18" t="str">
        <f aca="false">IF(I3="","",IFERROR(IF(ISNUMBER(SEARCH(A3,INDEX(Pages!$J$2:$J$824,MATCH(I3,Pages!$B$2:$B$824,0)))),"Yes","No"),"Page not found"))</f>
        <v>Yes</v>
      </c>
      <c r="L3" s="3" t="s">
        <v>5174</v>
      </c>
      <c r="M3" s="3" t="s">
        <v>5175</v>
      </c>
      <c r="N3" s="19"/>
      <c r="O3" s="17"/>
      <c r="P3" s="17"/>
    </row>
    <row r="4" customFormat="false" ht="15" hidden="false" customHeight="false" outlineLevel="0" collapsed="false">
      <c r="A4" s="15" t="s">
        <v>5164</v>
      </c>
      <c r="B4" s="15" t="s">
        <v>82</v>
      </c>
      <c r="C4" s="15" t="s">
        <v>265</v>
      </c>
      <c r="D4" s="16" t="n">
        <v>33000</v>
      </c>
      <c r="E4" s="15" t="n">
        <v>82</v>
      </c>
      <c r="F4" s="15" t="s">
        <v>5159</v>
      </c>
      <c r="G4" s="15" t="s">
        <v>5160</v>
      </c>
      <c r="H4" s="15" t="n">
        <v>3</v>
      </c>
      <c r="I4" s="15" t="s">
        <v>264</v>
      </c>
      <c r="J4" s="15" t="str">
        <f aca="false">IF(I4="","No","Yes")</f>
        <v>Yes</v>
      </c>
      <c r="K4" s="18" t="str">
        <f aca="false">IF(I4="","",IFERROR(IF(ISNUMBER(SEARCH(A4,INDEX(Pages!$J$2:$J$824,MATCH(I4,Pages!$B$2:$B$824,0)))),"Yes","No"),"Page not found"))</f>
        <v>No</v>
      </c>
      <c r="L4" s="3" t="s">
        <v>5166</v>
      </c>
      <c r="M4" s="3" t="s">
        <v>5167</v>
      </c>
      <c r="N4" s="19"/>
      <c r="O4" s="17"/>
      <c r="P4" s="17"/>
    </row>
    <row r="5" customFormat="false" ht="23.85" hidden="false" customHeight="false" outlineLevel="0" collapsed="false">
      <c r="A5" s="15" t="s">
        <v>325</v>
      </c>
      <c r="B5" s="15" t="s">
        <v>74</v>
      </c>
      <c r="C5" s="15" t="s">
        <v>321</v>
      </c>
      <c r="D5" s="16" t="n">
        <v>33000</v>
      </c>
      <c r="E5" s="15" t="n">
        <v>85</v>
      </c>
      <c r="F5" s="15" t="s">
        <v>5159</v>
      </c>
      <c r="G5" s="15" t="s">
        <v>5183</v>
      </c>
      <c r="H5" s="15" t="n">
        <v>1</v>
      </c>
      <c r="I5" s="15" t="s">
        <v>320</v>
      </c>
      <c r="J5" s="15" t="str">
        <f aca="false">IF(I5="","No","Yes")</f>
        <v>Yes</v>
      </c>
      <c r="K5" s="18" t="str">
        <f aca="false">IF(I5="","",IFERROR(IF(ISNUMBER(SEARCH(A5,INDEX(Pages!$J$2:$J$824,MATCH(I5,Pages!$B$2:$B$824,0)))),"Yes","No"),"Page not found"))</f>
        <v>Yes</v>
      </c>
      <c r="L5" s="3" t="s">
        <v>5184</v>
      </c>
      <c r="M5" s="3" t="s">
        <v>5185</v>
      </c>
      <c r="N5" s="19"/>
      <c r="O5" s="17"/>
      <c r="P5" s="17"/>
    </row>
    <row r="6" customFormat="false" ht="15" hidden="false" customHeight="false" outlineLevel="0" collapsed="false">
      <c r="A6" s="15" t="s">
        <v>318</v>
      </c>
      <c r="B6" s="15" t="s">
        <v>84</v>
      </c>
      <c r="C6" s="15" t="s">
        <v>314</v>
      </c>
      <c r="D6" s="16" t="n">
        <v>27000</v>
      </c>
      <c r="E6" s="15" t="n">
        <v>82</v>
      </c>
      <c r="F6" s="15" t="s">
        <v>5159</v>
      </c>
      <c r="G6" s="15" t="s">
        <v>5179</v>
      </c>
      <c r="H6" s="15" t="n">
        <v>1</v>
      </c>
      <c r="I6" s="15" t="s">
        <v>313</v>
      </c>
      <c r="J6" s="15" t="str">
        <f aca="false">IF(I6="","No","Yes")</f>
        <v>Yes</v>
      </c>
      <c r="K6" s="18" t="str">
        <f aca="false">IF(I6="","",IFERROR(IF(ISNUMBER(SEARCH(A6,INDEX(Pages!$J$2:$J$824,MATCH(I6,Pages!$B$2:$B$824,0)))),"Yes","No"),"Page not found"))</f>
        <v>Yes</v>
      </c>
      <c r="L6" s="3" t="s">
        <v>5180</v>
      </c>
      <c r="M6" s="3"/>
      <c r="N6" s="19"/>
      <c r="O6" s="17"/>
      <c r="P6" s="17"/>
    </row>
    <row r="7" customFormat="false" ht="15" hidden="false" customHeight="false" outlineLevel="0" collapsed="false">
      <c r="A7" s="15" t="s">
        <v>360</v>
      </c>
      <c r="B7" s="15" t="s">
        <v>86</v>
      </c>
      <c r="C7" s="15" t="s">
        <v>356</v>
      </c>
      <c r="D7" s="16" t="n">
        <v>15000</v>
      </c>
      <c r="E7" s="15" t="n">
        <v>70</v>
      </c>
      <c r="F7" s="15" t="s">
        <v>5159</v>
      </c>
      <c r="G7" s="15" t="s">
        <v>5179</v>
      </c>
      <c r="H7" s="15" t="n">
        <v>1</v>
      </c>
      <c r="I7" s="15" t="s">
        <v>355</v>
      </c>
      <c r="J7" s="15" t="str">
        <f aca="false">IF(I7="","No","Yes")</f>
        <v>Yes</v>
      </c>
      <c r="K7" s="18" t="str">
        <f aca="false">IF(I7="","",IFERROR(IF(ISNUMBER(SEARCH(A7,INDEX(Pages!$J$2:$J$824,MATCH(I7,Pages!$B$2:$B$824,0)))),"Yes","No"),"Page not found"))</f>
        <v>Yes</v>
      </c>
      <c r="L7" s="3" t="s">
        <v>5186</v>
      </c>
      <c r="M7" s="3"/>
      <c r="N7" s="19"/>
      <c r="O7" s="17"/>
      <c r="P7" s="17"/>
    </row>
    <row r="8" customFormat="false" ht="15" hidden="false" customHeight="false" outlineLevel="0" collapsed="false">
      <c r="A8" s="15" t="s">
        <v>5202</v>
      </c>
      <c r="B8" s="15" t="s">
        <v>82</v>
      </c>
      <c r="C8" s="15" t="s">
        <v>265</v>
      </c>
      <c r="D8" s="16" t="n">
        <v>14000</v>
      </c>
      <c r="E8" s="15" t="n">
        <v>78</v>
      </c>
      <c r="F8" s="15" t="s">
        <v>5169</v>
      </c>
      <c r="G8" s="15" t="s">
        <v>5160</v>
      </c>
      <c r="H8" s="15" t="n">
        <v>1</v>
      </c>
      <c r="I8" s="15" t="s">
        <v>5200</v>
      </c>
      <c r="J8" s="15" t="str">
        <f aca="false">IF(I8="","No","Yes")</f>
        <v>Yes</v>
      </c>
      <c r="K8" s="18" t="str">
        <f aca="false">IF(I8="","",IFERROR(IF(ISNUMBER(SEARCH(A8,INDEX(Pages!$J$2:$J$824,MATCH(I8,Pages!$B$2:$B$824,0)))),"Yes","No"),"Page not found"))</f>
        <v>No</v>
      </c>
      <c r="L8" s="3" t="s">
        <v>5203</v>
      </c>
      <c r="M8" s="3" t="s">
        <v>5204</v>
      </c>
      <c r="N8" s="19"/>
      <c r="O8" s="17"/>
      <c r="P8" s="17"/>
    </row>
    <row r="9" customFormat="false" ht="23.85" hidden="false" customHeight="false" outlineLevel="0" collapsed="false">
      <c r="A9" s="15" t="s">
        <v>617</v>
      </c>
      <c r="B9" s="15" t="s">
        <v>88</v>
      </c>
      <c r="C9" s="15" t="s">
        <v>314</v>
      </c>
      <c r="D9" s="16" t="n">
        <v>14000</v>
      </c>
      <c r="E9" s="15" t="n">
        <v>70</v>
      </c>
      <c r="F9" s="15" t="s">
        <v>5159</v>
      </c>
      <c r="G9" s="15" t="s">
        <v>5213</v>
      </c>
      <c r="H9" s="15" t="n">
        <v>4</v>
      </c>
      <c r="I9" s="15" t="s">
        <v>613</v>
      </c>
      <c r="J9" s="15" t="str">
        <f aca="false">IF(I9="","No","Yes")</f>
        <v>Yes</v>
      </c>
      <c r="K9" s="18" t="str">
        <f aca="false">IF(I9="","",IFERROR(IF(ISNUMBER(SEARCH(A9,INDEX(Pages!$J$2:$J$824,MATCH(I9,Pages!$B$2:$B$824,0)))),"Yes","No"),"Page not found"))</f>
        <v>Yes</v>
      </c>
      <c r="L9" s="3" t="s">
        <v>5214</v>
      </c>
      <c r="M9" s="3" t="s">
        <v>5215</v>
      </c>
      <c r="N9" s="19"/>
      <c r="O9" s="17"/>
      <c r="P9" s="17"/>
    </row>
    <row r="10" customFormat="false" ht="23.85" hidden="false" customHeight="false" outlineLevel="0" collapsed="false">
      <c r="A10" s="15" t="s">
        <v>5168</v>
      </c>
      <c r="B10" s="15" t="s">
        <v>82</v>
      </c>
      <c r="C10" s="15" t="s">
        <v>265</v>
      </c>
      <c r="D10" s="16" t="n">
        <v>9900</v>
      </c>
      <c r="E10" s="15" t="n">
        <v>75</v>
      </c>
      <c r="F10" s="15" t="s">
        <v>5169</v>
      </c>
      <c r="G10" s="15" t="s">
        <v>5170</v>
      </c>
      <c r="H10" s="15" t="n">
        <v>2</v>
      </c>
      <c r="I10" s="15" t="s">
        <v>264</v>
      </c>
      <c r="J10" s="15" t="str">
        <f aca="false">IF(I10="","No","Yes")</f>
        <v>Yes</v>
      </c>
      <c r="K10" s="18" t="str">
        <f aca="false">IF(I10="","",IFERROR(IF(ISNUMBER(SEARCH(A10,INDEX(Pages!$J$2:$J$824,MATCH(I10,Pages!$B$2:$B$824,0)))),"Yes","No"),"Page not found"))</f>
        <v>No</v>
      </c>
      <c r="L10" s="3" t="s">
        <v>5171</v>
      </c>
      <c r="M10" s="3" t="s">
        <v>5172</v>
      </c>
      <c r="N10" s="19"/>
      <c r="O10" s="17"/>
      <c r="P10" s="17"/>
    </row>
    <row r="11" customFormat="false" ht="15" hidden="false" customHeight="false" outlineLevel="0" collapsed="false">
      <c r="A11" s="15" t="s">
        <v>5187</v>
      </c>
      <c r="B11" s="15" t="s">
        <v>86</v>
      </c>
      <c r="C11" s="15" t="s">
        <v>356</v>
      </c>
      <c r="D11" s="16" t="n">
        <v>9900</v>
      </c>
      <c r="E11" s="15" t="n">
        <v>65</v>
      </c>
      <c r="F11" s="15" t="s">
        <v>5159</v>
      </c>
      <c r="G11" s="15" t="s">
        <v>5179</v>
      </c>
      <c r="H11" s="15" t="n">
        <v>2</v>
      </c>
      <c r="I11" s="15" t="s">
        <v>355</v>
      </c>
      <c r="J11" s="15" t="str">
        <f aca="false">IF(I11="","No","Yes")</f>
        <v>Yes</v>
      </c>
      <c r="K11" s="18" t="str">
        <f aca="false">IF(I11="","",IFERROR(IF(ISNUMBER(SEARCH(A11,INDEX(Pages!$J$2:$J$824,MATCH(I11,Pages!$B$2:$B$824,0)))),"Yes","No"),"Page not found"))</f>
        <v>No</v>
      </c>
      <c r="L11" s="3" t="s">
        <v>5188</v>
      </c>
      <c r="M11" s="3" t="s">
        <v>5189</v>
      </c>
      <c r="N11" s="19"/>
      <c r="O11" s="17"/>
      <c r="P11" s="17"/>
    </row>
    <row r="12" customFormat="false" ht="23.85" hidden="false" customHeight="false" outlineLevel="0" collapsed="false">
      <c r="A12" s="15" t="s">
        <v>353</v>
      </c>
      <c r="B12" s="15" t="s">
        <v>81</v>
      </c>
      <c r="C12" s="15" t="s">
        <v>349</v>
      </c>
      <c r="D12" s="16" t="n">
        <v>9900</v>
      </c>
      <c r="E12" s="15" t="n">
        <v>55</v>
      </c>
      <c r="F12" s="15" t="s">
        <v>5169</v>
      </c>
      <c r="G12" s="15" t="s">
        <v>5235</v>
      </c>
      <c r="H12" s="15" t="n">
        <v>1</v>
      </c>
      <c r="I12" s="15" t="s">
        <v>348</v>
      </c>
      <c r="J12" s="15" t="str">
        <f aca="false">IF(I12="","No","Yes")</f>
        <v>Yes</v>
      </c>
      <c r="K12" s="18" t="str">
        <f aca="false">IF(I12="","",IFERROR(IF(ISNUMBER(SEARCH(A12,INDEX(Pages!$J$2:$J$824,MATCH(I12,Pages!$B$2:$B$824,0)))),"Yes","No"),"Page not found"))</f>
        <v>Yes</v>
      </c>
      <c r="L12" s="3" t="s">
        <v>5236</v>
      </c>
      <c r="M12" s="3" t="s">
        <v>5237</v>
      </c>
      <c r="N12" s="19"/>
      <c r="O12" s="17"/>
      <c r="P12" s="17"/>
    </row>
    <row r="13" customFormat="false" ht="15" hidden="false" customHeight="false" outlineLevel="0" collapsed="false">
      <c r="A13" s="15" t="s">
        <v>262</v>
      </c>
      <c r="B13" s="15" t="s">
        <v>89</v>
      </c>
      <c r="C13" s="15" t="s">
        <v>258</v>
      </c>
      <c r="D13" s="16" t="n">
        <v>8100</v>
      </c>
      <c r="E13" s="15" t="n">
        <v>70</v>
      </c>
      <c r="F13" s="15" t="s">
        <v>5159</v>
      </c>
      <c r="G13" s="15" t="s">
        <v>5193</v>
      </c>
      <c r="H13" s="15" t="n">
        <v>1</v>
      </c>
      <c r="I13" s="15" t="s">
        <v>256</v>
      </c>
      <c r="J13" s="15" t="str">
        <f aca="false">IF(I13="","No","Yes")</f>
        <v>Yes</v>
      </c>
      <c r="K13" s="18" t="str">
        <f aca="false">IF(I13="","",IFERROR(IF(ISNUMBER(SEARCH(A13,INDEX(Pages!$J$2:$J$824,MATCH(I13,Pages!$B$2:$B$824,0)))),"Yes","No"),"Page not found"))</f>
        <v>Yes</v>
      </c>
      <c r="L13" s="3" t="s">
        <v>5194</v>
      </c>
      <c r="M13" s="3"/>
      <c r="N13" s="19"/>
      <c r="O13" s="17"/>
      <c r="P13" s="17"/>
    </row>
    <row r="14" customFormat="false" ht="15" hidden="false" customHeight="false" outlineLevel="0" collapsed="false">
      <c r="A14" s="15" t="s">
        <v>311</v>
      </c>
      <c r="B14" s="15" t="s">
        <v>78</v>
      </c>
      <c r="C14" s="15" t="s">
        <v>307</v>
      </c>
      <c r="D14" s="16" t="n">
        <v>8100</v>
      </c>
      <c r="E14" s="15" t="n">
        <v>65</v>
      </c>
      <c r="F14" s="15" t="s">
        <v>5159</v>
      </c>
      <c r="G14" s="15" t="s">
        <v>5216</v>
      </c>
      <c r="H14" s="15" t="n">
        <v>2</v>
      </c>
      <c r="I14" s="15" t="s">
        <v>306</v>
      </c>
      <c r="J14" s="15" t="str">
        <f aca="false">IF(I14="","No","Yes")</f>
        <v>Yes</v>
      </c>
      <c r="K14" s="18" t="str">
        <f aca="false">IF(I14="","",IFERROR(IF(ISNUMBER(SEARCH(A14,INDEX(Pages!$J$2:$J$824,MATCH(I14,Pages!$B$2:$B$824,0)))),"Yes","No"),"Page not found"))</f>
        <v>Yes</v>
      </c>
      <c r="L14" s="3" t="s">
        <v>5217</v>
      </c>
      <c r="M14" s="3" t="s">
        <v>5218</v>
      </c>
      <c r="N14" s="19"/>
      <c r="O14" s="17"/>
      <c r="P14" s="17"/>
    </row>
    <row r="15" customFormat="false" ht="15" hidden="false" customHeight="false" outlineLevel="0" collapsed="false">
      <c r="A15" s="15" t="s">
        <v>5181</v>
      </c>
      <c r="B15" s="15" t="s">
        <v>84</v>
      </c>
      <c r="C15" s="15" t="s">
        <v>314</v>
      </c>
      <c r="D15" s="16" t="n">
        <v>8100</v>
      </c>
      <c r="E15" s="15" t="n">
        <v>75</v>
      </c>
      <c r="F15" s="15" t="s">
        <v>5159</v>
      </c>
      <c r="G15" s="15" t="s">
        <v>5179</v>
      </c>
      <c r="H15" s="15" t="n">
        <v>2</v>
      </c>
      <c r="I15" s="15" t="s">
        <v>313</v>
      </c>
      <c r="J15" s="15" t="str">
        <f aca="false">IF(I15="","No","Yes")</f>
        <v>Yes</v>
      </c>
      <c r="K15" s="18" t="str">
        <f aca="false">IF(I15="","",IFERROR(IF(ISNUMBER(SEARCH(A15,INDEX(Pages!$J$2:$J$824,MATCH(I15,Pages!$B$2:$B$824,0)))),"Yes","No"),"Page not found"))</f>
        <v>No</v>
      </c>
      <c r="L15" s="3" t="s">
        <v>5182</v>
      </c>
      <c r="M15" s="3"/>
      <c r="N15" s="19"/>
      <c r="O15" s="17"/>
      <c r="P15" s="17"/>
    </row>
    <row r="16" customFormat="false" ht="15" hidden="false" customHeight="false" outlineLevel="0" collapsed="false">
      <c r="A16" s="15" t="s">
        <v>276</v>
      </c>
      <c r="B16" s="15" t="s">
        <v>85</v>
      </c>
      <c r="C16" s="15" t="s">
        <v>272</v>
      </c>
      <c r="D16" s="16" t="n">
        <v>6600</v>
      </c>
      <c r="E16" s="15" t="n">
        <v>65</v>
      </c>
      <c r="F16" s="15" t="s">
        <v>5159</v>
      </c>
      <c r="G16" s="15" t="s">
        <v>5179</v>
      </c>
      <c r="H16" s="15" t="n">
        <v>1</v>
      </c>
      <c r="I16" s="15" t="s">
        <v>271</v>
      </c>
      <c r="J16" s="15" t="str">
        <f aca="false">IF(I16="","No","Yes")</f>
        <v>Yes</v>
      </c>
      <c r="K16" s="18" t="str">
        <f aca="false">IF(I16="","",IFERROR(IF(ISNUMBER(SEARCH(A16,INDEX(Pages!$J$2:$J$824,MATCH(I16,Pages!$B$2:$B$824,0)))),"Yes","No"),"Page not found"))</f>
        <v>Yes</v>
      </c>
      <c r="L16" s="3" t="s">
        <v>5258</v>
      </c>
      <c r="M16" s="3"/>
      <c r="N16" s="19"/>
      <c r="O16" s="17"/>
      <c r="P16" s="17"/>
    </row>
    <row r="17" customFormat="false" ht="15" hidden="false" customHeight="false" outlineLevel="0" collapsed="false">
      <c r="A17" s="15" t="s">
        <v>290</v>
      </c>
      <c r="B17" s="15" t="s">
        <v>76</v>
      </c>
      <c r="C17" s="15" t="s">
        <v>286</v>
      </c>
      <c r="D17" s="16" t="n">
        <v>6600</v>
      </c>
      <c r="E17" s="15" t="n">
        <v>65</v>
      </c>
      <c r="F17" s="15" t="s">
        <v>5159</v>
      </c>
      <c r="G17" s="15" t="s">
        <v>5254</v>
      </c>
      <c r="H17" s="15" t="n">
        <v>1</v>
      </c>
      <c r="I17" s="15" t="s">
        <v>285</v>
      </c>
      <c r="J17" s="15" t="str">
        <f aca="false">IF(I17="","No","Yes")</f>
        <v>Yes</v>
      </c>
      <c r="K17" s="18" t="str">
        <f aca="false">IF(I17="","",IFERROR(IF(ISNUMBER(SEARCH(A17,INDEX(Pages!$J$2:$J$824,MATCH(I17,Pages!$B$2:$B$824,0)))),"Yes","No"),"Page not found"))</f>
        <v>Yes</v>
      </c>
      <c r="L17" s="3" t="s">
        <v>5255</v>
      </c>
      <c r="M17" s="3"/>
      <c r="N17" s="19"/>
      <c r="O17" s="17"/>
      <c r="P17" s="17"/>
    </row>
    <row r="18" customFormat="false" ht="15" hidden="false" customHeight="false" outlineLevel="0" collapsed="false">
      <c r="A18" s="15" t="s">
        <v>5249</v>
      </c>
      <c r="B18" s="15" t="s">
        <v>84</v>
      </c>
      <c r="C18" s="15" t="s">
        <v>314</v>
      </c>
      <c r="D18" s="16" t="n">
        <v>6600</v>
      </c>
      <c r="E18" s="15" t="n">
        <v>75</v>
      </c>
      <c r="F18" s="15" t="s">
        <v>5169</v>
      </c>
      <c r="G18" s="15" t="s">
        <v>5179</v>
      </c>
      <c r="H18" s="15" t="n">
        <v>1</v>
      </c>
      <c r="I18" s="15" t="s">
        <v>5248</v>
      </c>
      <c r="J18" s="15" t="str">
        <f aca="false">IF(I18="","No","Yes")</f>
        <v>Yes</v>
      </c>
      <c r="K18" s="18" t="str">
        <f aca="false">IF(I18="","",IFERROR(IF(ISNUMBER(SEARCH(A18,INDEX(Pages!$J$2:$J$824,MATCH(I18,Pages!$B$2:$B$824,0)))),"Yes","No"),"Page not found"))</f>
        <v>No</v>
      </c>
      <c r="L18" s="3" t="s">
        <v>5250</v>
      </c>
      <c r="M18" s="3"/>
      <c r="N18" s="19"/>
      <c r="O18" s="17"/>
      <c r="P18" s="17"/>
    </row>
    <row r="19" customFormat="false" ht="23.85" hidden="false" customHeight="false" outlineLevel="0" collapsed="false">
      <c r="A19" s="15" t="s">
        <v>146</v>
      </c>
      <c r="B19" s="15" t="s">
        <v>93</v>
      </c>
      <c r="C19" s="15"/>
      <c r="D19" s="16" t="n">
        <v>6600</v>
      </c>
      <c r="E19" s="15" t="n">
        <v>60</v>
      </c>
      <c r="F19" s="15" t="s">
        <v>5227</v>
      </c>
      <c r="G19" s="15" t="s">
        <v>5243</v>
      </c>
      <c r="H19" s="15" t="n">
        <v>2</v>
      </c>
      <c r="I19" s="15" t="s">
        <v>142</v>
      </c>
      <c r="J19" s="15" t="str">
        <f aca="false">IF(I19="","No","Yes")</f>
        <v>Yes</v>
      </c>
      <c r="K19" s="18" t="str">
        <f aca="false">IF(I19="","",IFERROR(IF(ISNUMBER(SEARCH(A19,INDEX(Pages!$J$2:$J$824,MATCH(I19,Pages!$B$2:$B$824,0)))),"Yes","No"),"Page not found"))</f>
        <v>No</v>
      </c>
      <c r="L19" s="3" t="s">
        <v>5244</v>
      </c>
      <c r="M19" s="3" t="s">
        <v>5245</v>
      </c>
      <c r="N19" s="19"/>
      <c r="O19" s="17"/>
      <c r="P19" s="17"/>
    </row>
    <row r="20" customFormat="false" ht="15" hidden="false" customHeight="false" outlineLevel="0" collapsed="false">
      <c r="A20" s="15" t="s">
        <v>244</v>
      </c>
      <c r="B20" s="15" t="s">
        <v>93</v>
      </c>
      <c r="C20" s="15"/>
      <c r="D20" s="16" t="n">
        <v>6600</v>
      </c>
      <c r="E20" s="15" t="n">
        <v>75</v>
      </c>
      <c r="F20" s="15" t="s">
        <v>5169</v>
      </c>
      <c r="G20" s="15" t="s">
        <v>5263</v>
      </c>
      <c r="H20" s="15" t="n">
        <v>1</v>
      </c>
      <c r="I20" s="15" t="s">
        <v>240</v>
      </c>
      <c r="J20" s="15" t="str">
        <f aca="false">IF(I20="","No","Yes")</f>
        <v>Yes</v>
      </c>
      <c r="K20" s="18" t="str">
        <f aca="false">IF(I20="","",IFERROR(IF(ISNUMBER(SEARCH(A20,INDEX(Pages!$J$2:$J$824,MATCH(I20,Pages!$B$2:$B$824,0)))),"Yes","No"),"Page not found"))</f>
        <v>No</v>
      </c>
      <c r="L20" s="3" t="s">
        <v>5264</v>
      </c>
      <c r="M20" s="3"/>
      <c r="N20" s="19"/>
      <c r="O20" s="17"/>
      <c r="P20" s="17"/>
    </row>
    <row r="21" customFormat="false" ht="15" hidden="false" customHeight="false" outlineLevel="0" collapsed="false">
      <c r="A21" s="15" t="s">
        <v>367</v>
      </c>
      <c r="B21" s="15" t="s">
        <v>74</v>
      </c>
      <c r="C21" s="15" t="s">
        <v>363</v>
      </c>
      <c r="D21" s="16" t="n">
        <v>6600</v>
      </c>
      <c r="E21" s="15" t="n">
        <v>70</v>
      </c>
      <c r="F21" s="15" t="s">
        <v>5159</v>
      </c>
      <c r="G21" s="15" t="s">
        <v>5183</v>
      </c>
      <c r="H21" s="15" t="n">
        <v>1</v>
      </c>
      <c r="I21" s="15" t="s">
        <v>362</v>
      </c>
      <c r="J21" s="15" t="str">
        <f aca="false">IF(I21="","No","Yes")</f>
        <v>Yes</v>
      </c>
      <c r="K21" s="18" t="str">
        <f aca="false">IF(I21="","",IFERROR(IF(ISNUMBER(SEARCH(A21,INDEX(Pages!$J$2:$J$824,MATCH(I21,Pages!$B$2:$B$824,0)))),"Yes","No"),"Page not found"))</f>
        <v>Yes</v>
      </c>
      <c r="L21" s="3" t="s">
        <v>5238</v>
      </c>
      <c r="M21" s="3"/>
      <c r="N21" s="19"/>
      <c r="O21" s="17"/>
      <c r="P21" s="17"/>
    </row>
    <row r="22" customFormat="false" ht="15" hidden="false" customHeight="false" outlineLevel="0" collapsed="false">
      <c r="A22" s="15" t="s">
        <v>5195</v>
      </c>
      <c r="B22" s="15" t="s">
        <v>89</v>
      </c>
      <c r="C22" s="15" t="s">
        <v>258</v>
      </c>
      <c r="D22" s="16" t="n">
        <v>5400</v>
      </c>
      <c r="E22" s="15" t="n">
        <v>65</v>
      </c>
      <c r="F22" s="15" t="s">
        <v>5159</v>
      </c>
      <c r="G22" s="15" t="s">
        <v>5193</v>
      </c>
      <c r="H22" s="15" t="n">
        <v>3</v>
      </c>
      <c r="I22" s="15" t="s">
        <v>256</v>
      </c>
      <c r="J22" s="15" t="str">
        <f aca="false">IF(I22="","No","Yes")</f>
        <v>Yes</v>
      </c>
      <c r="K22" s="18" t="str">
        <f aca="false">IF(I22="","",IFERROR(IF(ISNUMBER(SEARCH(A22,INDEX(Pages!$J$2:$J$824,MATCH(I22,Pages!$B$2:$B$824,0)))),"Yes","No"),"Page not found"))</f>
        <v>No</v>
      </c>
      <c r="L22" s="3" t="s">
        <v>5182</v>
      </c>
      <c r="M22" s="3"/>
      <c r="N22" s="19"/>
      <c r="O22" s="17"/>
      <c r="P22" s="17"/>
    </row>
    <row r="23" customFormat="false" ht="23.85" hidden="false" customHeight="false" outlineLevel="0" collapsed="false">
      <c r="A23" s="15" t="s">
        <v>611</v>
      </c>
      <c r="B23" s="15" t="s">
        <v>83</v>
      </c>
      <c r="C23" s="15" t="s">
        <v>265</v>
      </c>
      <c r="D23" s="16" t="n">
        <v>5400</v>
      </c>
      <c r="E23" s="15" t="n">
        <v>60</v>
      </c>
      <c r="F23" s="15" t="s">
        <v>5159</v>
      </c>
      <c r="G23" s="15" t="s">
        <v>5276</v>
      </c>
      <c r="H23" s="15" t="n">
        <v>3</v>
      </c>
      <c r="I23" s="15" t="s">
        <v>607</v>
      </c>
      <c r="J23" s="15" t="str">
        <f aca="false">IF(I23="","No","Yes")</f>
        <v>Yes</v>
      </c>
      <c r="K23" s="18" t="str">
        <f aca="false">IF(I23="","",IFERROR(IF(ISNUMBER(SEARCH(A23,INDEX(Pages!$J$2:$J$824,MATCH(I23,Pages!$B$2:$B$824,0)))),"Yes","No"),"Page not found"))</f>
        <v>Yes</v>
      </c>
      <c r="L23" s="3" t="s">
        <v>5277</v>
      </c>
      <c r="M23" s="3" t="s">
        <v>5278</v>
      </c>
      <c r="N23" s="19"/>
      <c r="O23" s="17"/>
      <c r="P23" s="17"/>
    </row>
    <row r="24" customFormat="false" ht="15" hidden="false" customHeight="false" outlineLevel="0" collapsed="false">
      <c r="A24" s="15" t="s">
        <v>381</v>
      </c>
      <c r="B24" s="15" t="s">
        <v>74</v>
      </c>
      <c r="C24" s="15" t="s">
        <v>377</v>
      </c>
      <c r="D24" s="16" t="n">
        <v>5400</v>
      </c>
      <c r="E24" s="15" t="n">
        <v>70</v>
      </c>
      <c r="F24" s="15" t="s">
        <v>5159</v>
      </c>
      <c r="G24" s="15" t="s">
        <v>5183</v>
      </c>
      <c r="H24" s="15" t="n">
        <v>1</v>
      </c>
      <c r="I24" s="15" t="s">
        <v>376</v>
      </c>
      <c r="J24" s="15" t="str">
        <f aca="false">IF(I24="","No","Yes")</f>
        <v>Yes</v>
      </c>
      <c r="K24" s="18" t="str">
        <f aca="false">IF(I24="","",IFERROR(IF(ISNUMBER(SEARCH(A24,INDEX(Pages!$J$2:$J$824,MATCH(I24,Pages!$B$2:$B$824,0)))),"Yes","No"),"Page not found"))</f>
        <v>Yes</v>
      </c>
      <c r="L24" s="3" t="s">
        <v>5279</v>
      </c>
      <c r="M24" s="3"/>
      <c r="N24" s="19"/>
      <c r="O24" s="17"/>
      <c r="P24" s="17"/>
    </row>
    <row r="25" customFormat="false" ht="15" hidden="false" customHeight="false" outlineLevel="0" collapsed="false">
      <c r="A25" s="15" t="s">
        <v>297</v>
      </c>
      <c r="B25" s="15" t="s">
        <v>77</v>
      </c>
      <c r="C25" s="15" t="s">
        <v>293</v>
      </c>
      <c r="D25" s="16" t="n">
        <v>4400</v>
      </c>
      <c r="E25" s="15" t="n">
        <v>60</v>
      </c>
      <c r="F25" s="15" t="s">
        <v>5159</v>
      </c>
      <c r="G25" s="15" t="s">
        <v>5254</v>
      </c>
      <c r="H25" s="15" t="n">
        <v>1</v>
      </c>
      <c r="I25" s="15" t="s">
        <v>292</v>
      </c>
      <c r="J25" s="15" t="str">
        <f aca="false">IF(I25="","No","Yes")</f>
        <v>Yes</v>
      </c>
      <c r="K25" s="18" t="str">
        <f aca="false">IF(I25="","",IFERROR(IF(ISNUMBER(SEARCH(A25,INDEX(Pages!$J$2:$J$824,MATCH(I25,Pages!$B$2:$B$824,0)))),"Yes","No"),"Page not found"))</f>
        <v>Yes</v>
      </c>
      <c r="L25" s="3" t="s">
        <v>5260</v>
      </c>
      <c r="M25" s="3"/>
      <c r="N25" s="19"/>
      <c r="O25" s="17"/>
      <c r="P25" s="17"/>
    </row>
    <row r="26" customFormat="false" ht="15" hidden="false" customHeight="false" outlineLevel="0" collapsed="false">
      <c r="A26" s="15" t="s">
        <v>5301</v>
      </c>
      <c r="B26" s="15" t="s">
        <v>74</v>
      </c>
      <c r="C26" s="15" t="s">
        <v>321</v>
      </c>
      <c r="D26" s="16" t="n">
        <v>4400</v>
      </c>
      <c r="E26" s="15" t="n">
        <v>70</v>
      </c>
      <c r="F26" s="15" t="s">
        <v>5169</v>
      </c>
      <c r="G26" s="15" t="s">
        <v>5183</v>
      </c>
      <c r="H26" s="15" t="n">
        <v>1</v>
      </c>
      <c r="I26" s="15" t="s">
        <v>5300</v>
      </c>
      <c r="J26" s="15" t="str">
        <f aca="false">IF(I26="","No","Yes")</f>
        <v>Yes</v>
      </c>
      <c r="K26" s="18" t="str">
        <f aca="false">IF(I26="","",IFERROR(IF(ISNUMBER(SEARCH(A26,INDEX(Pages!$J$2:$J$824,MATCH(I26,Pages!$B$2:$B$824,0)))),"Yes","No"),"Page not found"))</f>
        <v>No</v>
      </c>
      <c r="L26" s="3" t="s">
        <v>5302</v>
      </c>
      <c r="M26" s="3" t="s">
        <v>5303</v>
      </c>
      <c r="N26" s="19"/>
      <c r="O26" s="17"/>
      <c r="P26" s="17"/>
    </row>
    <row r="27" customFormat="false" ht="15" hidden="false" customHeight="false" outlineLevel="0" collapsed="false">
      <c r="A27" s="15" t="s">
        <v>647</v>
      </c>
      <c r="B27" s="15" t="s">
        <v>81</v>
      </c>
      <c r="C27" s="15" t="s">
        <v>370</v>
      </c>
      <c r="D27" s="16" t="n">
        <v>4400</v>
      </c>
      <c r="E27" s="15" t="n">
        <v>55</v>
      </c>
      <c r="F27" s="15" t="s">
        <v>5169</v>
      </c>
      <c r="G27" s="15" t="s">
        <v>5235</v>
      </c>
      <c r="H27" s="15" t="n">
        <v>2</v>
      </c>
      <c r="I27" s="15" t="s">
        <v>643</v>
      </c>
      <c r="J27" s="15" t="str">
        <f aca="false">IF(I27="","No","Yes")</f>
        <v>Yes</v>
      </c>
      <c r="K27" s="18" t="str">
        <f aca="false">IF(I27="","",IFERROR(IF(ISNUMBER(SEARCH(A27,INDEX(Pages!$J$2:$J$824,MATCH(I27,Pages!$B$2:$B$824,0)))),"Yes","No"),"Page not found"))</f>
        <v>No</v>
      </c>
      <c r="L27" s="3" t="s">
        <v>5304</v>
      </c>
      <c r="M27" s="3" t="s">
        <v>5305</v>
      </c>
      <c r="N27" s="19"/>
      <c r="O27" s="17"/>
      <c r="P27" s="17"/>
    </row>
    <row r="28" customFormat="false" ht="23.85" hidden="false" customHeight="false" outlineLevel="0" collapsed="false">
      <c r="A28" s="15" t="s">
        <v>215</v>
      </c>
      <c r="B28" s="15" t="s">
        <v>82</v>
      </c>
      <c r="C28" s="15" t="s">
        <v>265</v>
      </c>
      <c r="D28" s="16" t="n">
        <v>2900</v>
      </c>
      <c r="E28" s="15" t="n">
        <v>55</v>
      </c>
      <c r="F28" s="15" t="s">
        <v>5177</v>
      </c>
      <c r="G28" s="15" t="s">
        <v>5170</v>
      </c>
      <c r="H28" s="15" t="n">
        <v>1</v>
      </c>
      <c r="I28" s="15" t="s">
        <v>210</v>
      </c>
      <c r="J28" s="15" t="str">
        <f aca="false">IF(I28="","No","Yes")</f>
        <v>Yes</v>
      </c>
      <c r="K28" s="18" t="str">
        <f aca="false">IF(I28="","",IFERROR(IF(ISNUMBER(SEARCH(A28,INDEX(Pages!$J$2:$J$824,MATCH(I28,Pages!$B$2:$B$824,0)))),"Yes","No"),"Page not found"))</f>
        <v>No</v>
      </c>
      <c r="L28" s="3" t="s">
        <v>5280</v>
      </c>
      <c r="M28" s="3" t="s">
        <v>5281</v>
      </c>
      <c r="N28" s="19"/>
      <c r="O28" s="17"/>
      <c r="P28" s="17"/>
    </row>
    <row r="29" customFormat="false" ht="23.85" hidden="false" customHeight="false" outlineLevel="0" collapsed="false">
      <c r="A29" s="15" t="s">
        <v>395</v>
      </c>
      <c r="B29" s="15" t="s">
        <v>83</v>
      </c>
      <c r="C29" s="15" t="s">
        <v>314</v>
      </c>
      <c r="D29" s="16" t="n">
        <v>2900</v>
      </c>
      <c r="E29" s="15" t="n">
        <v>50</v>
      </c>
      <c r="F29" s="15" t="s">
        <v>5159</v>
      </c>
      <c r="G29" s="15" t="s">
        <v>5276</v>
      </c>
      <c r="H29" s="15" t="n">
        <v>4</v>
      </c>
      <c r="I29" s="15" t="s">
        <v>391</v>
      </c>
      <c r="J29" s="15" t="str">
        <f aca="false">IF(I29="","No","Yes")</f>
        <v>Yes</v>
      </c>
      <c r="K29" s="18" t="str">
        <f aca="false">IF(I29="","",IFERROR(IF(ISNUMBER(SEARCH(A29,INDEX(Pages!$J$2:$J$824,MATCH(I29,Pages!$B$2:$B$824,0)))),"Yes","No"),"Page not found"))</f>
        <v>Yes</v>
      </c>
      <c r="L29" s="3" t="s">
        <v>5337</v>
      </c>
      <c r="M29" s="3" t="s">
        <v>5338</v>
      </c>
      <c r="N29" s="19"/>
      <c r="O29" s="17"/>
      <c r="P29" s="17"/>
    </row>
    <row r="30" customFormat="false" ht="15" hidden="false" customHeight="false" outlineLevel="0" collapsed="false">
      <c r="A30" s="15" t="s">
        <v>5261</v>
      </c>
      <c r="B30" s="15" t="s">
        <v>77</v>
      </c>
      <c r="C30" s="15" t="s">
        <v>293</v>
      </c>
      <c r="D30" s="16" t="n">
        <v>2900</v>
      </c>
      <c r="E30" s="15" t="n">
        <v>55</v>
      </c>
      <c r="F30" s="15" t="s">
        <v>5177</v>
      </c>
      <c r="G30" s="15" t="s">
        <v>5254</v>
      </c>
      <c r="H30" s="15" t="n">
        <v>3</v>
      </c>
      <c r="I30" s="15" t="s">
        <v>292</v>
      </c>
      <c r="J30" s="15" t="str">
        <f aca="false">IF(I30="","No","Yes")</f>
        <v>Yes</v>
      </c>
      <c r="K30" s="18" t="str">
        <f aca="false">IF(I30="","",IFERROR(IF(ISNUMBER(SEARCH(A30,INDEX(Pages!$J$2:$J$824,MATCH(I30,Pages!$B$2:$B$824,0)))),"Yes","No"),"Page not found"))</f>
        <v>No</v>
      </c>
      <c r="L30" s="3" t="s">
        <v>5224</v>
      </c>
      <c r="M30" s="3" t="s">
        <v>5262</v>
      </c>
      <c r="N30" s="19"/>
      <c r="O30" s="17"/>
      <c r="P30" s="17"/>
    </row>
    <row r="31" customFormat="false" ht="15" hidden="false" customHeight="false" outlineLevel="0" collapsed="false">
      <c r="A31" s="15" t="s">
        <v>5219</v>
      </c>
      <c r="B31" s="15" t="s">
        <v>78</v>
      </c>
      <c r="C31" s="15" t="s">
        <v>307</v>
      </c>
      <c r="D31" s="16" t="n">
        <v>2900</v>
      </c>
      <c r="E31" s="15" t="n">
        <v>60</v>
      </c>
      <c r="F31" s="15" t="s">
        <v>5159</v>
      </c>
      <c r="G31" s="15" t="s">
        <v>5216</v>
      </c>
      <c r="H31" s="15" t="n">
        <v>2</v>
      </c>
      <c r="I31" s="15" t="s">
        <v>306</v>
      </c>
      <c r="J31" s="15" t="str">
        <f aca="false">IF(I31="","No","Yes")</f>
        <v>Yes</v>
      </c>
      <c r="K31" s="18" t="str">
        <f aca="false">IF(I31="","",IFERROR(IF(ISNUMBER(SEARCH(A31,INDEX(Pages!$J$2:$J$824,MATCH(I31,Pages!$B$2:$B$824,0)))),"Yes","No"),"Page not found"))</f>
        <v>No</v>
      </c>
      <c r="L31" s="3" t="s">
        <v>5220</v>
      </c>
      <c r="M31" s="3"/>
      <c r="N31" s="19"/>
      <c r="O31" s="17"/>
      <c r="P31" s="17"/>
    </row>
    <row r="32" customFormat="false" ht="15" hidden="false" customHeight="false" outlineLevel="0" collapsed="false">
      <c r="A32" s="15" t="s">
        <v>5196</v>
      </c>
      <c r="B32" s="15" t="s">
        <v>89</v>
      </c>
      <c r="C32" s="15" t="s">
        <v>258</v>
      </c>
      <c r="D32" s="16" t="n">
        <v>2900</v>
      </c>
      <c r="E32" s="15" t="n">
        <v>60</v>
      </c>
      <c r="F32" s="15" t="s">
        <v>5159</v>
      </c>
      <c r="G32" s="15" t="s">
        <v>5193</v>
      </c>
      <c r="H32" s="15" t="n">
        <v>1</v>
      </c>
      <c r="I32" s="15" t="s">
        <v>256</v>
      </c>
      <c r="J32" s="15" t="str">
        <f aca="false">IF(I32="","No","Yes")</f>
        <v>Yes</v>
      </c>
      <c r="K32" s="18" t="str">
        <f aca="false">IF(I32="","",IFERROR(IF(ISNUMBER(SEARCH(A32,INDEX(Pages!$J$2:$J$824,MATCH(I32,Pages!$B$2:$B$824,0)))),"Yes","No"),"Page not found"))</f>
        <v>Yes</v>
      </c>
      <c r="L32" s="3" t="s">
        <v>5197</v>
      </c>
      <c r="M32" s="3"/>
      <c r="N32" s="19"/>
      <c r="O32" s="17"/>
      <c r="P32" s="17"/>
    </row>
    <row r="33" customFormat="false" ht="15" hidden="false" customHeight="false" outlineLevel="0" collapsed="false">
      <c r="A33" s="15" t="s">
        <v>5507</v>
      </c>
      <c r="B33" s="15" t="s">
        <v>74</v>
      </c>
      <c r="C33" s="15" t="s">
        <v>321</v>
      </c>
      <c r="D33" s="16" t="n">
        <v>2400</v>
      </c>
      <c r="E33" s="15" t="n">
        <v>65</v>
      </c>
      <c r="F33" s="15" t="s">
        <v>5159</v>
      </c>
      <c r="G33" s="15" t="s">
        <v>5508</v>
      </c>
      <c r="H33" s="15" t="n">
        <v>2</v>
      </c>
      <c r="I33" s="15"/>
      <c r="J33" s="15" t="str">
        <f aca="false">IF(I33="","No","Yes")</f>
        <v>No</v>
      </c>
      <c r="K33" s="18" t="str">
        <f aca="false">IF(I33="","",IFERROR(IF(ISNUMBER(SEARCH(A33,INDEX(Pages!$J$2:$J$824,MATCH(I33,Pages!$B$2:$B$824,0)))),"Yes","No"),"Page not found"))</f>
        <v/>
      </c>
      <c r="L33" s="3" t="s">
        <v>5509</v>
      </c>
      <c r="M33" s="3" t="s">
        <v>5510</v>
      </c>
      <c r="N33" s="19"/>
      <c r="O33" s="17"/>
      <c r="P33" s="17"/>
    </row>
    <row r="34" customFormat="false" ht="23.85" hidden="false" customHeight="false" outlineLevel="0" collapsed="false">
      <c r="A34" s="15" t="s">
        <v>5205</v>
      </c>
      <c r="B34" s="15" t="s">
        <v>82</v>
      </c>
      <c r="C34" s="15" t="s">
        <v>265</v>
      </c>
      <c r="D34" s="16" t="n">
        <v>2400</v>
      </c>
      <c r="E34" s="15" t="n">
        <v>55</v>
      </c>
      <c r="F34" s="15" t="s">
        <v>5169</v>
      </c>
      <c r="G34" s="15" t="s">
        <v>5206</v>
      </c>
      <c r="H34" s="15" t="n">
        <v>2</v>
      </c>
      <c r="I34" s="15" t="s">
        <v>5200</v>
      </c>
      <c r="J34" s="15" t="str">
        <f aca="false">IF(I34="","No","Yes")</f>
        <v>Yes</v>
      </c>
      <c r="K34" s="18" t="str">
        <f aca="false">IF(I34="","",IFERROR(IF(ISNUMBER(SEARCH(A34,INDEX(Pages!$J$2:$J$824,MATCH(I34,Pages!$B$2:$B$824,0)))),"Yes","No"),"Page not found"))</f>
        <v>No</v>
      </c>
      <c r="L34" s="3" t="s">
        <v>5207</v>
      </c>
      <c r="M34" s="3" t="s">
        <v>5208</v>
      </c>
      <c r="N34" s="19"/>
      <c r="O34" s="17"/>
      <c r="P34" s="17"/>
    </row>
    <row r="35" customFormat="false" ht="15" hidden="false" customHeight="false" outlineLevel="0" collapsed="false">
      <c r="A35" s="15" t="s">
        <v>5198</v>
      </c>
      <c r="B35" s="15" t="s">
        <v>89</v>
      </c>
      <c r="C35" s="15" t="s">
        <v>258</v>
      </c>
      <c r="D35" s="16" t="n">
        <v>2400</v>
      </c>
      <c r="E35" s="15" t="n">
        <v>55</v>
      </c>
      <c r="F35" s="15" t="s">
        <v>5159</v>
      </c>
      <c r="G35" s="15" t="s">
        <v>5193</v>
      </c>
      <c r="H35" s="15" t="n">
        <v>2</v>
      </c>
      <c r="I35" s="15" t="s">
        <v>256</v>
      </c>
      <c r="J35" s="15" t="str">
        <f aca="false">IF(I35="","No","Yes")</f>
        <v>Yes</v>
      </c>
      <c r="K35" s="18" t="str">
        <f aca="false">IF(I35="","",IFERROR(IF(ISNUMBER(SEARCH(A35,INDEX(Pages!$J$2:$J$824,MATCH(I35,Pages!$B$2:$B$824,0)))),"Yes","No"),"Page not found"))</f>
        <v>No</v>
      </c>
      <c r="L35" s="3" t="s">
        <v>5199</v>
      </c>
      <c r="M35" s="3"/>
      <c r="N35" s="19"/>
      <c r="O35" s="17"/>
      <c r="P35" s="17"/>
    </row>
    <row r="36" customFormat="false" ht="15" hidden="false" customHeight="false" outlineLevel="0" collapsed="false">
      <c r="A36" s="15" t="s">
        <v>5221</v>
      </c>
      <c r="B36" s="15" t="s">
        <v>78</v>
      </c>
      <c r="C36" s="15" t="s">
        <v>307</v>
      </c>
      <c r="D36" s="16" t="n">
        <v>2400</v>
      </c>
      <c r="E36" s="15" t="n">
        <v>55</v>
      </c>
      <c r="F36" s="15" t="s">
        <v>5159</v>
      </c>
      <c r="G36" s="15" t="s">
        <v>5216</v>
      </c>
      <c r="H36" s="15" t="n">
        <v>1</v>
      </c>
      <c r="I36" s="15" t="s">
        <v>306</v>
      </c>
      <c r="J36" s="15" t="str">
        <f aca="false">IF(I36="","No","Yes")</f>
        <v>Yes</v>
      </c>
      <c r="K36" s="18" t="str">
        <f aca="false">IF(I36="","",IFERROR(IF(ISNUMBER(SEARCH(A36,INDEX(Pages!$J$2:$J$824,MATCH(I36,Pages!$B$2:$B$824,0)))),"Yes","No"),"Page not found"))</f>
        <v>No</v>
      </c>
      <c r="L36" s="3" t="s">
        <v>5222</v>
      </c>
      <c r="M36" s="3"/>
      <c r="N36" s="19"/>
      <c r="O36" s="17"/>
      <c r="P36" s="17"/>
    </row>
    <row r="37" customFormat="false" ht="15" hidden="false" customHeight="false" outlineLevel="0" collapsed="false">
      <c r="A37" s="15" t="s">
        <v>557</v>
      </c>
      <c r="B37" s="15" t="s">
        <v>87</v>
      </c>
      <c r="C37" s="15" t="s">
        <v>314</v>
      </c>
      <c r="D37" s="16" t="n">
        <v>2400</v>
      </c>
      <c r="E37" s="15" t="n">
        <v>50</v>
      </c>
      <c r="F37" s="15" t="s">
        <v>5159</v>
      </c>
      <c r="G37" s="15" t="s">
        <v>5372</v>
      </c>
      <c r="H37" s="15" t="n">
        <v>2</v>
      </c>
      <c r="I37" s="15" t="s">
        <v>553</v>
      </c>
      <c r="J37" s="15" t="str">
        <f aca="false">IF(I37="","No","Yes")</f>
        <v>Yes</v>
      </c>
      <c r="K37" s="18" t="str">
        <f aca="false">IF(I37="","",IFERROR(IF(ISNUMBER(SEARCH(A37,INDEX(Pages!$J$2:$J$824,MATCH(I37,Pages!$B$2:$B$824,0)))),"Yes","No"),"Page not found"))</f>
        <v>Yes</v>
      </c>
      <c r="L37" s="3" t="s">
        <v>5182</v>
      </c>
      <c r="M37" s="3" t="s">
        <v>5373</v>
      </c>
      <c r="N37" s="19"/>
      <c r="O37" s="17"/>
      <c r="P37" s="17"/>
    </row>
    <row r="38" customFormat="false" ht="15" hidden="false" customHeight="false" outlineLevel="0" collapsed="false">
      <c r="A38" s="15" t="s">
        <v>164</v>
      </c>
      <c r="B38" s="15" t="s">
        <v>74</v>
      </c>
      <c r="C38" s="15" t="s">
        <v>321</v>
      </c>
      <c r="D38" s="16" t="n">
        <v>2400</v>
      </c>
      <c r="E38" s="15" t="n">
        <v>60</v>
      </c>
      <c r="F38" s="15" t="s">
        <v>5169</v>
      </c>
      <c r="G38" s="15" t="s">
        <v>5308</v>
      </c>
      <c r="H38" s="15" t="n">
        <v>1</v>
      </c>
      <c r="I38" s="15" t="s">
        <v>160</v>
      </c>
      <c r="J38" s="15" t="str">
        <f aca="false">IF(I38="","No","Yes")</f>
        <v>Yes</v>
      </c>
      <c r="K38" s="18" t="str">
        <f aca="false">IF(I38="","",IFERROR(IF(ISNUMBER(SEARCH(A38,INDEX(Pages!$J$2:$J$824,MATCH(I38,Pages!$B$2:$B$824,0)))),"Yes","No"),"Page not found"))</f>
        <v>No</v>
      </c>
      <c r="L38" s="3" t="s">
        <v>5309</v>
      </c>
      <c r="M38" s="3"/>
      <c r="N38" s="19"/>
      <c r="O38" s="17"/>
      <c r="P38" s="17"/>
    </row>
    <row r="39" customFormat="false" ht="15" hidden="false" customHeight="false" outlineLevel="0" collapsed="false">
      <c r="A39" s="15" t="s">
        <v>332</v>
      </c>
      <c r="B39" s="15" t="s">
        <v>75</v>
      </c>
      <c r="C39" s="15" t="s">
        <v>328</v>
      </c>
      <c r="D39" s="16" t="n">
        <v>2400</v>
      </c>
      <c r="E39" s="15" t="n">
        <v>55</v>
      </c>
      <c r="F39" s="15" t="s">
        <v>5159</v>
      </c>
      <c r="G39" s="15" t="s">
        <v>5324</v>
      </c>
      <c r="H39" s="15" t="n">
        <v>1</v>
      </c>
      <c r="I39" s="15" t="s">
        <v>327</v>
      </c>
      <c r="J39" s="15" t="str">
        <f aca="false">IF(I39="","No","Yes")</f>
        <v>Yes</v>
      </c>
      <c r="K39" s="18" t="str">
        <f aca="false">IF(I39="","",IFERROR(IF(ISNUMBER(SEARCH(A39,INDEX(Pages!$J$2:$J$824,MATCH(I39,Pages!$B$2:$B$824,0)))),"Yes","No"),"Page not found"))</f>
        <v>Yes</v>
      </c>
      <c r="L39" s="3" t="s">
        <v>5325</v>
      </c>
      <c r="M39" s="3" t="s">
        <v>5326</v>
      </c>
      <c r="N39" s="19"/>
      <c r="O39" s="17"/>
      <c r="P39" s="17"/>
    </row>
    <row r="40" customFormat="false" ht="15" hidden="false" customHeight="false" outlineLevel="0" collapsed="false">
      <c r="A40" s="15" t="s">
        <v>5511</v>
      </c>
      <c r="B40" s="15" t="s">
        <v>82</v>
      </c>
      <c r="C40" s="15" t="s">
        <v>265</v>
      </c>
      <c r="D40" s="16" t="n">
        <v>2400</v>
      </c>
      <c r="E40" s="15" t="n">
        <v>40</v>
      </c>
      <c r="F40" s="15" t="s">
        <v>5177</v>
      </c>
      <c r="G40" s="15" t="s">
        <v>5512</v>
      </c>
      <c r="H40" s="15" t="n">
        <v>2</v>
      </c>
      <c r="I40" s="15"/>
      <c r="J40" s="15" t="str">
        <f aca="false">IF(I40="","No","Yes")</f>
        <v>No</v>
      </c>
      <c r="K40" s="18" t="str">
        <f aca="false">IF(I40="","",IFERROR(IF(ISNUMBER(SEARCH(A40,INDEX(Pages!$J$2:$J$824,MATCH(I40,Pages!$B$2:$B$824,0)))),"Yes","No"),"Page not found"))</f>
        <v/>
      </c>
      <c r="L40" s="3" t="s">
        <v>5513</v>
      </c>
      <c r="M40" s="3" t="s">
        <v>5514</v>
      </c>
      <c r="N40" s="19"/>
      <c r="O40" s="17"/>
      <c r="P40" s="17"/>
    </row>
    <row r="41" customFormat="false" ht="23.85" hidden="false" customHeight="false" outlineLevel="0" collapsed="false">
      <c r="A41" s="15" t="s">
        <v>5515</v>
      </c>
      <c r="B41" s="15" t="s">
        <v>82</v>
      </c>
      <c r="C41" s="15" t="s">
        <v>265</v>
      </c>
      <c r="D41" s="16" t="n">
        <v>1900</v>
      </c>
      <c r="E41" s="15" t="n">
        <v>60</v>
      </c>
      <c r="F41" s="15" t="s">
        <v>5159</v>
      </c>
      <c r="G41" s="15" t="s">
        <v>5516</v>
      </c>
      <c r="H41" s="15" t="n">
        <v>3</v>
      </c>
      <c r="I41" s="15"/>
      <c r="J41" s="15" t="str">
        <f aca="false">IF(I41="","No","Yes")</f>
        <v>No</v>
      </c>
      <c r="K41" s="18" t="str">
        <f aca="false">IF(I41="","",IFERROR(IF(ISNUMBER(SEARCH(A41,INDEX(Pages!$J$2:$J$824,MATCH(I41,Pages!$B$2:$B$824,0)))),"Yes","No"),"Page not found"))</f>
        <v/>
      </c>
      <c r="L41" s="3" t="s">
        <v>5517</v>
      </c>
      <c r="M41" s="3" t="s">
        <v>5518</v>
      </c>
      <c r="N41" s="19"/>
      <c r="O41" s="17"/>
      <c r="P41" s="17"/>
    </row>
    <row r="42" customFormat="false" ht="23.85" hidden="false" customHeight="false" outlineLevel="0" collapsed="false">
      <c r="A42" s="15" t="s">
        <v>467</v>
      </c>
      <c r="B42" s="15" t="s">
        <v>82</v>
      </c>
      <c r="C42" s="15" t="s">
        <v>265</v>
      </c>
      <c r="D42" s="16" t="n">
        <v>1900</v>
      </c>
      <c r="E42" s="15" t="n">
        <v>50</v>
      </c>
      <c r="F42" s="15" t="s">
        <v>5159</v>
      </c>
      <c r="G42" s="15" t="s">
        <v>5339</v>
      </c>
      <c r="H42" s="15" t="n">
        <v>2</v>
      </c>
      <c r="I42" s="15" t="s">
        <v>463</v>
      </c>
      <c r="J42" s="15" t="str">
        <f aca="false">IF(I42="","No","Yes")</f>
        <v>Yes</v>
      </c>
      <c r="K42" s="18" t="str">
        <f aca="false">IF(I42="","",IFERROR(IF(ISNUMBER(SEARCH(A42,INDEX(Pages!$J$2:$J$824,MATCH(I42,Pages!$B$2:$B$824,0)))),"Yes","No"),"Page not found"))</f>
        <v>Yes</v>
      </c>
      <c r="L42" s="3" t="s">
        <v>5344</v>
      </c>
      <c r="M42" s="3" t="s">
        <v>5345</v>
      </c>
      <c r="N42" s="19"/>
      <c r="O42" s="17"/>
      <c r="P42" s="17"/>
    </row>
    <row r="43" customFormat="false" ht="15" hidden="false" customHeight="false" outlineLevel="0" collapsed="false">
      <c r="A43" s="15" t="s">
        <v>5047</v>
      </c>
      <c r="B43" s="15" t="s">
        <v>74</v>
      </c>
      <c r="C43" s="15" t="s">
        <v>321</v>
      </c>
      <c r="D43" s="16" t="n">
        <v>1900</v>
      </c>
      <c r="E43" s="15" t="n">
        <v>55</v>
      </c>
      <c r="F43" s="15" t="s">
        <v>5177</v>
      </c>
      <c r="G43" s="15" t="s">
        <v>5308</v>
      </c>
      <c r="H43" s="15" t="n">
        <v>1</v>
      </c>
      <c r="I43" s="15" t="s">
        <v>160</v>
      </c>
      <c r="J43" s="15" t="str">
        <f aca="false">IF(I43="","No","Yes")</f>
        <v>Yes</v>
      </c>
      <c r="K43" s="18" t="str">
        <f aca="false">IF(I43="","",IFERROR(IF(ISNUMBER(SEARCH(A43,INDEX(Pages!$J$2:$J$824,MATCH(I43,Pages!$B$2:$B$824,0)))),"Yes","No"),"Page not found"))</f>
        <v>No</v>
      </c>
      <c r="L43" s="3" t="s">
        <v>5310</v>
      </c>
      <c r="M43" s="3" t="s">
        <v>5311</v>
      </c>
      <c r="N43" s="19"/>
      <c r="O43" s="17"/>
      <c r="P43" s="17"/>
    </row>
    <row r="44" customFormat="false" ht="15" hidden="false" customHeight="false" outlineLevel="0" collapsed="false">
      <c r="A44" s="15" t="s">
        <v>623</v>
      </c>
      <c r="B44" s="15" t="s">
        <v>83</v>
      </c>
      <c r="C44" s="15" t="s">
        <v>265</v>
      </c>
      <c r="D44" s="16" t="n">
        <v>1900</v>
      </c>
      <c r="E44" s="15" t="n">
        <v>45</v>
      </c>
      <c r="F44" s="15" t="s">
        <v>5159</v>
      </c>
      <c r="G44" s="15" t="s">
        <v>5276</v>
      </c>
      <c r="H44" s="15" t="n">
        <v>4</v>
      </c>
      <c r="I44" s="15" t="s">
        <v>619</v>
      </c>
      <c r="J44" s="15" t="str">
        <f aca="false">IF(I44="","No","Yes")</f>
        <v>Yes</v>
      </c>
      <c r="K44" s="18" t="str">
        <f aca="false">IF(I44="","",IFERROR(IF(ISNUMBER(SEARCH(A44,INDEX(Pages!$J$2:$J$824,MATCH(I44,Pages!$B$2:$B$824,0)))),"Yes","No"),"Page not found"))</f>
        <v>No</v>
      </c>
      <c r="L44" s="3" t="s">
        <v>5394</v>
      </c>
      <c r="M44" s="3"/>
      <c r="N44" s="19"/>
      <c r="O44" s="17"/>
      <c r="P44" s="17"/>
    </row>
    <row r="45" customFormat="false" ht="15" hidden="false" customHeight="false" outlineLevel="0" collapsed="false">
      <c r="A45" s="15" t="s">
        <v>5100</v>
      </c>
      <c r="B45" s="15" t="s">
        <v>74</v>
      </c>
      <c r="C45" s="15" t="s">
        <v>363</v>
      </c>
      <c r="D45" s="16" t="n">
        <v>1900</v>
      </c>
      <c r="E45" s="15" t="n">
        <v>50</v>
      </c>
      <c r="F45" s="15" t="s">
        <v>5177</v>
      </c>
      <c r="G45" s="15" t="s">
        <v>5391</v>
      </c>
      <c r="H45" s="15" t="n">
        <v>1</v>
      </c>
      <c r="I45" s="15" t="s">
        <v>5096</v>
      </c>
      <c r="J45" s="15" t="str">
        <f aca="false">IF(I45="","No","Yes")</f>
        <v>Yes</v>
      </c>
      <c r="K45" s="18" t="str">
        <f aca="false">IF(I45="","",IFERROR(IF(ISNUMBER(SEARCH(A45,INDEX(Pages!$J$2:$J$824,MATCH(I45,Pages!$B$2:$B$824,0)))),"Yes","No"),"Page not found"))</f>
        <v>Yes</v>
      </c>
      <c r="L45" s="3" t="s">
        <v>5279</v>
      </c>
      <c r="M45" s="3"/>
      <c r="N45" s="19"/>
      <c r="O45" s="17"/>
      <c r="P45" s="17"/>
    </row>
    <row r="46" customFormat="false" ht="15" hidden="false" customHeight="false" outlineLevel="0" collapsed="false">
      <c r="A46" s="15" t="s">
        <v>5519</v>
      </c>
      <c r="B46" s="15" t="s">
        <v>82</v>
      </c>
      <c r="C46" s="15" t="s">
        <v>265</v>
      </c>
      <c r="D46" s="16" t="n">
        <v>1600</v>
      </c>
      <c r="E46" s="15" t="n">
        <v>40</v>
      </c>
      <c r="F46" s="15" t="s">
        <v>5177</v>
      </c>
      <c r="G46" s="15" t="s">
        <v>5428</v>
      </c>
      <c r="H46" s="15" t="n">
        <v>3</v>
      </c>
      <c r="I46" s="15"/>
      <c r="J46" s="15" t="str">
        <f aca="false">IF(I46="","No","Yes")</f>
        <v>No</v>
      </c>
      <c r="K46" s="18" t="str">
        <f aca="false">IF(I46="","",IFERROR(IF(ISNUMBER(SEARCH(A46,INDEX(Pages!$J$2:$J$824,MATCH(I46,Pages!$B$2:$B$824,0)))),"Yes","No"),"Page not found"))</f>
        <v/>
      </c>
      <c r="L46" s="3" t="s">
        <v>5520</v>
      </c>
      <c r="M46" s="3" t="s">
        <v>5521</v>
      </c>
      <c r="N46" s="19"/>
      <c r="O46" s="17"/>
      <c r="P46" s="17"/>
    </row>
    <row r="47" customFormat="false" ht="15" hidden="false" customHeight="false" outlineLevel="0" collapsed="false">
      <c r="A47" s="15" t="s">
        <v>5029</v>
      </c>
      <c r="B47" s="15" t="s">
        <v>84</v>
      </c>
      <c r="C47" s="15" t="s">
        <v>314</v>
      </c>
      <c r="D47" s="16" t="n">
        <v>1600</v>
      </c>
      <c r="E47" s="15" t="n">
        <v>40</v>
      </c>
      <c r="F47" s="15" t="s">
        <v>5177</v>
      </c>
      <c r="G47" s="15" t="s">
        <v>5285</v>
      </c>
      <c r="H47" s="15" t="n">
        <v>1</v>
      </c>
      <c r="I47" s="15" t="s">
        <v>5025</v>
      </c>
      <c r="J47" s="15" t="str">
        <f aca="false">IF(I47="","No","Yes")</f>
        <v>Yes</v>
      </c>
      <c r="K47" s="18" t="str">
        <f aca="false">IF(I47="","",IFERROR(IF(ISNUMBER(SEARCH(A47,INDEX(Pages!$J$2:$J$824,MATCH(I47,Pages!$B$2:$B$824,0)))),"Yes","No"),"Page not found"))</f>
        <v>Yes</v>
      </c>
      <c r="L47" s="3" t="s">
        <v>5286</v>
      </c>
      <c r="M47" s="3" t="s">
        <v>5287</v>
      </c>
      <c r="N47" s="19"/>
      <c r="O47" s="17"/>
      <c r="P47" s="17"/>
    </row>
    <row r="48" customFormat="false" ht="23.85" hidden="false" customHeight="false" outlineLevel="0" collapsed="false">
      <c r="A48" s="15" t="s">
        <v>455</v>
      </c>
      <c r="B48" s="15" t="s">
        <v>82</v>
      </c>
      <c r="C48" s="15" t="s">
        <v>265</v>
      </c>
      <c r="D48" s="16" t="n">
        <v>1600</v>
      </c>
      <c r="E48" s="15" t="n">
        <v>45</v>
      </c>
      <c r="F48" s="15" t="s">
        <v>5159</v>
      </c>
      <c r="G48" s="15" t="s">
        <v>5339</v>
      </c>
      <c r="H48" s="15" t="n">
        <v>1</v>
      </c>
      <c r="I48" s="15" t="s">
        <v>451</v>
      </c>
      <c r="J48" s="15" t="str">
        <f aca="false">IF(I48="","No","Yes")</f>
        <v>Yes</v>
      </c>
      <c r="K48" s="18" t="str">
        <f aca="false">IF(I48="","",IFERROR(IF(ISNUMBER(SEARCH(A48,INDEX(Pages!$J$2:$J$824,MATCH(I48,Pages!$B$2:$B$824,0)))),"Yes","No"),"Page not found"))</f>
        <v>No</v>
      </c>
      <c r="L48" s="3" t="s">
        <v>5340</v>
      </c>
      <c r="M48" s="3" t="s">
        <v>5341</v>
      </c>
      <c r="N48" s="19"/>
      <c r="O48" s="17"/>
      <c r="P48" s="17"/>
    </row>
    <row r="49" customFormat="false" ht="15" hidden="false" customHeight="false" outlineLevel="0" collapsed="false">
      <c r="A49" s="15" t="s">
        <v>5041</v>
      </c>
      <c r="B49" s="15" t="s">
        <v>74</v>
      </c>
      <c r="C49" s="15" t="s">
        <v>321</v>
      </c>
      <c r="D49" s="16" t="n">
        <v>1600</v>
      </c>
      <c r="E49" s="15" t="n">
        <v>55</v>
      </c>
      <c r="F49" s="15" t="s">
        <v>5177</v>
      </c>
      <c r="G49" s="15" t="s">
        <v>5240</v>
      </c>
      <c r="H49" s="15" t="n">
        <v>1</v>
      </c>
      <c r="I49" s="15" t="s">
        <v>5037</v>
      </c>
      <c r="J49" s="15" t="str">
        <f aca="false">IF(I49="","No","Yes")</f>
        <v>Yes</v>
      </c>
      <c r="K49" s="18" t="str">
        <f aca="false">IF(I49="","",IFERROR(IF(ISNUMBER(SEARCH(A49,INDEX(Pages!$J$2:$J$824,MATCH(I49,Pages!$B$2:$B$824,0)))),"Yes","No"),"Page not found"))</f>
        <v>Yes</v>
      </c>
      <c r="L49" s="3" t="s">
        <v>5331</v>
      </c>
      <c r="M49" s="3"/>
      <c r="N49" s="19"/>
      <c r="O49" s="17"/>
      <c r="P49" s="17"/>
    </row>
    <row r="50" customFormat="false" ht="23.85" hidden="false" customHeight="false" outlineLevel="0" collapsed="false">
      <c r="A50" s="15" t="s">
        <v>593</v>
      </c>
      <c r="B50" s="15" t="s">
        <v>74</v>
      </c>
      <c r="C50" s="15" t="s">
        <v>321</v>
      </c>
      <c r="D50" s="16" t="n">
        <v>1600</v>
      </c>
      <c r="E50" s="15" t="n">
        <v>50</v>
      </c>
      <c r="F50" s="15" t="s">
        <v>5159</v>
      </c>
      <c r="G50" s="15" t="s">
        <v>5406</v>
      </c>
      <c r="H50" s="15" t="n">
        <v>2</v>
      </c>
      <c r="I50" s="15" t="s">
        <v>589</v>
      </c>
      <c r="J50" s="15" t="str">
        <f aca="false">IF(I50="","No","Yes")</f>
        <v>Yes</v>
      </c>
      <c r="K50" s="18" t="str">
        <f aca="false">IF(I50="","",IFERROR(IF(ISNUMBER(SEARCH(A50,INDEX(Pages!$J$2:$J$824,MATCH(I50,Pages!$B$2:$B$824,0)))),"Yes","No"),"Page not found"))</f>
        <v>Yes</v>
      </c>
      <c r="L50" s="3" t="s">
        <v>5260</v>
      </c>
      <c r="M50" s="3" t="s">
        <v>5407</v>
      </c>
      <c r="N50" s="19"/>
      <c r="O50" s="17"/>
      <c r="P50" s="17"/>
    </row>
    <row r="51" customFormat="false" ht="15" hidden="false" customHeight="false" outlineLevel="0" collapsed="false">
      <c r="A51" s="15" t="s">
        <v>346</v>
      </c>
      <c r="B51" s="15" t="s">
        <v>91</v>
      </c>
      <c r="C51" s="15" t="s">
        <v>342</v>
      </c>
      <c r="D51" s="16" t="n">
        <v>1600</v>
      </c>
      <c r="E51" s="15" t="n">
        <v>50</v>
      </c>
      <c r="F51" s="15" t="s">
        <v>5159</v>
      </c>
      <c r="G51" s="15" t="s">
        <v>5193</v>
      </c>
      <c r="H51" s="15" t="n">
        <v>1</v>
      </c>
      <c r="I51" s="15" t="s">
        <v>341</v>
      </c>
      <c r="J51" s="15" t="str">
        <f aca="false">IF(I51="","No","Yes")</f>
        <v>Yes</v>
      </c>
      <c r="K51" s="18" t="str">
        <f aca="false">IF(I51="","",IFERROR(IF(ISNUMBER(SEARCH(A51,INDEX(Pages!$J$2:$J$824,MATCH(I51,Pages!$B$2:$B$824,0)))),"Yes","No"),"Page not found"))</f>
        <v>No</v>
      </c>
      <c r="L51" s="3" t="s">
        <v>5182</v>
      </c>
      <c r="M51" s="3"/>
      <c r="N51" s="19"/>
      <c r="O51" s="17"/>
      <c r="P51" s="17"/>
    </row>
    <row r="52" customFormat="false" ht="15" hidden="false" customHeight="false" outlineLevel="0" collapsed="false">
      <c r="A52" s="15" t="s">
        <v>5088</v>
      </c>
      <c r="B52" s="15" t="s">
        <v>81</v>
      </c>
      <c r="C52" s="15" t="s">
        <v>349</v>
      </c>
      <c r="D52" s="16" t="n">
        <v>1600</v>
      </c>
      <c r="E52" s="15" t="n">
        <v>40</v>
      </c>
      <c r="F52" s="15" t="s">
        <v>5159</v>
      </c>
      <c r="G52" s="15" t="s">
        <v>5235</v>
      </c>
      <c r="H52" s="15" t="n">
        <v>1</v>
      </c>
      <c r="I52" s="15" t="s">
        <v>5084</v>
      </c>
      <c r="J52" s="15" t="str">
        <f aca="false">IF(I52="","No","Yes")</f>
        <v>Yes</v>
      </c>
      <c r="K52" s="18" t="str">
        <f aca="false">IF(I52="","",IFERROR(IF(ISNUMBER(SEARCH(A52,INDEX(Pages!$J$2:$J$824,MATCH(I52,Pages!$B$2:$B$824,0)))),"Yes","No"),"Page not found"))</f>
        <v>No</v>
      </c>
      <c r="L52" s="3" t="s">
        <v>5361</v>
      </c>
      <c r="M52" s="3"/>
      <c r="N52" s="19"/>
      <c r="O52" s="17"/>
      <c r="P52" s="17"/>
    </row>
    <row r="53" customFormat="false" ht="15" hidden="false" customHeight="false" outlineLevel="0" collapsed="false">
      <c r="A53" s="15" t="s">
        <v>5106</v>
      </c>
      <c r="B53" s="15" t="s">
        <v>82</v>
      </c>
      <c r="C53" s="15" t="s">
        <v>265</v>
      </c>
      <c r="D53" s="16" t="n">
        <v>1600</v>
      </c>
      <c r="E53" s="15" t="n">
        <v>35</v>
      </c>
      <c r="F53" s="15" t="s">
        <v>5177</v>
      </c>
      <c r="G53" s="15" t="s">
        <v>5268</v>
      </c>
      <c r="H53" s="15" t="n">
        <v>1</v>
      </c>
      <c r="I53" s="15" t="s">
        <v>5102</v>
      </c>
      <c r="J53" s="15" t="str">
        <f aca="false">IF(I53="","No","Yes")</f>
        <v>Yes</v>
      </c>
      <c r="K53" s="18" t="str">
        <f aca="false">IF(I53="","",IFERROR(IF(ISNUMBER(SEARCH(A53,INDEX(Pages!$J$2:$J$824,MATCH(I53,Pages!$B$2:$B$824,0)))),"Yes","No"),"Page not found"))</f>
        <v>Yes</v>
      </c>
      <c r="L53" s="3" t="s">
        <v>5404</v>
      </c>
      <c r="M53" s="3" t="s">
        <v>5405</v>
      </c>
      <c r="N53" s="19"/>
      <c r="O53" s="17"/>
      <c r="P53" s="17"/>
    </row>
    <row r="54" customFormat="false" ht="15" hidden="false" customHeight="false" outlineLevel="0" collapsed="false">
      <c r="A54" s="15" t="s">
        <v>5282</v>
      </c>
      <c r="B54" s="15" t="s">
        <v>84</v>
      </c>
      <c r="C54" s="15" t="s">
        <v>314</v>
      </c>
      <c r="D54" s="16" t="n">
        <v>1300</v>
      </c>
      <c r="E54" s="15" t="n">
        <v>50</v>
      </c>
      <c r="F54" s="15" t="s">
        <v>5177</v>
      </c>
      <c r="G54" s="15" t="s">
        <v>5191</v>
      </c>
      <c r="H54" s="15" t="n">
        <v>1</v>
      </c>
      <c r="I54" s="15" t="s">
        <v>210</v>
      </c>
      <c r="J54" s="15" t="str">
        <f aca="false">IF(I54="","No","Yes")</f>
        <v>Yes</v>
      </c>
      <c r="K54" s="18" t="str">
        <f aca="false">IF(I54="","",IFERROR(IF(ISNUMBER(SEARCH(A54,INDEX(Pages!$J$2:$J$824,MATCH(I54,Pages!$B$2:$B$824,0)))),"Yes","No"),"Page not found"))</f>
        <v>No</v>
      </c>
      <c r="L54" s="3" t="s">
        <v>5182</v>
      </c>
      <c r="M54" s="3"/>
      <c r="N54" s="19"/>
      <c r="O54" s="17"/>
      <c r="P54" s="17"/>
    </row>
    <row r="55" customFormat="false" ht="15" hidden="false" customHeight="false" outlineLevel="0" collapsed="false">
      <c r="A55" s="15" t="s">
        <v>5342</v>
      </c>
      <c r="B55" s="15" t="s">
        <v>82</v>
      </c>
      <c r="C55" s="15" t="s">
        <v>265</v>
      </c>
      <c r="D55" s="16" t="n">
        <v>1300</v>
      </c>
      <c r="E55" s="15" t="n">
        <v>35</v>
      </c>
      <c r="F55" s="15" t="s">
        <v>5177</v>
      </c>
      <c r="G55" s="15" t="s">
        <v>5339</v>
      </c>
      <c r="H55" s="15" t="n">
        <v>3</v>
      </c>
      <c r="I55" s="15" t="s">
        <v>451</v>
      </c>
      <c r="J55" s="15" t="str">
        <f aca="false">IF(I55="","No","Yes")</f>
        <v>Yes</v>
      </c>
      <c r="K55" s="18" t="str">
        <f aca="false">IF(I55="","",IFERROR(IF(ISNUMBER(SEARCH(A55,INDEX(Pages!$J$2:$J$824,MATCH(I55,Pages!$B$2:$B$824,0)))),"Yes","No"),"Page not found"))</f>
        <v>No</v>
      </c>
      <c r="L55" s="3" t="s">
        <v>5212</v>
      </c>
      <c r="M55" s="3" t="s">
        <v>5343</v>
      </c>
      <c r="N55" s="19"/>
      <c r="O55" s="17"/>
      <c r="P55" s="17"/>
    </row>
    <row r="56" customFormat="false" ht="15" hidden="false" customHeight="false" outlineLevel="0" collapsed="false">
      <c r="A56" s="15" t="s">
        <v>443</v>
      </c>
      <c r="B56" s="15" t="s">
        <v>82</v>
      </c>
      <c r="C56" s="15" t="s">
        <v>265</v>
      </c>
      <c r="D56" s="16" t="n">
        <v>1300</v>
      </c>
      <c r="E56" s="15" t="n">
        <v>50</v>
      </c>
      <c r="F56" s="15" t="s">
        <v>5159</v>
      </c>
      <c r="G56" s="15" t="s">
        <v>5339</v>
      </c>
      <c r="H56" s="15" t="n">
        <v>4</v>
      </c>
      <c r="I56" s="15" t="s">
        <v>439</v>
      </c>
      <c r="J56" s="15" t="str">
        <f aca="false">IF(I56="","No","Yes")</f>
        <v>Yes</v>
      </c>
      <c r="K56" s="18" t="str">
        <f aca="false">IF(I56="","",IFERROR(IF(ISNUMBER(SEARCH(A56,INDEX(Pages!$J$2:$J$824,MATCH(I56,Pages!$B$2:$B$824,0)))),"Yes","No"),"Page not found"))</f>
        <v>No</v>
      </c>
      <c r="L56" s="3" t="s">
        <v>5376</v>
      </c>
      <c r="M56" s="3" t="s">
        <v>5416</v>
      </c>
      <c r="N56" s="19"/>
      <c r="O56" s="17"/>
      <c r="P56" s="17"/>
    </row>
    <row r="57" customFormat="false" ht="15" hidden="false" customHeight="false" outlineLevel="0" collapsed="false">
      <c r="A57" s="15" t="s">
        <v>401</v>
      </c>
      <c r="B57" s="15" t="s">
        <v>89</v>
      </c>
      <c r="C57" s="15" t="s">
        <v>258</v>
      </c>
      <c r="D57" s="16" t="n">
        <v>1300</v>
      </c>
      <c r="E57" s="15" t="n">
        <v>50</v>
      </c>
      <c r="F57" s="15" t="s">
        <v>5159</v>
      </c>
      <c r="G57" s="15" t="s">
        <v>5193</v>
      </c>
      <c r="H57" s="15" t="n">
        <v>2</v>
      </c>
      <c r="I57" s="15" t="s">
        <v>397</v>
      </c>
      <c r="J57" s="15" t="str">
        <f aca="false">IF(I57="","No","Yes")</f>
        <v>Yes</v>
      </c>
      <c r="K57" s="18" t="str">
        <f aca="false">IF(I57="","",IFERROR(IF(ISNUMBER(SEARCH(A57,INDEX(Pages!$J$2:$J$824,MATCH(I57,Pages!$B$2:$B$824,0)))),"Yes","No"),"Page not found"))</f>
        <v>Yes</v>
      </c>
      <c r="L57" s="3" t="s">
        <v>5212</v>
      </c>
      <c r="M57" s="3" t="s">
        <v>5349</v>
      </c>
      <c r="N57" s="19"/>
      <c r="O57" s="17"/>
      <c r="P57" s="17"/>
    </row>
    <row r="58" customFormat="false" ht="15" hidden="false" customHeight="false" outlineLevel="0" collapsed="false">
      <c r="A58" s="15" t="s">
        <v>283</v>
      </c>
      <c r="B58" s="15" t="s">
        <v>90</v>
      </c>
      <c r="C58" s="15" t="s">
        <v>279</v>
      </c>
      <c r="D58" s="16" t="n">
        <v>1300</v>
      </c>
      <c r="E58" s="15" t="n">
        <v>45</v>
      </c>
      <c r="F58" s="15" t="s">
        <v>5159</v>
      </c>
      <c r="G58" s="15" t="s">
        <v>5193</v>
      </c>
      <c r="H58" s="15" t="n">
        <v>1</v>
      </c>
      <c r="I58" s="15" t="s">
        <v>278</v>
      </c>
      <c r="J58" s="15" t="str">
        <f aca="false">IF(I58="","No","Yes")</f>
        <v>Yes</v>
      </c>
      <c r="K58" s="18" t="str">
        <f aca="false">IF(I58="","",IFERROR(IF(ISNUMBER(SEARCH(A58,INDEX(Pages!$J$2:$J$824,MATCH(I58,Pages!$B$2:$B$824,0)))),"Yes","No"),"Page not found"))</f>
        <v>Yes</v>
      </c>
      <c r="L58" s="3" t="s">
        <v>5379</v>
      </c>
      <c r="M58" s="3"/>
      <c r="N58" s="19"/>
      <c r="O58" s="17"/>
      <c r="P58" s="17"/>
    </row>
    <row r="59" customFormat="false" ht="15" hidden="false" customHeight="false" outlineLevel="0" collapsed="false">
      <c r="A59" s="15" t="s">
        <v>5288</v>
      </c>
      <c r="B59" s="15" t="s">
        <v>84</v>
      </c>
      <c r="C59" s="15" t="s">
        <v>314</v>
      </c>
      <c r="D59" s="16" t="n">
        <v>1300</v>
      </c>
      <c r="E59" s="15" t="n">
        <v>45</v>
      </c>
      <c r="F59" s="15" t="s">
        <v>5177</v>
      </c>
      <c r="G59" s="15" t="s">
        <v>5285</v>
      </c>
      <c r="H59" s="15" t="n">
        <v>2</v>
      </c>
      <c r="I59" s="15" t="s">
        <v>5025</v>
      </c>
      <c r="J59" s="15" t="str">
        <f aca="false">IF(I59="","No","Yes")</f>
        <v>Yes</v>
      </c>
      <c r="K59" s="18" t="str">
        <f aca="false">IF(I59="","",IFERROR(IF(ISNUMBER(SEARCH(A59,INDEX(Pages!$J$2:$J$824,MATCH(I59,Pages!$B$2:$B$824,0)))),"Yes","No"),"Page not found"))</f>
        <v>No</v>
      </c>
      <c r="L59" s="3" t="s">
        <v>5289</v>
      </c>
      <c r="M59" s="3" t="s">
        <v>5290</v>
      </c>
      <c r="N59" s="19"/>
      <c r="O59" s="17"/>
      <c r="P59" s="17"/>
    </row>
    <row r="60" customFormat="false" ht="15" hidden="false" customHeight="false" outlineLevel="0" collapsed="false">
      <c r="A60" s="15" t="s">
        <v>304</v>
      </c>
      <c r="B60" s="15" t="s">
        <v>79</v>
      </c>
      <c r="C60" s="15" t="s">
        <v>300</v>
      </c>
      <c r="D60" s="16" t="n">
        <v>1300</v>
      </c>
      <c r="E60" s="15" t="n">
        <v>50</v>
      </c>
      <c r="F60" s="15" t="s">
        <v>5159</v>
      </c>
      <c r="G60" s="15" t="s">
        <v>5384</v>
      </c>
      <c r="H60" s="15" t="n">
        <v>1</v>
      </c>
      <c r="I60" s="15" t="s">
        <v>299</v>
      </c>
      <c r="J60" s="15" t="str">
        <f aca="false">IF(I60="","No","Yes")</f>
        <v>Yes</v>
      </c>
      <c r="K60" s="18" t="str">
        <f aca="false">IF(I60="","",IFERROR(IF(ISNUMBER(SEARCH(A60,INDEX(Pages!$J$2:$J$824,MATCH(I60,Pages!$B$2:$B$824,0)))),"Yes","No"),"Page not found"))</f>
        <v>Yes</v>
      </c>
      <c r="L60" s="3" t="s">
        <v>5385</v>
      </c>
      <c r="M60" s="3" t="s">
        <v>5386</v>
      </c>
      <c r="N60" s="19"/>
      <c r="O60" s="17"/>
      <c r="P60" s="17"/>
    </row>
    <row r="61" customFormat="false" ht="15" hidden="false" customHeight="false" outlineLevel="0" collapsed="false">
      <c r="A61" s="15" t="s">
        <v>5246</v>
      </c>
      <c r="B61" s="15" t="s">
        <v>93</v>
      </c>
      <c r="C61" s="15"/>
      <c r="D61" s="16" t="n">
        <v>1300</v>
      </c>
      <c r="E61" s="15" t="n">
        <v>40</v>
      </c>
      <c r="F61" s="15" t="s">
        <v>5227</v>
      </c>
      <c r="G61" s="15" t="s">
        <v>5243</v>
      </c>
      <c r="H61" s="15" t="n">
        <v>1</v>
      </c>
      <c r="I61" s="15" t="s">
        <v>142</v>
      </c>
      <c r="J61" s="15" t="str">
        <f aca="false">IF(I61="","No","Yes")</f>
        <v>Yes</v>
      </c>
      <c r="K61" s="18" t="str">
        <f aca="false">IF(I61="","",IFERROR(IF(ISNUMBER(SEARCH(A61,INDEX(Pages!$J$2:$J$824,MATCH(I61,Pages!$B$2:$B$824,0)))),"Yes","No"),"Page not found"))</f>
        <v>No</v>
      </c>
      <c r="L61" s="3" t="s">
        <v>5247</v>
      </c>
      <c r="M61" s="3"/>
      <c r="N61" s="19"/>
      <c r="O61" s="17"/>
      <c r="P61" s="17"/>
    </row>
    <row r="62" customFormat="false" ht="15" hidden="false" customHeight="false" outlineLevel="0" collapsed="false">
      <c r="A62" s="15" t="s">
        <v>605</v>
      </c>
      <c r="B62" s="15" t="s">
        <v>78</v>
      </c>
      <c r="C62" s="15" t="s">
        <v>307</v>
      </c>
      <c r="D62" s="16" t="n">
        <v>1300</v>
      </c>
      <c r="E62" s="15" t="n">
        <v>45</v>
      </c>
      <c r="F62" s="15" t="s">
        <v>5159</v>
      </c>
      <c r="G62" s="15" t="s">
        <v>5216</v>
      </c>
      <c r="H62" s="15" t="n">
        <v>3</v>
      </c>
      <c r="I62" s="15" t="s">
        <v>601</v>
      </c>
      <c r="J62" s="15" t="str">
        <f aca="false">IF(I62="","No","Yes")</f>
        <v>Yes</v>
      </c>
      <c r="K62" s="18" t="str">
        <f aca="false">IF(I62="","",IFERROR(IF(ISNUMBER(SEARCH(A62,INDEX(Pages!$J$2:$J$824,MATCH(I62,Pages!$B$2:$B$824,0)))),"Yes","No"),"Page not found"))</f>
        <v>No</v>
      </c>
      <c r="L62" s="3" t="s">
        <v>5420</v>
      </c>
      <c r="M62" s="3" t="s">
        <v>5421</v>
      </c>
      <c r="N62" s="19"/>
      <c r="O62" s="17"/>
      <c r="P62" s="17"/>
    </row>
    <row r="63" customFormat="false" ht="15" hidden="false" customHeight="false" outlineLevel="0" collapsed="false">
      <c r="A63" s="15" t="s">
        <v>5064</v>
      </c>
      <c r="B63" s="15" t="s">
        <v>75</v>
      </c>
      <c r="C63" s="15" t="s">
        <v>328</v>
      </c>
      <c r="D63" s="16" t="n">
        <v>1300</v>
      </c>
      <c r="E63" s="15" t="n">
        <v>50</v>
      </c>
      <c r="F63" s="15" t="s">
        <v>5177</v>
      </c>
      <c r="G63" s="15" t="s">
        <v>5324</v>
      </c>
      <c r="H63" s="15" t="n">
        <v>1</v>
      </c>
      <c r="I63" s="15" t="s">
        <v>5060</v>
      </c>
      <c r="J63" s="15" t="str">
        <f aca="false">IF(I63="","No","Yes")</f>
        <v>Yes</v>
      </c>
      <c r="K63" s="18" t="str">
        <f aca="false">IF(I63="","",IFERROR(IF(ISNUMBER(SEARCH(A63,INDEX(Pages!$J$2:$J$824,MATCH(I63,Pages!$B$2:$B$824,0)))),"Yes","No"),"Page not found"))</f>
        <v>No</v>
      </c>
      <c r="L63" s="3" t="s">
        <v>5417</v>
      </c>
      <c r="M63" s="3"/>
      <c r="N63" s="19"/>
      <c r="O63" s="17"/>
      <c r="P63" s="17"/>
    </row>
    <row r="64" customFormat="false" ht="15" hidden="false" customHeight="false" outlineLevel="0" collapsed="false">
      <c r="A64" s="15" t="s">
        <v>339</v>
      </c>
      <c r="B64" s="15" t="s">
        <v>74</v>
      </c>
      <c r="C64" s="15" t="s">
        <v>335</v>
      </c>
      <c r="D64" s="16" t="n">
        <v>1300</v>
      </c>
      <c r="E64" s="15" t="n">
        <v>45</v>
      </c>
      <c r="F64" s="15" t="s">
        <v>5159</v>
      </c>
      <c r="G64" s="15" t="s">
        <v>5364</v>
      </c>
      <c r="H64" s="15" t="n">
        <v>1</v>
      </c>
      <c r="I64" s="15" t="s">
        <v>334</v>
      </c>
      <c r="J64" s="15" t="str">
        <f aca="false">IF(I64="","No","Yes")</f>
        <v>Yes</v>
      </c>
      <c r="K64" s="18" t="str">
        <f aca="false">IF(I64="","",IFERROR(IF(ISNUMBER(SEARCH(A64,INDEX(Pages!$J$2:$J$824,MATCH(I64,Pages!$B$2:$B$824,0)))),"Yes","No"),"Page not found"))</f>
        <v>No</v>
      </c>
      <c r="L64" s="3" t="s">
        <v>5365</v>
      </c>
      <c r="M64" s="3" t="s">
        <v>5366</v>
      </c>
      <c r="N64" s="19"/>
      <c r="O64" s="17"/>
      <c r="P64" s="17"/>
    </row>
    <row r="65" customFormat="false" ht="15" hidden="false" customHeight="false" outlineLevel="0" collapsed="false">
      <c r="A65" s="15" t="s">
        <v>641</v>
      </c>
      <c r="B65" s="15" t="s">
        <v>80</v>
      </c>
      <c r="C65" s="15" t="s">
        <v>370</v>
      </c>
      <c r="D65" s="16" t="n">
        <v>1300</v>
      </c>
      <c r="E65" s="15" t="n">
        <v>45</v>
      </c>
      <c r="F65" s="15" t="s">
        <v>5159</v>
      </c>
      <c r="G65" s="15" t="s">
        <v>5173</v>
      </c>
      <c r="H65" s="15" t="n">
        <v>2</v>
      </c>
      <c r="I65" s="15" t="s">
        <v>637</v>
      </c>
      <c r="J65" s="15" t="str">
        <f aca="false">IF(I65="","No","Yes")</f>
        <v>Yes</v>
      </c>
      <c r="K65" s="18" t="str">
        <f aca="false">IF(I65="","",IFERROR(IF(ISNUMBER(SEARCH(A65,INDEX(Pages!$J$2:$J$824,MATCH(I65,Pages!$B$2:$B$824,0)))),"Yes","No"),"Page not found"))</f>
        <v>Yes</v>
      </c>
      <c r="L65" s="3" t="s">
        <v>5355</v>
      </c>
      <c r="M65" s="3" t="s">
        <v>5356</v>
      </c>
      <c r="N65" s="19"/>
      <c r="O65" s="17"/>
      <c r="P65" s="17"/>
    </row>
    <row r="66" customFormat="false" ht="15" hidden="false" customHeight="false" outlineLevel="0" collapsed="false">
      <c r="A66" s="15" t="s">
        <v>5190</v>
      </c>
      <c r="B66" s="15" t="s">
        <v>86</v>
      </c>
      <c r="C66" s="15" t="s">
        <v>356</v>
      </c>
      <c r="D66" s="16" t="n">
        <v>1300</v>
      </c>
      <c r="E66" s="15" t="n">
        <v>40</v>
      </c>
      <c r="F66" s="15" t="s">
        <v>5177</v>
      </c>
      <c r="G66" s="15" t="s">
        <v>5191</v>
      </c>
      <c r="H66" s="15" t="n">
        <v>1</v>
      </c>
      <c r="I66" s="15" t="s">
        <v>355</v>
      </c>
      <c r="J66" s="15" t="str">
        <f aca="false">IF(I66="","No","Yes")</f>
        <v>Yes</v>
      </c>
      <c r="K66" s="18" t="str">
        <f aca="false">IF(I66="","",IFERROR(IF(ISNUMBER(SEARCH(A66,INDEX(Pages!$J$2:$J$824,MATCH(I66,Pages!$B$2:$B$824,0)))),"Yes","No"),"Page not found"))</f>
        <v>No</v>
      </c>
      <c r="L66" s="3" t="s">
        <v>5192</v>
      </c>
      <c r="M66" s="3"/>
      <c r="N66" s="19"/>
      <c r="O66" s="17"/>
      <c r="P66" s="17"/>
    </row>
    <row r="67" customFormat="false" ht="15" hidden="false" customHeight="false" outlineLevel="0" collapsed="false">
      <c r="A67" s="15" t="s">
        <v>5357</v>
      </c>
      <c r="B67" s="15" t="s">
        <v>80</v>
      </c>
      <c r="C67" s="15" t="s">
        <v>370</v>
      </c>
      <c r="D67" s="16" t="n">
        <v>1300</v>
      </c>
      <c r="E67" s="15" t="n">
        <v>50</v>
      </c>
      <c r="F67" s="15" t="s">
        <v>5159</v>
      </c>
      <c r="G67" s="15" t="s">
        <v>5173</v>
      </c>
      <c r="H67" s="15" t="n">
        <v>3</v>
      </c>
      <c r="I67" s="15" t="s">
        <v>637</v>
      </c>
      <c r="J67" s="15" t="str">
        <f aca="false">IF(I67="","No","Yes")</f>
        <v>Yes</v>
      </c>
      <c r="K67" s="18" t="str">
        <f aca="false">IF(I67="","",IFERROR(IF(ISNUMBER(SEARCH(A67,INDEX(Pages!$J$2:$J$824,MATCH(I67,Pages!$B$2:$B$824,0)))),"Yes","No"),"Page not found"))</f>
        <v>No</v>
      </c>
      <c r="L67" s="3" t="s">
        <v>5178</v>
      </c>
      <c r="M67" s="3" t="s">
        <v>5358</v>
      </c>
      <c r="N67" s="19"/>
      <c r="O67" s="17"/>
      <c r="P67" s="17"/>
    </row>
    <row r="68" customFormat="false" ht="23.85" hidden="false" customHeight="false" outlineLevel="0" collapsed="false">
      <c r="A68" s="15" t="s">
        <v>5350</v>
      </c>
      <c r="B68" s="15" t="s">
        <v>89</v>
      </c>
      <c r="C68" s="15" t="s">
        <v>258</v>
      </c>
      <c r="D68" s="16" t="n">
        <v>1300</v>
      </c>
      <c r="E68" s="15" t="n">
        <v>50</v>
      </c>
      <c r="F68" s="15" t="s">
        <v>5159</v>
      </c>
      <c r="G68" s="15" t="s">
        <v>5351</v>
      </c>
      <c r="H68" s="15" t="n">
        <v>3</v>
      </c>
      <c r="I68" s="15" t="s">
        <v>397</v>
      </c>
      <c r="J68" s="15" t="str">
        <f aca="false">IF(I68="","No","Yes")</f>
        <v>Yes</v>
      </c>
      <c r="K68" s="18" t="str">
        <f aca="false">IF(I68="","",IFERROR(IF(ISNUMBER(SEARCH(A68,INDEX(Pages!$J$2:$J$824,MATCH(I68,Pages!$B$2:$B$824,0)))),"Yes","No"),"Page not found"))</f>
        <v>No</v>
      </c>
      <c r="L68" s="3" t="s">
        <v>5352</v>
      </c>
      <c r="M68" s="3" t="s">
        <v>5353</v>
      </c>
      <c r="N68" s="19"/>
      <c r="O68" s="17"/>
      <c r="P68" s="17"/>
    </row>
    <row r="69" customFormat="false" ht="15" hidden="false" customHeight="false" outlineLevel="0" collapsed="false">
      <c r="A69" s="15" t="s">
        <v>653</v>
      </c>
      <c r="B69" s="15" t="s">
        <v>84</v>
      </c>
      <c r="C69" s="15" t="s">
        <v>314</v>
      </c>
      <c r="D69" s="16" t="n">
        <v>1300</v>
      </c>
      <c r="E69" s="15" t="n">
        <v>40</v>
      </c>
      <c r="F69" s="15" t="s">
        <v>5159</v>
      </c>
      <c r="G69" s="15" t="s">
        <v>5372</v>
      </c>
      <c r="H69" s="15" t="n">
        <v>3</v>
      </c>
      <c r="I69" s="15" t="s">
        <v>649</v>
      </c>
      <c r="J69" s="15" t="str">
        <f aca="false">IF(I69="","No","Yes")</f>
        <v>Yes</v>
      </c>
      <c r="K69" s="18" t="str">
        <f aca="false">IF(I69="","",IFERROR(IF(ISNUMBER(SEARCH(A69,INDEX(Pages!$J$2:$J$824,MATCH(I69,Pages!$B$2:$B$824,0)))),"Yes","No"),"Page not found"))</f>
        <v>No</v>
      </c>
      <c r="L69" s="3" t="s">
        <v>5376</v>
      </c>
      <c r="M69" s="3" t="s">
        <v>5422</v>
      </c>
      <c r="N69" s="19"/>
      <c r="O69" s="17"/>
      <c r="P69" s="17"/>
    </row>
    <row r="70" customFormat="false" ht="15" hidden="false" customHeight="false" outlineLevel="0" collapsed="false">
      <c r="A70" s="15" t="s">
        <v>599</v>
      </c>
      <c r="B70" s="15" t="s">
        <v>74</v>
      </c>
      <c r="C70" s="15" t="s">
        <v>377</v>
      </c>
      <c r="D70" s="16" t="n">
        <v>1300</v>
      </c>
      <c r="E70" s="15" t="n">
        <v>55</v>
      </c>
      <c r="F70" s="15" t="s">
        <v>5159</v>
      </c>
      <c r="G70" s="15" t="s">
        <v>5183</v>
      </c>
      <c r="H70" s="15" t="n">
        <v>3</v>
      </c>
      <c r="I70" s="15" t="s">
        <v>595</v>
      </c>
      <c r="J70" s="15" t="str">
        <f aca="false">IF(I70="","No","Yes")</f>
        <v>Yes</v>
      </c>
      <c r="K70" s="18" t="str">
        <f aca="false">IF(I70="","",IFERROR(IF(ISNUMBER(SEARCH(A70,INDEX(Pages!$J$2:$J$824,MATCH(I70,Pages!$B$2:$B$824,0)))),"Yes","No"),"Page not found"))</f>
        <v>Yes</v>
      </c>
      <c r="L70" s="3" t="s">
        <v>5279</v>
      </c>
      <c r="M70" s="3" t="s">
        <v>5419</v>
      </c>
      <c r="N70" s="19"/>
      <c r="O70" s="17"/>
      <c r="P70" s="17"/>
    </row>
    <row r="71" customFormat="false" ht="23.85" hidden="false" customHeight="false" outlineLevel="0" collapsed="false">
      <c r="A71" s="15" t="s">
        <v>473</v>
      </c>
      <c r="B71" s="15" t="s">
        <v>82</v>
      </c>
      <c r="C71" s="15" t="s">
        <v>265</v>
      </c>
      <c r="D71" s="16" t="n">
        <v>1000</v>
      </c>
      <c r="E71" s="15" t="n">
        <v>35</v>
      </c>
      <c r="F71" s="15" t="s">
        <v>5159</v>
      </c>
      <c r="G71" s="15" t="s">
        <v>5339</v>
      </c>
      <c r="H71" s="15" t="n">
        <v>1</v>
      </c>
      <c r="I71" s="15" t="s">
        <v>469</v>
      </c>
      <c r="J71" s="15" t="str">
        <f aca="false">IF(I71="","No","Yes")</f>
        <v>Yes</v>
      </c>
      <c r="K71" s="18" t="str">
        <f aca="false">IF(I71="","",IFERROR(IF(ISNUMBER(SEARCH(A71,INDEX(Pages!$J$2:$J$824,MATCH(I71,Pages!$B$2:$B$824,0)))),"Yes","No"),"Page not found"))</f>
        <v>Yes</v>
      </c>
      <c r="L71" s="3" t="s">
        <v>5435</v>
      </c>
      <c r="M71" s="3" t="s">
        <v>5436</v>
      </c>
      <c r="N71" s="19"/>
      <c r="O71" s="17"/>
      <c r="P71" s="17"/>
    </row>
    <row r="72" customFormat="false" ht="15" hidden="false" customHeight="false" outlineLevel="0" collapsed="false">
      <c r="A72" s="15" t="s">
        <v>5283</v>
      </c>
      <c r="B72" s="15" t="s">
        <v>82</v>
      </c>
      <c r="C72" s="15" t="s">
        <v>265</v>
      </c>
      <c r="D72" s="16" t="n">
        <v>1000</v>
      </c>
      <c r="E72" s="15" t="n">
        <v>45</v>
      </c>
      <c r="F72" s="15" t="s">
        <v>5177</v>
      </c>
      <c r="G72" s="15" t="s">
        <v>5170</v>
      </c>
      <c r="H72" s="15" t="n">
        <v>2</v>
      </c>
      <c r="I72" s="15" t="s">
        <v>210</v>
      </c>
      <c r="J72" s="15" t="str">
        <f aca="false">IF(I72="","No","Yes")</f>
        <v>Yes</v>
      </c>
      <c r="K72" s="18" t="str">
        <f aca="false">IF(I72="","",IFERROR(IF(ISNUMBER(SEARCH(A72,INDEX(Pages!$J$2:$J$824,MATCH(I72,Pages!$B$2:$B$824,0)))),"Yes","No"),"Page not found"))</f>
        <v>No</v>
      </c>
      <c r="L72" s="3" t="s">
        <v>5284</v>
      </c>
      <c r="M72" s="3"/>
      <c r="N72" s="19"/>
      <c r="O72" s="17"/>
      <c r="P72" s="17"/>
    </row>
    <row r="73" customFormat="false" ht="15" hidden="false" customHeight="false" outlineLevel="0" collapsed="false">
      <c r="A73" s="15" t="s">
        <v>182</v>
      </c>
      <c r="B73" s="15" t="s">
        <v>93</v>
      </c>
      <c r="C73" s="15"/>
      <c r="D73" s="16" t="n">
        <v>1000</v>
      </c>
      <c r="E73" s="15" t="n">
        <v>55</v>
      </c>
      <c r="F73" s="15" t="s">
        <v>5159</v>
      </c>
      <c r="G73" s="15" t="s">
        <v>5263</v>
      </c>
      <c r="H73" s="15" t="n">
        <v>2</v>
      </c>
      <c r="I73" s="15" t="s">
        <v>178</v>
      </c>
      <c r="J73" s="15" t="str">
        <f aca="false">IF(I73="","No","Yes")</f>
        <v>Yes</v>
      </c>
      <c r="K73" s="18" t="str">
        <f aca="false">IF(I73="","",IFERROR(IF(ISNUMBER(SEARCH(A73,INDEX(Pages!$J$2:$J$824,MATCH(I73,Pages!$B$2:$B$824,0)))),"Yes","No"),"Page not found"))</f>
        <v>No</v>
      </c>
      <c r="L73" s="3" t="s">
        <v>5182</v>
      </c>
      <c r="M73" s="3"/>
      <c r="N73" s="19"/>
      <c r="O73" s="17"/>
      <c r="P73" s="17"/>
    </row>
    <row r="74" customFormat="false" ht="15" hidden="false" customHeight="false" outlineLevel="0" collapsed="false">
      <c r="A74" s="15" t="s">
        <v>5354</v>
      </c>
      <c r="B74" s="15" t="s">
        <v>91</v>
      </c>
      <c r="C74" s="15" t="s">
        <v>342</v>
      </c>
      <c r="D74" s="16" t="n">
        <v>1000</v>
      </c>
      <c r="E74" s="15" t="n">
        <v>50</v>
      </c>
      <c r="F74" s="15" t="s">
        <v>5159</v>
      </c>
      <c r="G74" s="15" t="s">
        <v>5193</v>
      </c>
      <c r="H74" s="15" t="n">
        <v>2</v>
      </c>
      <c r="I74" s="15" t="s">
        <v>341</v>
      </c>
      <c r="J74" s="15" t="str">
        <f aca="false">IF(I74="","No","Yes")</f>
        <v>Yes</v>
      </c>
      <c r="K74" s="18" t="str">
        <f aca="false">IF(I74="","",IFERROR(IF(ISNUMBER(SEARCH(A74,INDEX(Pages!$J$2:$J$824,MATCH(I74,Pages!$B$2:$B$824,0)))),"Yes","No"),"Page not found"))</f>
        <v>No</v>
      </c>
      <c r="L74" s="3" t="s">
        <v>5212</v>
      </c>
      <c r="M74" s="3"/>
      <c r="N74" s="19"/>
      <c r="O74" s="17"/>
      <c r="P74" s="17"/>
    </row>
    <row r="75" customFormat="false" ht="15" hidden="false" customHeight="false" outlineLevel="0" collapsed="false">
      <c r="A75" s="15" t="s">
        <v>569</v>
      </c>
      <c r="B75" s="15" t="s">
        <v>74</v>
      </c>
      <c r="C75" s="15" t="s">
        <v>321</v>
      </c>
      <c r="D75" s="16" t="n">
        <v>1000</v>
      </c>
      <c r="E75" s="15" t="n">
        <v>40</v>
      </c>
      <c r="F75" s="15" t="s">
        <v>5159</v>
      </c>
      <c r="G75" s="15" t="s">
        <v>5406</v>
      </c>
      <c r="H75" s="15" t="n">
        <v>2</v>
      </c>
      <c r="I75" s="15" t="s">
        <v>565</v>
      </c>
      <c r="J75" s="15" t="str">
        <f aca="false">IF(I75="","No","Yes")</f>
        <v>Yes</v>
      </c>
      <c r="K75" s="18" t="str">
        <f aca="false">IF(I75="","",IFERROR(IF(ISNUMBER(SEARCH(A75,INDEX(Pages!$J$2:$J$824,MATCH(I75,Pages!$B$2:$B$824,0)))),"Yes","No"),"Page not found"))</f>
        <v>No</v>
      </c>
      <c r="L75" s="3" t="s">
        <v>5224</v>
      </c>
      <c r="M75" s="3" t="s">
        <v>5373</v>
      </c>
      <c r="N75" s="19"/>
      <c r="O75" s="17"/>
      <c r="P75" s="17"/>
    </row>
    <row r="76" customFormat="false" ht="15" hidden="false" customHeight="false" outlineLevel="0" collapsed="false">
      <c r="A76" s="15" t="s">
        <v>5522</v>
      </c>
      <c r="B76" s="15" t="s">
        <v>82</v>
      </c>
      <c r="C76" s="15" t="s">
        <v>265</v>
      </c>
      <c r="D76" s="16" t="n">
        <v>1000</v>
      </c>
      <c r="E76" s="15" t="n">
        <v>40</v>
      </c>
      <c r="F76" s="15" t="s">
        <v>5177</v>
      </c>
      <c r="G76" s="15" t="s">
        <v>5428</v>
      </c>
      <c r="H76" s="15" t="n">
        <v>4</v>
      </c>
      <c r="I76" s="15"/>
      <c r="J76" s="15" t="str">
        <f aca="false">IF(I76="","No","Yes")</f>
        <v>No</v>
      </c>
      <c r="K76" s="18" t="str">
        <f aca="false">IF(I76="","",IFERROR(IF(ISNUMBER(SEARCH(A76,INDEX(Pages!$J$2:$J$824,MATCH(I76,Pages!$B$2:$B$824,0)))),"Yes","No"),"Page not found"))</f>
        <v/>
      </c>
      <c r="L76" s="3" t="s">
        <v>5197</v>
      </c>
      <c r="M76" s="3" t="s">
        <v>5523</v>
      </c>
      <c r="N76" s="19"/>
      <c r="O76" s="17"/>
      <c r="P76" s="17"/>
    </row>
    <row r="77" customFormat="false" ht="15" hidden="false" customHeight="false" outlineLevel="0" collapsed="false">
      <c r="A77" s="15" t="s">
        <v>5251</v>
      </c>
      <c r="B77" s="15" t="s">
        <v>84</v>
      </c>
      <c r="C77" s="15" t="s">
        <v>314</v>
      </c>
      <c r="D77" s="16" t="n">
        <v>1000</v>
      </c>
      <c r="E77" s="15" t="n">
        <v>45</v>
      </c>
      <c r="F77" s="15" t="s">
        <v>5169</v>
      </c>
      <c r="G77" s="15" t="s">
        <v>5252</v>
      </c>
      <c r="H77" s="15" t="n">
        <v>2</v>
      </c>
      <c r="I77" s="15" t="s">
        <v>5248</v>
      </c>
      <c r="J77" s="15" t="str">
        <f aca="false">IF(I77="","No","Yes")</f>
        <v>Yes</v>
      </c>
      <c r="K77" s="18" t="str">
        <f aca="false">IF(I77="","",IFERROR(IF(ISNUMBER(SEARCH(A77,INDEX(Pages!$J$2:$J$824,MATCH(I77,Pages!$B$2:$B$824,0)))),"Yes","No"),"Page not found"))</f>
        <v>No</v>
      </c>
      <c r="L77" s="3" t="s">
        <v>5253</v>
      </c>
      <c r="M77" s="3"/>
      <c r="N77" s="19"/>
      <c r="O77" s="17"/>
      <c r="P77" s="17"/>
    </row>
    <row r="78" customFormat="false" ht="15" hidden="false" customHeight="false" outlineLevel="0" collapsed="false">
      <c r="A78" s="15" t="s">
        <v>5094</v>
      </c>
      <c r="B78" s="15" t="s">
        <v>86</v>
      </c>
      <c r="C78" s="15" t="s">
        <v>356</v>
      </c>
      <c r="D78" s="16" t="n">
        <v>1000</v>
      </c>
      <c r="E78" s="15" t="n">
        <v>35</v>
      </c>
      <c r="F78" s="15" t="s">
        <v>5177</v>
      </c>
      <c r="G78" s="15" t="s">
        <v>5285</v>
      </c>
      <c r="H78" s="15" t="n">
        <v>1</v>
      </c>
      <c r="I78" s="15" t="s">
        <v>5090</v>
      </c>
      <c r="J78" s="15" t="str">
        <f aca="false">IF(I78="","No","Yes")</f>
        <v>Yes</v>
      </c>
      <c r="K78" s="18" t="str">
        <f aca="false">IF(I78="","",IFERROR(IF(ISNUMBER(SEARCH(A78,INDEX(Pages!$J$2:$J$824,MATCH(I78,Pages!$B$2:$B$824,0)))),"Yes","No"),"Page not found"))</f>
        <v>No</v>
      </c>
      <c r="L78" s="3" t="s">
        <v>5388</v>
      </c>
      <c r="M78" s="3"/>
      <c r="N78" s="19"/>
      <c r="O78" s="17"/>
      <c r="P78" s="17"/>
    </row>
    <row r="79" customFormat="false" ht="15" hidden="false" customHeight="false" outlineLevel="0" collapsed="false">
      <c r="A79" s="15" t="s">
        <v>5327</v>
      </c>
      <c r="B79" s="15" t="s">
        <v>75</v>
      </c>
      <c r="C79" s="15" t="s">
        <v>328</v>
      </c>
      <c r="D79" s="16" t="n">
        <v>1000</v>
      </c>
      <c r="E79" s="15" t="n">
        <v>45</v>
      </c>
      <c r="F79" s="15" t="s">
        <v>5159</v>
      </c>
      <c r="G79" s="15" t="s">
        <v>5324</v>
      </c>
      <c r="H79" s="15" t="n">
        <v>1</v>
      </c>
      <c r="I79" s="15" t="s">
        <v>327</v>
      </c>
      <c r="J79" s="15" t="str">
        <f aca="false">IF(I79="","No","Yes")</f>
        <v>Yes</v>
      </c>
      <c r="K79" s="18" t="str">
        <f aca="false">IF(I79="","",IFERROR(IF(ISNUMBER(SEARCH(A79,INDEX(Pages!$J$2:$J$824,MATCH(I79,Pages!$B$2:$B$824,0)))),"Yes","No"),"Page not found"))</f>
        <v>No</v>
      </c>
      <c r="L79" s="3" t="s">
        <v>5328</v>
      </c>
      <c r="M79" s="3"/>
      <c r="N79" s="19"/>
      <c r="O79" s="17"/>
      <c r="P79" s="17"/>
    </row>
    <row r="80" customFormat="false" ht="15" hidden="false" customHeight="false" outlineLevel="0" collapsed="false">
      <c r="A80" s="15" t="s">
        <v>388</v>
      </c>
      <c r="B80" s="15" t="s">
        <v>83</v>
      </c>
      <c r="C80" s="15" t="s">
        <v>265</v>
      </c>
      <c r="D80" s="16" t="n">
        <v>1000</v>
      </c>
      <c r="E80" s="15" t="n">
        <v>35</v>
      </c>
      <c r="F80" s="15" t="s">
        <v>5159</v>
      </c>
      <c r="G80" s="15" t="s">
        <v>5276</v>
      </c>
      <c r="H80" s="15" t="n">
        <v>4</v>
      </c>
      <c r="I80" s="15" t="s">
        <v>383</v>
      </c>
      <c r="J80" s="15" t="str">
        <f aca="false">IF(I80="","No","Yes")</f>
        <v>Yes</v>
      </c>
      <c r="K80" s="18" t="str">
        <f aca="false">IF(I80="","",IFERROR(IF(ISNUMBER(SEARCH(A80,INDEX(Pages!$J$2:$J$824,MATCH(I80,Pages!$B$2:$B$824,0)))),"Yes","No"),"Page not found"))</f>
        <v>Yes</v>
      </c>
      <c r="L80" s="3" t="s">
        <v>5376</v>
      </c>
      <c r="M80" s="3"/>
      <c r="N80" s="19"/>
      <c r="O80" s="17"/>
      <c r="P80" s="17"/>
    </row>
    <row r="81" customFormat="false" ht="15" hidden="false" customHeight="false" outlineLevel="0" collapsed="false">
      <c r="A81" s="15" t="s">
        <v>223</v>
      </c>
      <c r="B81" s="15" t="s">
        <v>93</v>
      </c>
      <c r="C81" s="15"/>
      <c r="D81" s="16" t="n">
        <v>1000</v>
      </c>
      <c r="E81" s="15" t="n">
        <v>40</v>
      </c>
      <c r="F81" s="15" t="s">
        <v>5177</v>
      </c>
      <c r="G81" s="15" t="s">
        <v>5263</v>
      </c>
      <c r="H81" s="15" t="n">
        <v>3</v>
      </c>
      <c r="I81" s="15" t="s">
        <v>219</v>
      </c>
      <c r="J81" s="15" t="str">
        <f aca="false">IF(I81="","No","Yes")</f>
        <v>Yes</v>
      </c>
      <c r="K81" s="18" t="str">
        <f aca="false">IF(I81="","",IFERROR(IF(ISNUMBER(SEARCH(A81,INDEX(Pages!$J$2:$J$824,MATCH(I81,Pages!$B$2:$B$824,0)))),"Yes","No"),"Page not found"))</f>
        <v>No</v>
      </c>
      <c r="L81" s="3" t="s">
        <v>5166</v>
      </c>
      <c r="M81" s="3" t="s">
        <v>5437</v>
      </c>
      <c r="N81" s="19"/>
      <c r="O81" s="17"/>
      <c r="P81" s="17"/>
    </row>
    <row r="82" customFormat="false" ht="15" hidden="false" customHeight="false" outlineLevel="0" collapsed="false">
      <c r="A82" s="15" t="s">
        <v>479</v>
      </c>
      <c r="B82" s="15" t="s">
        <v>82</v>
      </c>
      <c r="C82" s="15" t="s">
        <v>265</v>
      </c>
      <c r="D82" s="16" t="n">
        <v>1000</v>
      </c>
      <c r="E82" s="15" t="n">
        <v>40</v>
      </c>
      <c r="F82" s="15" t="s">
        <v>5159</v>
      </c>
      <c r="G82" s="15" t="s">
        <v>5339</v>
      </c>
      <c r="H82" s="15" t="n">
        <v>2</v>
      </c>
      <c r="I82" s="15" t="s">
        <v>475</v>
      </c>
      <c r="J82" s="15" t="str">
        <f aca="false">IF(I82="","No","Yes")</f>
        <v>Yes</v>
      </c>
      <c r="K82" s="18" t="str">
        <f aca="false">IF(I82="","",IFERROR(IF(ISNUMBER(SEARCH(A82,INDEX(Pages!$J$2:$J$824,MATCH(I82,Pages!$B$2:$B$824,0)))),"Yes","No"),"Page not found"))</f>
        <v>No</v>
      </c>
      <c r="L82" s="3" t="s">
        <v>5411</v>
      </c>
      <c r="M82" s="3" t="s">
        <v>5412</v>
      </c>
      <c r="N82" s="19"/>
      <c r="O82" s="17"/>
      <c r="P82" s="17"/>
    </row>
    <row r="83" customFormat="false" ht="15" hidden="false" customHeight="false" outlineLevel="0" collapsed="false">
      <c r="A83" s="15" t="s">
        <v>5395</v>
      </c>
      <c r="B83" s="15" t="s">
        <v>83</v>
      </c>
      <c r="C83" s="15" t="s">
        <v>265</v>
      </c>
      <c r="D83" s="16" t="n">
        <v>880</v>
      </c>
      <c r="E83" s="15" t="n">
        <v>35</v>
      </c>
      <c r="F83" s="15" t="s">
        <v>5159</v>
      </c>
      <c r="G83" s="15" t="s">
        <v>5276</v>
      </c>
      <c r="H83" s="15" t="n">
        <v>4</v>
      </c>
      <c r="I83" s="15" t="s">
        <v>383</v>
      </c>
      <c r="J83" s="15" t="str">
        <f aca="false">IF(I83="","No","Yes")</f>
        <v>Yes</v>
      </c>
      <c r="K83" s="18" t="str">
        <f aca="false">IF(I83="","",IFERROR(IF(ISNUMBER(SEARCH(A83,INDEX(Pages!$J$2:$J$824,MATCH(I83,Pages!$B$2:$B$824,0)))),"Yes","No"),"Page not found"))</f>
        <v>No</v>
      </c>
      <c r="L83" s="3" t="s">
        <v>5376</v>
      </c>
      <c r="M83" s="3"/>
      <c r="N83" s="19"/>
      <c r="O83" s="17"/>
      <c r="P83" s="17"/>
    </row>
    <row r="84" customFormat="false" ht="15" hidden="false" customHeight="false" outlineLevel="0" collapsed="false">
      <c r="A84" s="15" t="s">
        <v>198</v>
      </c>
      <c r="B84" s="15" t="s">
        <v>82</v>
      </c>
      <c r="C84" s="15" t="s">
        <v>265</v>
      </c>
      <c r="D84" s="16" t="n">
        <v>880</v>
      </c>
      <c r="E84" s="15" t="n">
        <v>35</v>
      </c>
      <c r="F84" s="15" t="s">
        <v>5177</v>
      </c>
      <c r="G84" s="15" t="s">
        <v>5428</v>
      </c>
      <c r="H84" s="15" t="n">
        <v>4</v>
      </c>
      <c r="I84" s="15" t="s">
        <v>194</v>
      </c>
      <c r="J84" s="15" t="str">
        <f aca="false">IF(I84="","No","Yes")</f>
        <v>Yes</v>
      </c>
      <c r="K84" s="18" t="str">
        <f aca="false">IF(I84="","",IFERROR(IF(ISNUMBER(SEARCH(A84,INDEX(Pages!$J$2:$J$824,MATCH(I84,Pages!$B$2:$B$824,0)))),"Yes","No"),"Page not found"))</f>
        <v>No</v>
      </c>
      <c r="L84" s="3" t="s">
        <v>5408</v>
      </c>
      <c r="M84" s="3"/>
      <c r="N84" s="19"/>
      <c r="O84" s="17"/>
      <c r="P84" s="17"/>
    </row>
    <row r="85" customFormat="false" ht="15" hidden="false" customHeight="false" outlineLevel="0" collapsed="false">
      <c r="A85" s="15" t="s">
        <v>533</v>
      </c>
      <c r="B85" s="15" t="s">
        <v>84</v>
      </c>
      <c r="C85" s="15" t="s">
        <v>314</v>
      </c>
      <c r="D85" s="16" t="n">
        <v>880</v>
      </c>
      <c r="E85" s="15" t="n">
        <v>40</v>
      </c>
      <c r="F85" s="15" t="s">
        <v>5159</v>
      </c>
      <c r="G85" s="15" t="s">
        <v>5372</v>
      </c>
      <c r="H85" s="15" t="n">
        <v>2</v>
      </c>
      <c r="I85" s="15" t="s">
        <v>529</v>
      </c>
      <c r="J85" s="15" t="str">
        <f aca="false">IF(I85="","No","Yes")</f>
        <v>Yes</v>
      </c>
      <c r="K85" s="18" t="str">
        <f aca="false">IF(I85="","",IFERROR(IF(ISNUMBER(SEARCH(A85,INDEX(Pages!$J$2:$J$824,MATCH(I85,Pages!$B$2:$B$824,0)))),"Yes","No"),"Page not found"))</f>
        <v>No</v>
      </c>
      <c r="L85" s="3" t="s">
        <v>5442</v>
      </c>
      <c r="M85" s="3" t="s">
        <v>5443</v>
      </c>
      <c r="N85" s="19"/>
      <c r="O85" s="17"/>
      <c r="P85" s="17"/>
    </row>
    <row r="86" customFormat="false" ht="23.85" hidden="false" customHeight="false" outlineLevel="0" collapsed="false">
      <c r="A86" s="15" t="s">
        <v>5256</v>
      </c>
      <c r="B86" s="15" t="s">
        <v>76</v>
      </c>
      <c r="C86" s="15" t="s">
        <v>286</v>
      </c>
      <c r="D86" s="16" t="n">
        <v>880</v>
      </c>
      <c r="E86" s="15" t="n">
        <v>45</v>
      </c>
      <c r="F86" s="15" t="s">
        <v>5177</v>
      </c>
      <c r="G86" s="15" t="s">
        <v>5254</v>
      </c>
      <c r="H86" s="15" t="n">
        <v>1</v>
      </c>
      <c r="I86" s="15" t="s">
        <v>285</v>
      </c>
      <c r="J86" s="15" t="str">
        <f aca="false">IF(I86="","No","Yes")</f>
        <v>Yes</v>
      </c>
      <c r="K86" s="18" t="str">
        <f aca="false">IF(I86="","",IFERROR(IF(ISNUMBER(SEARCH(A86,INDEX(Pages!$J$2:$J$824,MATCH(I86,Pages!$B$2:$B$824,0)))),"Yes","No"),"Page not found"))</f>
        <v>No</v>
      </c>
      <c r="L86" s="3" t="s">
        <v>5257</v>
      </c>
      <c r="M86" s="3"/>
      <c r="N86" s="19"/>
      <c r="O86" s="17"/>
      <c r="P86" s="17"/>
    </row>
    <row r="87" customFormat="false" ht="15" hidden="false" customHeight="false" outlineLevel="0" collapsed="false">
      <c r="A87" s="15" t="s">
        <v>413</v>
      </c>
      <c r="B87" s="15" t="s">
        <v>89</v>
      </c>
      <c r="C87" s="15" t="s">
        <v>258</v>
      </c>
      <c r="D87" s="16" t="n">
        <v>880</v>
      </c>
      <c r="E87" s="15" t="n">
        <v>45</v>
      </c>
      <c r="F87" s="15" t="s">
        <v>5159</v>
      </c>
      <c r="G87" s="15" t="s">
        <v>5193</v>
      </c>
      <c r="H87" s="15" t="n">
        <v>3</v>
      </c>
      <c r="I87" s="15" t="s">
        <v>409</v>
      </c>
      <c r="J87" s="15" t="str">
        <f aca="false">IF(I87="","No","Yes")</f>
        <v>Yes</v>
      </c>
      <c r="K87" s="18" t="str">
        <f aca="false">IF(I87="","",IFERROR(IF(ISNUMBER(SEARCH(A87,INDEX(Pages!$J$2:$J$824,MATCH(I87,Pages!$B$2:$B$824,0)))),"Yes","No"),"Page not found"))</f>
        <v>No</v>
      </c>
      <c r="L87" s="3" t="s">
        <v>5420</v>
      </c>
      <c r="M87" s="3" t="s">
        <v>5441</v>
      </c>
      <c r="N87" s="19"/>
      <c r="O87" s="17"/>
      <c r="P87" s="17"/>
    </row>
    <row r="88" customFormat="false" ht="15" hidden="false" customHeight="false" outlineLevel="0" collapsed="false">
      <c r="A88" s="15" t="s">
        <v>449</v>
      </c>
      <c r="B88" s="15" t="s">
        <v>82</v>
      </c>
      <c r="C88" s="15" t="s">
        <v>265</v>
      </c>
      <c r="D88" s="16" t="n">
        <v>880</v>
      </c>
      <c r="E88" s="15" t="n">
        <v>35</v>
      </c>
      <c r="F88" s="15" t="s">
        <v>5159</v>
      </c>
      <c r="G88" s="15" t="s">
        <v>5339</v>
      </c>
      <c r="H88" s="15" t="n">
        <v>3</v>
      </c>
      <c r="I88" s="15" t="s">
        <v>445</v>
      </c>
      <c r="J88" s="15" t="str">
        <f aca="false">IF(I88="","No","Yes")</f>
        <v>Yes</v>
      </c>
      <c r="K88" s="18" t="str">
        <f aca="false">IF(I88="","",IFERROR(IF(ISNUMBER(SEARCH(A88,INDEX(Pages!$J$2:$J$824,MATCH(I88,Pages!$B$2:$B$824,0)))),"Yes","No"),"Page not found"))</f>
        <v>No</v>
      </c>
      <c r="L88" s="3" t="s">
        <v>5182</v>
      </c>
      <c r="M88" s="3"/>
      <c r="N88" s="19"/>
      <c r="O88" s="17"/>
      <c r="P88" s="17"/>
    </row>
    <row r="89" customFormat="false" ht="15" hidden="false" customHeight="false" outlineLevel="0" collapsed="false">
      <c r="A89" s="15" t="s">
        <v>461</v>
      </c>
      <c r="B89" s="15" t="s">
        <v>82</v>
      </c>
      <c r="C89" s="15" t="s">
        <v>265</v>
      </c>
      <c r="D89" s="16" t="n">
        <v>880</v>
      </c>
      <c r="E89" s="15" t="n">
        <v>45</v>
      </c>
      <c r="F89" s="15" t="s">
        <v>5159</v>
      </c>
      <c r="G89" s="15" t="s">
        <v>5160</v>
      </c>
      <c r="H89" s="15" t="n">
        <v>3</v>
      </c>
      <c r="I89" s="15" t="s">
        <v>457</v>
      </c>
      <c r="J89" s="15" t="str">
        <f aca="false">IF(I89="","No","Yes")</f>
        <v>Yes</v>
      </c>
      <c r="K89" s="18" t="str">
        <f aca="false">IF(I89="","",IFERROR(IF(ISNUMBER(SEARCH(A89,INDEX(Pages!$J$2:$J$824,MATCH(I89,Pages!$B$2:$B$824,0)))),"Yes","No"),"Page not found"))</f>
        <v>No</v>
      </c>
      <c r="L89" s="3" t="s">
        <v>5182</v>
      </c>
      <c r="M89" s="3" t="s">
        <v>5373</v>
      </c>
      <c r="N89" s="19"/>
      <c r="O89" s="17"/>
      <c r="P89" s="17"/>
    </row>
    <row r="90" customFormat="false" ht="23.85" hidden="false" customHeight="false" outlineLevel="0" collapsed="false">
      <c r="A90" s="15" t="s">
        <v>5332</v>
      </c>
      <c r="B90" s="15" t="s">
        <v>74</v>
      </c>
      <c r="C90" s="15" t="s">
        <v>321</v>
      </c>
      <c r="D90" s="16" t="n">
        <v>880</v>
      </c>
      <c r="E90" s="15" t="n">
        <v>45</v>
      </c>
      <c r="F90" s="15" t="s">
        <v>5177</v>
      </c>
      <c r="G90" s="15" t="s">
        <v>5240</v>
      </c>
      <c r="H90" s="15" t="n">
        <v>1</v>
      </c>
      <c r="I90" s="15" t="s">
        <v>5037</v>
      </c>
      <c r="J90" s="15" t="str">
        <f aca="false">IF(I90="","No","Yes")</f>
        <v>Yes</v>
      </c>
      <c r="K90" s="18" t="str">
        <f aca="false">IF(I90="","",IFERROR(IF(ISNUMBER(SEARCH(A90,INDEX(Pages!$J$2:$J$824,MATCH(I90,Pages!$B$2:$B$824,0)))),"Yes","No"),"Page not found"))</f>
        <v>No</v>
      </c>
      <c r="L90" s="3" t="s">
        <v>5333</v>
      </c>
      <c r="M90" s="3" t="s">
        <v>5334</v>
      </c>
      <c r="N90" s="19"/>
      <c r="O90" s="17"/>
      <c r="P90" s="17"/>
    </row>
    <row r="91" customFormat="false" ht="15" hidden="false" customHeight="false" outlineLevel="0" collapsed="false">
      <c r="A91" s="15" t="s">
        <v>5291</v>
      </c>
      <c r="B91" s="15" t="s">
        <v>84</v>
      </c>
      <c r="C91" s="15" t="s">
        <v>314</v>
      </c>
      <c r="D91" s="16" t="n">
        <v>880</v>
      </c>
      <c r="E91" s="15" t="n">
        <v>40</v>
      </c>
      <c r="F91" s="15" t="s">
        <v>5177</v>
      </c>
      <c r="G91" s="15" t="s">
        <v>5285</v>
      </c>
      <c r="H91" s="15" t="n">
        <v>1</v>
      </c>
      <c r="I91" s="15" t="s">
        <v>5025</v>
      </c>
      <c r="J91" s="15" t="str">
        <f aca="false">IF(I91="","No","Yes")</f>
        <v>Yes</v>
      </c>
      <c r="K91" s="18" t="str">
        <f aca="false">IF(I91="","",IFERROR(IF(ISNUMBER(SEARCH(A91,INDEX(Pages!$J$2:$J$824,MATCH(I91,Pages!$B$2:$B$824,0)))),"Yes","No"),"Page not found"))</f>
        <v>No</v>
      </c>
      <c r="L91" s="3" t="s">
        <v>5292</v>
      </c>
      <c r="M91" s="3"/>
      <c r="N91" s="19"/>
      <c r="O91" s="17"/>
      <c r="P91" s="17"/>
    </row>
    <row r="92" customFormat="false" ht="15" hidden="false" customHeight="false" outlineLevel="0" collapsed="false">
      <c r="A92" s="15" t="s">
        <v>5524</v>
      </c>
      <c r="B92" s="15" t="s">
        <v>82</v>
      </c>
      <c r="C92" s="15" t="s">
        <v>265</v>
      </c>
      <c r="D92" s="16" t="n">
        <v>880</v>
      </c>
      <c r="E92" s="15" t="n">
        <v>30</v>
      </c>
      <c r="F92" s="15" t="s">
        <v>5159</v>
      </c>
      <c r="G92" s="15" t="s">
        <v>5525</v>
      </c>
      <c r="H92" s="15" t="n">
        <v>3</v>
      </c>
      <c r="I92" s="15"/>
      <c r="J92" s="15" t="str">
        <f aca="false">IF(I92="","No","Yes")</f>
        <v>No</v>
      </c>
      <c r="K92" s="18" t="str">
        <f aca="false">IF(I92="","",IFERROR(IF(ISNUMBER(SEARCH(A92,INDEX(Pages!$J$2:$J$824,MATCH(I92,Pages!$B$2:$B$824,0)))),"Yes","No"),"Page not found"))</f>
        <v/>
      </c>
      <c r="L92" s="3" t="s">
        <v>5526</v>
      </c>
      <c r="M92" s="3" t="s">
        <v>5527</v>
      </c>
      <c r="N92" s="19"/>
      <c r="O92" s="17"/>
      <c r="P92" s="17"/>
    </row>
    <row r="93" customFormat="false" ht="15" hidden="false" customHeight="false" outlineLevel="0" collapsed="false">
      <c r="A93" s="15" t="s">
        <v>5362</v>
      </c>
      <c r="B93" s="15" t="s">
        <v>81</v>
      </c>
      <c r="C93" s="15" t="s">
        <v>349</v>
      </c>
      <c r="D93" s="16" t="n">
        <v>880</v>
      </c>
      <c r="E93" s="15" t="n">
        <v>35</v>
      </c>
      <c r="F93" s="15" t="s">
        <v>5177</v>
      </c>
      <c r="G93" s="15" t="s">
        <v>5235</v>
      </c>
      <c r="H93" s="15" t="n">
        <v>1</v>
      </c>
      <c r="I93" s="15" t="s">
        <v>5084</v>
      </c>
      <c r="J93" s="15" t="str">
        <f aca="false">IF(I93="","No","Yes")</f>
        <v>Yes</v>
      </c>
      <c r="K93" s="18" t="str">
        <f aca="false">IF(I93="","",IFERROR(IF(ISNUMBER(SEARCH(A93,INDEX(Pages!$J$2:$J$824,MATCH(I93,Pages!$B$2:$B$824,0)))),"Yes","No"),"Page not found"))</f>
        <v>Yes</v>
      </c>
      <c r="L93" s="3" t="s">
        <v>5363</v>
      </c>
      <c r="M93" s="3"/>
      <c r="N93" s="19"/>
      <c r="O93" s="17"/>
      <c r="P93" s="17"/>
    </row>
    <row r="94" customFormat="false" ht="15" hidden="false" customHeight="false" outlineLevel="0" collapsed="false">
      <c r="A94" s="15" t="s">
        <v>5239</v>
      </c>
      <c r="B94" s="15" t="s">
        <v>74</v>
      </c>
      <c r="C94" s="15" t="s">
        <v>363</v>
      </c>
      <c r="D94" s="16" t="n">
        <v>880</v>
      </c>
      <c r="E94" s="15" t="n">
        <v>55</v>
      </c>
      <c r="F94" s="15" t="s">
        <v>5159</v>
      </c>
      <c r="G94" s="15" t="s">
        <v>5240</v>
      </c>
      <c r="H94" s="15" t="n">
        <v>2</v>
      </c>
      <c r="I94" s="15" t="s">
        <v>362</v>
      </c>
      <c r="J94" s="15" t="str">
        <f aca="false">IF(I94="","No","Yes")</f>
        <v>Yes</v>
      </c>
      <c r="K94" s="18" t="str">
        <f aca="false">IF(I94="","",IFERROR(IF(ISNUMBER(SEARCH(A94,INDEX(Pages!$J$2:$J$824,MATCH(I94,Pages!$B$2:$B$824,0)))),"Yes","No"),"Page not found"))</f>
        <v>No</v>
      </c>
      <c r="L94" s="3" t="s">
        <v>5241</v>
      </c>
      <c r="M94" s="3"/>
      <c r="N94" s="19"/>
      <c r="O94" s="17"/>
      <c r="P94" s="17"/>
    </row>
    <row r="95" customFormat="false" ht="15" hidden="false" customHeight="false" outlineLevel="0" collapsed="false">
      <c r="A95" s="15" t="s">
        <v>551</v>
      </c>
      <c r="B95" s="15" t="s">
        <v>87</v>
      </c>
      <c r="C95" s="15" t="s">
        <v>314</v>
      </c>
      <c r="D95" s="16" t="n">
        <v>720</v>
      </c>
      <c r="E95" s="15" t="n">
        <v>35</v>
      </c>
      <c r="F95" s="15" t="s">
        <v>5159</v>
      </c>
      <c r="G95" s="15" t="s">
        <v>5372</v>
      </c>
      <c r="H95" s="15" t="n">
        <v>2</v>
      </c>
      <c r="I95" s="15" t="s">
        <v>547</v>
      </c>
      <c r="J95" s="15" t="str">
        <f aca="false">IF(I95="","No","Yes")</f>
        <v>Yes</v>
      </c>
      <c r="K95" s="18" t="str">
        <f aca="false">IF(I95="","",IFERROR(IF(ISNUMBER(SEARCH(A95,INDEX(Pages!$J$2:$J$824,MATCH(I95,Pages!$B$2:$B$824,0)))),"Yes","No"),"Page not found"))</f>
        <v>No</v>
      </c>
      <c r="L95" s="3" t="s">
        <v>5355</v>
      </c>
      <c r="M95" s="3" t="s">
        <v>5466</v>
      </c>
      <c r="N95" s="19"/>
      <c r="O95" s="17"/>
      <c r="P95" s="17"/>
    </row>
    <row r="96" customFormat="false" ht="15" hidden="false" customHeight="false" outlineLevel="0" collapsed="false">
      <c r="A96" s="15" t="s">
        <v>5076</v>
      </c>
      <c r="B96" s="15" t="s">
        <v>78</v>
      </c>
      <c r="C96" s="15" t="s">
        <v>307</v>
      </c>
      <c r="D96" s="16" t="n">
        <v>720</v>
      </c>
      <c r="E96" s="15" t="n">
        <v>25</v>
      </c>
      <c r="F96" s="15" t="s">
        <v>5177</v>
      </c>
      <c r="G96" s="15" t="s">
        <v>5216</v>
      </c>
      <c r="H96" s="15" t="n">
        <v>1</v>
      </c>
      <c r="I96" s="15" t="s">
        <v>5072</v>
      </c>
      <c r="J96" s="15" t="str">
        <f aca="false">IF(I96="","No","Yes")</f>
        <v>Yes</v>
      </c>
      <c r="K96" s="18" t="str">
        <f aca="false">IF(I96="","",IFERROR(IF(ISNUMBER(SEARCH(A96,INDEX(Pages!$J$2:$J$824,MATCH(I96,Pages!$B$2:$B$824,0)))),"Yes","No"),"Page not found"))</f>
        <v>No</v>
      </c>
      <c r="L96" s="3" t="s">
        <v>5463</v>
      </c>
      <c r="M96" s="3" t="s">
        <v>5464</v>
      </c>
      <c r="N96" s="19"/>
      <c r="O96" s="17"/>
      <c r="P96" s="17"/>
    </row>
    <row r="97" customFormat="false" ht="15" hidden="false" customHeight="false" outlineLevel="0" collapsed="false">
      <c r="A97" s="15" t="s">
        <v>563</v>
      </c>
      <c r="B97" s="15" t="s">
        <v>74</v>
      </c>
      <c r="C97" s="15" t="s">
        <v>321</v>
      </c>
      <c r="D97" s="16" t="n">
        <v>720</v>
      </c>
      <c r="E97" s="15" t="n">
        <v>40</v>
      </c>
      <c r="F97" s="15" t="s">
        <v>5159</v>
      </c>
      <c r="G97" s="15" t="s">
        <v>5406</v>
      </c>
      <c r="H97" s="15" t="n">
        <v>4</v>
      </c>
      <c r="I97" s="15"/>
      <c r="J97" s="15" t="str">
        <f aca="false">IF(I97="","No","Yes")</f>
        <v>No</v>
      </c>
      <c r="K97" s="18" t="str">
        <f aca="false">IF(I97="","",IFERROR(IF(ISNUMBER(SEARCH(A97,INDEX(Pages!$J$2:$J$824,MATCH(I97,Pages!$B$2:$B$824,0)))),"Yes","No"),"Page not found"))</f>
        <v/>
      </c>
      <c r="L97" s="3" t="s">
        <v>5224</v>
      </c>
      <c r="M97" s="3" t="s">
        <v>5528</v>
      </c>
      <c r="N97" s="19"/>
      <c r="O97" s="17"/>
      <c r="P97" s="17"/>
    </row>
    <row r="98" customFormat="false" ht="15" hidden="false" customHeight="false" outlineLevel="0" collapsed="false">
      <c r="A98" s="15" t="s">
        <v>5259</v>
      </c>
      <c r="B98" s="15" t="s">
        <v>85</v>
      </c>
      <c r="C98" s="15" t="s">
        <v>272</v>
      </c>
      <c r="D98" s="16" t="n">
        <v>720</v>
      </c>
      <c r="E98" s="15" t="n">
        <v>40</v>
      </c>
      <c r="F98" s="15" t="s">
        <v>5177</v>
      </c>
      <c r="G98" s="15" t="s">
        <v>5191</v>
      </c>
      <c r="H98" s="15" t="n">
        <v>2</v>
      </c>
      <c r="I98" s="15" t="s">
        <v>271</v>
      </c>
      <c r="J98" s="15" t="str">
        <f aca="false">IF(I98="","No","Yes")</f>
        <v>Yes</v>
      </c>
      <c r="K98" s="18" t="str">
        <f aca="false">IF(I98="","",IFERROR(IF(ISNUMBER(SEARCH(A98,INDEX(Pages!$J$2:$J$824,MATCH(I98,Pages!$B$2:$B$824,0)))),"Yes","No"),"Page not found"))</f>
        <v>No</v>
      </c>
      <c r="L98" s="3" t="s">
        <v>5182</v>
      </c>
      <c r="M98" s="3"/>
      <c r="N98" s="19"/>
      <c r="O98" s="17"/>
      <c r="P98" s="17"/>
    </row>
    <row r="99" customFormat="false" ht="15" hidden="false" customHeight="false" outlineLevel="0" collapsed="false">
      <c r="A99" s="15" t="s">
        <v>5387</v>
      </c>
      <c r="B99" s="15" t="s">
        <v>79</v>
      </c>
      <c r="C99" s="15" t="s">
        <v>300</v>
      </c>
      <c r="D99" s="16" t="n">
        <v>720</v>
      </c>
      <c r="E99" s="15" t="n">
        <v>45</v>
      </c>
      <c r="F99" s="15" t="s">
        <v>5159</v>
      </c>
      <c r="G99" s="15" t="s">
        <v>5384</v>
      </c>
      <c r="H99" s="15" t="n">
        <v>1</v>
      </c>
      <c r="I99" s="15" t="s">
        <v>299</v>
      </c>
      <c r="J99" s="15" t="str">
        <f aca="false">IF(I99="","No","Yes")</f>
        <v>Yes</v>
      </c>
      <c r="K99" s="18" t="str">
        <f aca="false">IF(I99="","",IFERROR(IF(ISNUMBER(SEARCH(A99,INDEX(Pages!$J$2:$J$824,MATCH(I99,Pages!$B$2:$B$824,0)))),"Yes","No"),"Page not found"))</f>
        <v>No</v>
      </c>
      <c r="L99" s="3" t="s">
        <v>5224</v>
      </c>
      <c r="M99" s="3"/>
      <c r="N99" s="19"/>
      <c r="O99" s="17"/>
      <c r="P99" s="17"/>
    </row>
    <row r="100" customFormat="false" ht="15" hidden="false" customHeight="false" outlineLevel="0" collapsed="false">
      <c r="A100" s="15" t="s">
        <v>635</v>
      </c>
      <c r="B100" s="15" t="s">
        <v>80</v>
      </c>
      <c r="C100" s="15" t="s">
        <v>370</v>
      </c>
      <c r="D100" s="16" t="n">
        <v>720</v>
      </c>
      <c r="E100" s="15" t="n">
        <v>40</v>
      </c>
      <c r="F100" s="15" t="s">
        <v>5159</v>
      </c>
      <c r="G100" s="15" t="s">
        <v>5235</v>
      </c>
      <c r="H100" s="15" t="n">
        <v>3</v>
      </c>
      <c r="I100" s="15" t="s">
        <v>631</v>
      </c>
      <c r="J100" s="15" t="str">
        <f aca="false">IF(I100="","No","Yes")</f>
        <v>Yes</v>
      </c>
      <c r="K100" s="18" t="str">
        <f aca="false">IF(I100="","",IFERROR(IF(ISNUMBER(SEARCH(A100,INDEX(Pages!$J$2:$J$824,MATCH(I100,Pages!$B$2:$B$824,0)))),"Yes","No"),"Page not found"))</f>
        <v>No</v>
      </c>
      <c r="L100" s="3" t="s">
        <v>5224</v>
      </c>
      <c r="M100" s="3" t="s">
        <v>5373</v>
      </c>
      <c r="N100" s="19"/>
      <c r="O100" s="17"/>
      <c r="P100" s="17"/>
    </row>
    <row r="101" customFormat="false" ht="15" hidden="false" customHeight="false" outlineLevel="0" collapsed="false">
      <c r="A101" s="15" t="s">
        <v>5529</v>
      </c>
      <c r="B101" s="15" t="s">
        <v>74</v>
      </c>
      <c r="C101" s="15" t="s">
        <v>321</v>
      </c>
      <c r="D101" s="16" t="n">
        <v>720</v>
      </c>
      <c r="E101" s="15" t="n">
        <v>40</v>
      </c>
      <c r="F101" s="15" t="s">
        <v>5177</v>
      </c>
      <c r="G101" s="15" t="s">
        <v>5530</v>
      </c>
      <c r="H101" s="15" t="n">
        <v>3</v>
      </c>
      <c r="I101" s="15"/>
      <c r="J101" s="15" t="str">
        <f aca="false">IF(I101="","No","Yes")</f>
        <v>No</v>
      </c>
      <c r="K101" s="18" t="str">
        <f aca="false">IF(I101="","",IFERROR(IF(ISNUMBER(SEARCH(A101,INDEX(Pages!$J$2:$J$824,MATCH(I101,Pages!$B$2:$B$824,0)))),"Yes","No"),"Page not found"))</f>
        <v/>
      </c>
      <c r="L101" s="3" t="s">
        <v>5224</v>
      </c>
      <c r="M101" s="3" t="s">
        <v>5531</v>
      </c>
      <c r="N101" s="19"/>
      <c r="O101" s="17"/>
      <c r="P101" s="17"/>
    </row>
    <row r="102" customFormat="false" ht="15" hidden="false" customHeight="false" outlineLevel="0" collapsed="false">
      <c r="A102" s="15" t="s">
        <v>545</v>
      </c>
      <c r="B102" s="15" t="s">
        <v>84</v>
      </c>
      <c r="C102" s="15" t="s">
        <v>314</v>
      </c>
      <c r="D102" s="16" t="n">
        <v>720</v>
      </c>
      <c r="E102" s="15" t="n">
        <v>30</v>
      </c>
      <c r="F102" s="15" t="s">
        <v>5159</v>
      </c>
      <c r="G102" s="15" t="s">
        <v>5372</v>
      </c>
      <c r="H102" s="15" t="n">
        <v>3</v>
      </c>
      <c r="I102" s="15" t="s">
        <v>541</v>
      </c>
      <c r="J102" s="15" t="str">
        <f aca="false">IF(I102="","No","Yes")</f>
        <v>Yes</v>
      </c>
      <c r="K102" s="18" t="str">
        <f aca="false">IF(I102="","",IFERROR(IF(ISNUMBER(SEARCH(A102,INDEX(Pages!$J$2:$J$824,MATCH(I102,Pages!$B$2:$B$824,0)))),"Yes","No"),"Page not found"))</f>
        <v>No</v>
      </c>
      <c r="L102" s="3" t="s">
        <v>5376</v>
      </c>
      <c r="M102" s="3"/>
      <c r="N102" s="19"/>
      <c r="O102" s="17"/>
      <c r="P102" s="17"/>
    </row>
    <row r="103" customFormat="false" ht="15" hidden="false" customHeight="false" outlineLevel="0" collapsed="false">
      <c r="A103" s="15" t="s">
        <v>5082</v>
      </c>
      <c r="B103" s="15" t="s">
        <v>89</v>
      </c>
      <c r="C103" s="15" t="s">
        <v>258</v>
      </c>
      <c r="D103" s="16" t="n">
        <v>720</v>
      </c>
      <c r="E103" s="15" t="n">
        <v>40</v>
      </c>
      <c r="F103" s="15" t="s">
        <v>5177</v>
      </c>
      <c r="G103" s="15" t="s">
        <v>5193</v>
      </c>
      <c r="H103" s="15" t="n">
        <v>1</v>
      </c>
      <c r="I103" s="15" t="s">
        <v>5078</v>
      </c>
      <c r="J103" s="15" t="str">
        <f aca="false">IF(I103="","No","Yes")</f>
        <v>Yes</v>
      </c>
      <c r="K103" s="18" t="str">
        <f aca="false">IF(I103="","",IFERROR(IF(ISNUMBER(SEARCH(A103,INDEX(Pages!$J$2:$J$824,MATCH(I103,Pages!$B$2:$B$824,0)))),"Yes","No"),"Page not found"))</f>
        <v>Yes</v>
      </c>
      <c r="L103" s="3" t="s">
        <v>5465</v>
      </c>
      <c r="M103" s="3"/>
      <c r="N103" s="19"/>
      <c r="O103" s="17"/>
      <c r="P103" s="17"/>
    </row>
    <row r="104" customFormat="false" ht="15" hidden="false" customHeight="false" outlineLevel="0" collapsed="false">
      <c r="A104" s="15" t="s">
        <v>5532</v>
      </c>
      <c r="B104" s="15" t="s">
        <v>84</v>
      </c>
      <c r="C104" s="15" t="s">
        <v>314</v>
      </c>
      <c r="D104" s="16" t="n">
        <v>720</v>
      </c>
      <c r="E104" s="15" t="n">
        <v>30</v>
      </c>
      <c r="F104" s="15" t="s">
        <v>5177</v>
      </c>
      <c r="G104" s="15" t="s">
        <v>5191</v>
      </c>
      <c r="H104" s="15" t="n">
        <v>2</v>
      </c>
      <c r="I104" s="15"/>
      <c r="J104" s="15" t="str">
        <f aca="false">IF(I104="","No","Yes")</f>
        <v>No</v>
      </c>
      <c r="K104" s="18" t="str">
        <f aca="false">IF(I104="","",IFERROR(IF(ISNUMBER(SEARCH(A104,INDEX(Pages!$J$2:$J$824,MATCH(I104,Pages!$B$2:$B$824,0)))),"Yes","No"),"Page not found"))</f>
        <v/>
      </c>
      <c r="L104" s="3" t="s">
        <v>5533</v>
      </c>
      <c r="M104" s="3" t="s">
        <v>5534</v>
      </c>
      <c r="N104" s="19"/>
      <c r="O104" s="17"/>
      <c r="P104" s="17"/>
    </row>
    <row r="105" customFormat="false" ht="15" hidden="false" customHeight="false" outlineLevel="0" collapsed="false">
      <c r="A105" s="15" t="s">
        <v>5367</v>
      </c>
      <c r="B105" s="15" t="s">
        <v>74</v>
      </c>
      <c r="C105" s="15" t="s">
        <v>335</v>
      </c>
      <c r="D105" s="16" t="n">
        <v>590</v>
      </c>
      <c r="E105" s="15" t="n">
        <v>40</v>
      </c>
      <c r="F105" s="15" t="s">
        <v>5169</v>
      </c>
      <c r="G105" s="15" t="s">
        <v>5364</v>
      </c>
      <c r="H105" s="15" t="n">
        <v>1</v>
      </c>
      <c r="I105" s="15" t="s">
        <v>334</v>
      </c>
      <c r="J105" s="15" t="str">
        <f aca="false">IF(I105="","No","Yes")</f>
        <v>Yes</v>
      </c>
      <c r="K105" s="18" t="str">
        <f aca="false">IF(I105="","",IFERROR(IF(ISNUMBER(SEARCH(A105,INDEX(Pages!$J$2:$J$824,MATCH(I105,Pages!$B$2:$B$824,0)))),"Yes","No"),"Page not found"))</f>
        <v>No</v>
      </c>
      <c r="L105" s="3" t="s">
        <v>5368</v>
      </c>
      <c r="M105" s="3" t="s">
        <v>5369</v>
      </c>
      <c r="N105" s="19"/>
      <c r="O105" s="17"/>
      <c r="P105" s="17"/>
    </row>
    <row r="106" customFormat="false" ht="15" hidden="false" customHeight="false" outlineLevel="0" collapsed="false">
      <c r="A106" s="15" t="s">
        <v>407</v>
      </c>
      <c r="B106" s="15" t="s">
        <v>89</v>
      </c>
      <c r="C106" s="15" t="s">
        <v>258</v>
      </c>
      <c r="D106" s="16" t="n">
        <v>590</v>
      </c>
      <c r="E106" s="15" t="n">
        <v>45</v>
      </c>
      <c r="F106" s="15" t="s">
        <v>5159</v>
      </c>
      <c r="G106" s="15" t="s">
        <v>5193</v>
      </c>
      <c r="H106" s="15" t="n">
        <v>3</v>
      </c>
      <c r="I106" s="15" t="s">
        <v>403</v>
      </c>
      <c r="J106" s="15" t="str">
        <f aca="false">IF(I106="","No","Yes")</f>
        <v>Yes</v>
      </c>
      <c r="K106" s="18" t="str">
        <f aca="false">IF(I106="","",IFERROR(IF(ISNUMBER(SEARCH(A106,INDEX(Pages!$J$2:$J$824,MATCH(I106,Pages!$B$2:$B$824,0)))),"Yes","No"),"Page not found"))</f>
        <v>No</v>
      </c>
      <c r="L106" s="3" t="s">
        <v>5376</v>
      </c>
      <c r="M106" s="3" t="s">
        <v>5373</v>
      </c>
      <c r="N106" s="19"/>
      <c r="O106" s="17"/>
      <c r="P106" s="17"/>
    </row>
    <row r="107" customFormat="false" ht="23.85" hidden="false" customHeight="false" outlineLevel="0" collapsed="false">
      <c r="A107" s="15" t="s">
        <v>527</v>
      </c>
      <c r="B107" s="15" t="s">
        <v>77</v>
      </c>
      <c r="C107" s="15" t="s">
        <v>293</v>
      </c>
      <c r="D107" s="16" t="n">
        <v>590</v>
      </c>
      <c r="E107" s="15" t="n">
        <v>35</v>
      </c>
      <c r="F107" s="15" t="s">
        <v>5159</v>
      </c>
      <c r="G107" s="15" t="s">
        <v>5254</v>
      </c>
      <c r="H107" s="15" t="n">
        <v>1</v>
      </c>
      <c r="I107" s="15" t="s">
        <v>523</v>
      </c>
      <c r="J107" s="15" t="str">
        <f aca="false">IF(I107="","No","Yes")</f>
        <v>Yes</v>
      </c>
      <c r="K107" s="18" t="str">
        <f aca="false">IF(I107="","",IFERROR(IF(ISNUMBER(SEARCH(A107,INDEX(Pages!$J$2:$J$824,MATCH(I107,Pages!$B$2:$B$824,0)))),"Yes","No"),"Page not found"))</f>
        <v>No</v>
      </c>
      <c r="L107" s="3" t="s">
        <v>5224</v>
      </c>
      <c r="M107" s="3" t="s">
        <v>5477</v>
      </c>
      <c r="N107" s="19"/>
      <c r="O107" s="17"/>
      <c r="P107" s="17"/>
    </row>
    <row r="108" customFormat="false" ht="15" hidden="false" customHeight="false" outlineLevel="0" collapsed="false">
      <c r="A108" s="15" t="s">
        <v>5370</v>
      </c>
      <c r="B108" s="15" t="s">
        <v>74</v>
      </c>
      <c r="C108" s="15" t="s">
        <v>335</v>
      </c>
      <c r="D108" s="16" t="n">
        <v>590</v>
      </c>
      <c r="E108" s="15" t="n">
        <v>40</v>
      </c>
      <c r="F108" s="15" t="s">
        <v>5159</v>
      </c>
      <c r="G108" s="15" t="s">
        <v>5364</v>
      </c>
      <c r="H108" s="15" t="n">
        <v>2</v>
      </c>
      <c r="I108" s="15" t="s">
        <v>334</v>
      </c>
      <c r="J108" s="15" t="str">
        <f aca="false">IF(I108="","No","Yes")</f>
        <v>Yes</v>
      </c>
      <c r="K108" s="18" t="str">
        <f aca="false">IF(I108="","",IFERROR(IF(ISNUMBER(SEARCH(A108,INDEX(Pages!$J$2:$J$824,MATCH(I108,Pages!$B$2:$B$824,0)))),"Yes","No"),"Page not found"))</f>
        <v>No</v>
      </c>
      <c r="L108" s="3" t="s">
        <v>5371</v>
      </c>
      <c r="M108" s="3"/>
      <c r="N108" s="19"/>
      <c r="O108" s="17"/>
      <c r="P108" s="17"/>
    </row>
    <row r="109" customFormat="false" ht="15" hidden="false" customHeight="false" outlineLevel="0" collapsed="false">
      <c r="A109" s="15" t="s">
        <v>5011</v>
      </c>
      <c r="B109" s="15" t="s">
        <v>84</v>
      </c>
      <c r="C109" s="15" t="s">
        <v>314</v>
      </c>
      <c r="D109" s="16" t="n">
        <v>590</v>
      </c>
      <c r="E109" s="15" t="n">
        <v>30</v>
      </c>
      <c r="F109" s="15" t="s">
        <v>5177</v>
      </c>
      <c r="G109" s="15" t="s">
        <v>5285</v>
      </c>
      <c r="H109" s="15" t="n">
        <v>2</v>
      </c>
      <c r="I109" s="15" t="s">
        <v>5007</v>
      </c>
      <c r="J109" s="15" t="str">
        <f aca="false">IF(I109="","No","Yes")</f>
        <v>Yes</v>
      </c>
      <c r="K109" s="18" t="str">
        <f aca="false">IF(I109="","",IFERROR(IF(ISNUMBER(SEARCH(A109,INDEX(Pages!$J$2:$J$824,MATCH(I109,Pages!$B$2:$B$824,0)))),"Yes","No"),"Page not found"))</f>
        <v>No</v>
      </c>
      <c r="L109" s="3" t="s">
        <v>5431</v>
      </c>
      <c r="M109" s="3"/>
      <c r="N109" s="19"/>
      <c r="O109" s="17"/>
      <c r="P109" s="17"/>
    </row>
    <row r="110" customFormat="false" ht="15" hidden="false" customHeight="false" outlineLevel="0" collapsed="false">
      <c r="A110" s="15" t="s">
        <v>5223</v>
      </c>
      <c r="B110" s="15" t="s">
        <v>78</v>
      </c>
      <c r="C110" s="15" t="s">
        <v>307</v>
      </c>
      <c r="D110" s="16" t="n">
        <v>590</v>
      </c>
      <c r="E110" s="15" t="n">
        <v>35</v>
      </c>
      <c r="F110" s="15" t="s">
        <v>5159</v>
      </c>
      <c r="G110" s="15" t="s">
        <v>5216</v>
      </c>
      <c r="H110" s="15" t="n">
        <v>2</v>
      </c>
      <c r="I110" s="15" t="s">
        <v>306</v>
      </c>
      <c r="J110" s="15" t="str">
        <f aca="false">IF(I110="","No","Yes")</f>
        <v>Yes</v>
      </c>
      <c r="K110" s="18" t="str">
        <f aca="false">IF(I110="","",IFERROR(IF(ISNUMBER(SEARCH(A110,INDEX(Pages!$J$2:$J$824,MATCH(I110,Pages!$B$2:$B$824,0)))),"Yes","No"),"Page not found"))</f>
        <v>No</v>
      </c>
      <c r="L110" s="3" t="s">
        <v>5224</v>
      </c>
      <c r="M110" s="3"/>
      <c r="N110" s="19"/>
      <c r="O110" s="17"/>
      <c r="P110" s="17"/>
    </row>
    <row r="111" customFormat="false" ht="15" hidden="false" customHeight="false" outlineLevel="0" collapsed="false">
      <c r="A111" s="15" t="s">
        <v>5535</v>
      </c>
      <c r="B111" s="15" t="s">
        <v>82</v>
      </c>
      <c r="C111" s="15" t="s">
        <v>265</v>
      </c>
      <c r="D111" s="16" t="n">
        <v>590</v>
      </c>
      <c r="E111" s="15" t="n">
        <v>35</v>
      </c>
      <c r="F111" s="15" t="s">
        <v>5159</v>
      </c>
      <c r="G111" s="15" t="s">
        <v>5525</v>
      </c>
      <c r="H111" s="15" t="n">
        <v>4</v>
      </c>
      <c r="I111" s="15"/>
      <c r="J111" s="15" t="str">
        <f aca="false">IF(I111="","No","Yes")</f>
        <v>No</v>
      </c>
      <c r="K111" s="18" t="str">
        <f aca="false">IF(I111="","",IFERROR(IF(ISNUMBER(SEARCH(A111,INDEX(Pages!$J$2:$J$824,MATCH(I111,Pages!$B$2:$B$824,0)))),"Yes","No"),"Page not found"))</f>
        <v/>
      </c>
      <c r="L111" s="3" t="s">
        <v>5182</v>
      </c>
      <c r="M111" s="3" t="s">
        <v>5536</v>
      </c>
      <c r="N111" s="19"/>
      <c r="O111" s="17"/>
      <c r="P111" s="17"/>
    </row>
    <row r="112" customFormat="false" ht="15" hidden="false" customHeight="false" outlineLevel="0" collapsed="false">
      <c r="A112" s="15" t="s">
        <v>575</v>
      </c>
      <c r="B112" s="15" t="s">
        <v>74</v>
      </c>
      <c r="C112" s="15" t="s">
        <v>321</v>
      </c>
      <c r="D112" s="16" t="n">
        <v>590</v>
      </c>
      <c r="E112" s="15" t="n">
        <v>40</v>
      </c>
      <c r="F112" s="15" t="s">
        <v>5159</v>
      </c>
      <c r="G112" s="15" t="s">
        <v>5406</v>
      </c>
      <c r="H112" s="15" t="n">
        <v>3</v>
      </c>
      <c r="I112" s="15" t="s">
        <v>571</v>
      </c>
      <c r="J112" s="15" t="str">
        <f aca="false">IF(I112="","No","Yes")</f>
        <v>Yes</v>
      </c>
      <c r="K112" s="18" t="str">
        <f aca="false">IF(I112="","",IFERROR(IF(ISNUMBER(SEARCH(A112,INDEX(Pages!$J$2:$J$824,MATCH(I112,Pages!$B$2:$B$824,0)))),"Yes","No"),"Page not found"))</f>
        <v>Yes</v>
      </c>
      <c r="L112" s="3" t="s">
        <v>5478</v>
      </c>
      <c r="M112" s="3" t="s">
        <v>5373</v>
      </c>
      <c r="N112" s="19"/>
      <c r="O112" s="17"/>
      <c r="P112" s="17"/>
    </row>
    <row r="113" customFormat="false" ht="15" hidden="false" customHeight="false" outlineLevel="0" collapsed="false">
      <c r="A113" s="15" t="s">
        <v>431</v>
      </c>
      <c r="B113" s="15" t="s">
        <v>89</v>
      </c>
      <c r="C113" s="15" t="s">
        <v>258</v>
      </c>
      <c r="D113" s="16" t="n">
        <v>590</v>
      </c>
      <c r="E113" s="15" t="n">
        <v>40</v>
      </c>
      <c r="F113" s="15" t="s">
        <v>5159</v>
      </c>
      <c r="G113" s="15" t="s">
        <v>5351</v>
      </c>
      <c r="H113" s="15" t="n">
        <v>3</v>
      </c>
      <c r="I113" s="15" t="s">
        <v>427</v>
      </c>
      <c r="J113" s="15" t="str">
        <f aca="false">IF(I113="","No","Yes")</f>
        <v>Yes</v>
      </c>
      <c r="K113" s="18" t="str">
        <f aca="false">IF(I113="","",IFERROR(IF(ISNUMBER(SEARCH(A113,INDEX(Pages!$J$2:$J$824,MATCH(I113,Pages!$B$2:$B$824,0)))),"Yes","No"),"Page not found"))</f>
        <v>No</v>
      </c>
      <c r="L113" s="3" t="s">
        <v>5474</v>
      </c>
      <c r="M113" s="3" t="s">
        <v>5373</v>
      </c>
      <c r="N113" s="19"/>
      <c r="O113" s="17"/>
      <c r="P113" s="17"/>
    </row>
    <row r="114" customFormat="false" ht="15" hidden="false" customHeight="false" outlineLevel="0" collapsed="false">
      <c r="A114" s="15" t="s">
        <v>485</v>
      </c>
      <c r="B114" s="15" t="s">
        <v>82</v>
      </c>
      <c r="C114" s="15" t="s">
        <v>265</v>
      </c>
      <c r="D114" s="16" t="n">
        <v>590</v>
      </c>
      <c r="E114" s="15" t="n">
        <v>35</v>
      </c>
      <c r="F114" s="15" t="s">
        <v>5159</v>
      </c>
      <c r="G114" s="15" t="s">
        <v>5339</v>
      </c>
      <c r="H114" s="15" t="n">
        <v>3</v>
      </c>
      <c r="I114" s="15" t="s">
        <v>481</v>
      </c>
      <c r="J114" s="15" t="str">
        <f aca="false">IF(I114="","No","Yes")</f>
        <v>Yes</v>
      </c>
      <c r="K114" s="18" t="str">
        <f aca="false">IF(I114="","",IFERROR(IF(ISNUMBER(SEARCH(A114,INDEX(Pages!$J$2:$J$824,MATCH(I114,Pages!$B$2:$B$824,0)))),"Yes","No"),"Page not found"))</f>
        <v>No</v>
      </c>
      <c r="L114" s="3" t="s">
        <v>5435</v>
      </c>
      <c r="M114" s="3" t="s">
        <v>5475</v>
      </c>
      <c r="N114" s="19"/>
      <c r="O114" s="17"/>
      <c r="P114" s="17"/>
    </row>
    <row r="115" customFormat="false" ht="15" hidden="false" customHeight="false" outlineLevel="0" collapsed="false">
      <c r="A115" s="15" t="s">
        <v>5293</v>
      </c>
      <c r="B115" s="15" t="s">
        <v>84</v>
      </c>
      <c r="C115" s="15" t="s">
        <v>314</v>
      </c>
      <c r="D115" s="16" t="n">
        <v>590</v>
      </c>
      <c r="E115" s="15" t="n">
        <v>35</v>
      </c>
      <c r="F115" s="15" t="s">
        <v>5177</v>
      </c>
      <c r="G115" s="15" t="s">
        <v>5285</v>
      </c>
      <c r="H115" s="15" t="n">
        <v>2</v>
      </c>
      <c r="I115" s="15" t="s">
        <v>5025</v>
      </c>
      <c r="J115" s="15" t="str">
        <f aca="false">IF(I115="","No","Yes")</f>
        <v>Yes</v>
      </c>
      <c r="K115" s="18" t="str">
        <f aca="false">IF(I115="","",IFERROR(IF(ISNUMBER(SEARCH(A115,INDEX(Pages!$J$2:$J$824,MATCH(I115,Pages!$B$2:$B$824,0)))),"Yes","No"),"Page not found"))</f>
        <v>No</v>
      </c>
      <c r="L115" s="3" t="s">
        <v>5294</v>
      </c>
      <c r="M115" s="3"/>
      <c r="N115" s="19"/>
      <c r="O115" s="17"/>
      <c r="P115" s="17"/>
    </row>
    <row r="116" customFormat="false" ht="15" hidden="false" customHeight="false" outlineLevel="0" collapsed="false">
      <c r="A116" s="15" t="s">
        <v>5537</v>
      </c>
      <c r="B116" s="15" t="s">
        <v>82</v>
      </c>
      <c r="C116" s="15" t="s">
        <v>265</v>
      </c>
      <c r="D116" s="16" t="n">
        <v>590</v>
      </c>
      <c r="E116" s="15" t="n">
        <v>35</v>
      </c>
      <c r="F116" s="15" t="s">
        <v>5177</v>
      </c>
      <c r="G116" s="15" t="s">
        <v>5428</v>
      </c>
      <c r="H116" s="15" t="n">
        <v>4</v>
      </c>
      <c r="I116" s="15"/>
      <c r="J116" s="15" t="str">
        <f aca="false">IF(I116="","No","Yes")</f>
        <v>No</v>
      </c>
      <c r="K116" s="18" t="str">
        <f aca="false">IF(I116="","",IFERROR(IF(ISNUMBER(SEARCH(A116,INDEX(Pages!$J$2:$J$824,MATCH(I116,Pages!$B$2:$B$824,0)))),"Yes","No"),"Page not found"))</f>
        <v/>
      </c>
      <c r="L116" s="3" t="s">
        <v>5538</v>
      </c>
      <c r="M116" s="3" t="s">
        <v>5539</v>
      </c>
      <c r="N116" s="19"/>
      <c r="O116" s="17"/>
      <c r="P116" s="17"/>
    </row>
    <row r="117" customFormat="false" ht="15" hidden="false" customHeight="false" outlineLevel="0" collapsed="false">
      <c r="A117" s="15" t="s">
        <v>5242</v>
      </c>
      <c r="B117" s="15" t="s">
        <v>74</v>
      </c>
      <c r="C117" s="15" t="s">
        <v>363</v>
      </c>
      <c r="D117" s="16" t="n">
        <v>480</v>
      </c>
      <c r="E117" s="15" t="n">
        <v>40</v>
      </c>
      <c r="F117" s="15" t="s">
        <v>5159</v>
      </c>
      <c r="G117" s="15" t="s">
        <v>5183</v>
      </c>
      <c r="H117" s="15" t="n">
        <v>3</v>
      </c>
      <c r="I117" s="15" t="s">
        <v>362</v>
      </c>
      <c r="J117" s="15" t="str">
        <f aca="false">IF(I117="","No","Yes")</f>
        <v>Yes</v>
      </c>
      <c r="K117" s="18" t="str">
        <f aca="false">IF(I117="","",IFERROR(IF(ISNUMBER(SEARCH(A117,INDEX(Pages!$J$2:$J$824,MATCH(I117,Pages!$B$2:$B$824,0)))),"Yes","No"),"Page not found"))</f>
        <v>No</v>
      </c>
      <c r="L117" s="3" t="s">
        <v>5178</v>
      </c>
      <c r="M117" s="3"/>
      <c r="N117" s="19"/>
      <c r="O117" s="17"/>
      <c r="P117" s="17"/>
    </row>
    <row r="118" customFormat="false" ht="15" hidden="false" customHeight="false" outlineLevel="0" collapsed="false">
      <c r="A118" s="15" t="s">
        <v>5540</v>
      </c>
      <c r="B118" s="15" t="s">
        <v>76</v>
      </c>
      <c r="C118" s="15" t="s">
        <v>286</v>
      </c>
      <c r="D118" s="16" t="n">
        <v>480</v>
      </c>
      <c r="E118" s="15" t="n">
        <v>45</v>
      </c>
      <c r="F118" s="15" t="s">
        <v>5159</v>
      </c>
      <c r="G118" s="15" t="s">
        <v>5254</v>
      </c>
      <c r="H118" s="15" t="n">
        <v>2</v>
      </c>
      <c r="I118" s="15"/>
      <c r="J118" s="15" t="str">
        <f aca="false">IF(I118="","No","Yes")</f>
        <v>No</v>
      </c>
      <c r="K118" s="18" t="str">
        <f aca="false">IF(I118="","",IFERROR(IF(ISNUMBER(SEARCH(A118,INDEX(Pages!$J$2:$J$824,MATCH(I118,Pages!$B$2:$B$824,0)))),"Yes","No"),"Page not found"))</f>
        <v/>
      </c>
      <c r="L118" s="3" t="s">
        <v>5224</v>
      </c>
      <c r="M118" s="3" t="s">
        <v>5541</v>
      </c>
      <c r="N118" s="19"/>
      <c r="O118" s="17"/>
      <c r="P118" s="17"/>
    </row>
    <row r="119" customFormat="false" ht="23.85" hidden="false" customHeight="false" outlineLevel="0" collapsed="false">
      <c r="A119" s="15" t="s">
        <v>539</v>
      </c>
      <c r="B119" s="15" t="s">
        <v>84</v>
      </c>
      <c r="C119" s="15" t="s">
        <v>314</v>
      </c>
      <c r="D119" s="16" t="n">
        <v>480</v>
      </c>
      <c r="E119" s="15" t="n">
        <v>25</v>
      </c>
      <c r="F119" s="15" t="s">
        <v>5159</v>
      </c>
      <c r="G119" s="15" t="s">
        <v>5372</v>
      </c>
      <c r="H119" s="15" t="n">
        <v>2</v>
      </c>
      <c r="I119" s="15" t="s">
        <v>535</v>
      </c>
      <c r="J119" s="15" t="str">
        <f aca="false">IF(I119="","No","Yes")</f>
        <v>Yes</v>
      </c>
      <c r="K119" s="18" t="str">
        <f aca="false">IF(I119="","",IFERROR(IF(ISNUMBER(SEARCH(A119,INDEX(Pages!$J$2:$J$824,MATCH(I119,Pages!$B$2:$B$824,0)))),"Yes","No"),"Page not found"))</f>
        <v>No</v>
      </c>
      <c r="L119" s="3" t="s">
        <v>5449</v>
      </c>
      <c r="M119" s="3" t="s">
        <v>5450</v>
      </c>
      <c r="N119" s="19"/>
      <c r="O119" s="17"/>
      <c r="P119" s="17"/>
    </row>
    <row r="120" customFormat="false" ht="15" hidden="false" customHeight="false" outlineLevel="0" collapsed="false">
      <c r="A120" s="15" t="s">
        <v>5380</v>
      </c>
      <c r="B120" s="15" t="s">
        <v>90</v>
      </c>
      <c r="C120" s="15" t="s">
        <v>279</v>
      </c>
      <c r="D120" s="16" t="n">
        <v>480</v>
      </c>
      <c r="E120" s="15" t="n">
        <v>35</v>
      </c>
      <c r="F120" s="15" t="s">
        <v>5159</v>
      </c>
      <c r="G120" s="15" t="s">
        <v>5351</v>
      </c>
      <c r="H120" s="15" t="n">
        <v>2</v>
      </c>
      <c r="I120" s="15" t="s">
        <v>278</v>
      </c>
      <c r="J120" s="15" t="str">
        <f aca="false">IF(I120="","No","Yes")</f>
        <v>Yes</v>
      </c>
      <c r="K120" s="18" t="str">
        <f aca="false">IF(I120="","",IFERROR(IF(ISNUMBER(SEARCH(A120,INDEX(Pages!$J$2:$J$824,MATCH(I120,Pages!$B$2:$B$824,0)))),"Yes","No"),"Page not found"))</f>
        <v>No</v>
      </c>
      <c r="L120" s="3" t="s">
        <v>5182</v>
      </c>
      <c r="M120" s="3"/>
      <c r="N120" s="19"/>
      <c r="O120" s="17"/>
      <c r="P120" s="17"/>
    </row>
    <row r="121" customFormat="false" ht="23.85" hidden="false" customHeight="false" outlineLevel="0" collapsed="false">
      <c r="A121" s="15" t="s">
        <v>5413</v>
      </c>
      <c r="B121" s="15" t="s">
        <v>82</v>
      </c>
      <c r="C121" s="15" t="s">
        <v>265</v>
      </c>
      <c r="D121" s="16" t="n">
        <v>480</v>
      </c>
      <c r="E121" s="15" t="n">
        <v>25</v>
      </c>
      <c r="F121" s="15" t="s">
        <v>5159</v>
      </c>
      <c r="G121" s="15" t="s">
        <v>5339</v>
      </c>
      <c r="H121" s="15" t="n">
        <v>2</v>
      </c>
      <c r="I121" s="15" t="s">
        <v>475</v>
      </c>
      <c r="J121" s="15" t="str">
        <f aca="false">IF(I121="","No","Yes")</f>
        <v>Yes</v>
      </c>
      <c r="K121" s="18" t="str">
        <f aca="false">IF(I121="","",IFERROR(IF(ISNUMBER(SEARCH(A121,INDEX(Pages!$J$2:$J$824,MATCH(I121,Pages!$B$2:$B$824,0)))),"Yes","No"),"Page not found"))</f>
        <v>No</v>
      </c>
      <c r="L121" s="3" t="s">
        <v>5414</v>
      </c>
      <c r="M121" s="3" t="s">
        <v>5415</v>
      </c>
      <c r="N121" s="19"/>
      <c r="O121" s="17"/>
      <c r="P121" s="17"/>
    </row>
    <row r="122" customFormat="false" ht="15" hidden="false" customHeight="false" outlineLevel="0" collapsed="false">
      <c r="A122" s="15" t="s">
        <v>419</v>
      </c>
      <c r="B122" s="15" t="s">
        <v>89</v>
      </c>
      <c r="C122" s="15" t="s">
        <v>258</v>
      </c>
      <c r="D122" s="16" t="n">
        <v>480</v>
      </c>
      <c r="E122" s="15" t="n">
        <v>30</v>
      </c>
      <c r="F122" s="15" t="s">
        <v>5159</v>
      </c>
      <c r="G122" s="15" t="s">
        <v>5193</v>
      </c>
      <c r="H122" s="15" t="n">
        <v>3</v>
      </c>
      <c r="I122" s="15" t="s">
        <v>415</v>
      </c>
      <c r="J122" s="15" t="str">
        <f aca="false">IF(I122="","No","Yes")</f>
        <v>Yes</v>
      </c>
      <c r="K122" s="18" t="str">
        <f aca="false">IF(I122="","",IFERROR(IF(ISNUMBER(SEARCH(A122,INDEX(Pages!$J$2:$J$824,MATCH(I122,Pages!$B$2:$B$824,0)))),"Yes","No"),"Page not found"))</f>
        <v>No</v>
      </c>
      <c r="L122" s="3" t="s">
        <v>5484</v>
      </c>
      <c r="M122" s="3" t="s">
        <v>5373</v>
      </c>
      <c r="N122" s="19"/>
      <c r="O122" s="17"/>
      <c r="P122" s="17"/>
    </row>
    <row r="123" customFormat="false" ht="15" hidden="false" customHeight="false" outlineLevel="0" collapsed="false">
      <c r="A123" s="15" t="s">
        <v>425</v>
      </c>
      <c r="B123" s="15" t="s">
        <v>89</v>
      </c>
      <c r="C123" s="15" t="s">
        <v>321</v>
      </c>
      <c r="D123" s="16" t="n">
        <v>480</v>
      </c>
      <c r="E123" s="15" t="n">
        <v>35</v>
      </c>
      <c r="F123" s="15" t="s">
        <v>5159</v>
      </c>
      <c r="G123" s="15" t="s">
        <v>5384</v>
      </c>
      <c r="H123" s="15" t="n">
        <v>2</v>
      </c>
      <c r="I123" s="15" t="s">
        <v>421</v>
      </c>
      <c r="J123" s="15" t="str">
        <f aca="false">IF(I123="","No","Yes")</f>
        <v>Yes</v>
      </c>
      <c r="K123" s="18" t="str">
        <f aca="false">IF(I123="","",IFERROR(IF(ISNUMBER(SEARCH(A123,INDEX(Pages!$J$2:$J$824,MATCH(I123,Pages!$B$2:$B$824,0)))),"Yes","No"),"Page not found"))</f>
        <v>No</v>
      </c>
      <c r="L123" s="3" t="s">
        <v>5224</v>
      </c>
      <c r="M123" s="3" t="s">
        <v>5485</v>
      </c>
      <c r="N123" s="19"/>
      <c r="O123" s="17"/>
      <c r="P123" s="17"/>
    </row>
    <row r="124" customFormat="false" ht="15" hidden="false" customHeight="false" outlineLevel="0" collapsed="false">
      <c r="A124" s="15" t="s">
        <v>587</v>
      </c>
      <c r="B124" s="15" t="s">
        <v>74</v>
      </c>
      <c r="C124" s="15" t="s">
        <v>321</v>
      </c>
      <c r="D124" s="16" t="n">
        <v>480</v>
      </c>
      <c r="E124" s="15" t="n">
        <v>30</v>
      </c>
      <c r="F124" s="15" t="s">
        <v>5159</v>
      </c>
      <c r="G124" s="15" t="s">
        <v>5406</v>
      </c>
      <c r="H124" s="15" t="n">
        <v>1</v>
      </c>
      <c r="I124" s="15" t="s">
        <v>5055</v>
      </c>
      <c r="J124" s="15" t="str">
        <f aca="false">IF(I124="","No","Yes")</f>
        <v>Yes</v>
      </c>
      <c r="K124" s="18" t="str">
        <f aca="false">IF(I124="","",IFERROR(IF(ISNUMBER(SEARCH(A124,INDEX(Pages!$J$2:$J$824,MATCH(I124,Pages!$B$2:$B$824,0)))),"Yes","No"),"Page not found"))</f>
        <v>Yes</v>
      </c>
      <c r="L124" s="3" t="s">
        <v>5459</v>
      </c>
      <c r="M124" s="3" t="s">
        <v>5460</v>
      </c>
      <c r="N124" s="19"/>
      <c r="O124" s="17"/>
      <c r="P124" s="17"/>
    </row>
    <row r="125" customFormat="false" ht="15" hidden="false" customHeight="false" outlineLevel="0" collapsed="false">
      <c r="A125" s="15" t="s">
        <v>5542</v>
      </c>
      <c r="B125" s="15" t="s">
        <v>74</v>
      </c>
      <c r="C125" s="15" t="s">
        <v>321</v>
      </c>
      <c r="D125" s="16" t="n">
        <v>480</v>
      </c>
      <c r="E125" s="15" t="n">
        <v>35</v>
      </c>
      <c r="F125" s="15" t="s">
        <v>5159</v>
      </c>
      <c r="G125" s="15" t="s">
        <v>5525</v>
      </c>
      <c r="H125" s="15" t="n">
        <v>3</v>
      </c>
      <c r="I125" s="15"/>
      <c r="J125" s="15" t="str">
        <f aca="false">IF(I125="","No","Yes")</f>
        <v>No</v>
      </c>
      <c r="K125" s="18" t="str">
        <f aca="false">IF(I125="","",IFERROR(IF(ISNUMBER(SEARCH(A125,INDEX(Pages!$J$2:$J$824,MATCH(I125,Pages!$B$2:$B$824,0)))),"Yes","No"),"Page not found"))</f>
        <v/>
      </c>
      <c r="L125" s="3" t="s">
        <v>5224</v>
      </c>
      <c r="M125" s="3" t="s">
        <v>5543</v>
      </c>
      <c r="N125" s="19"/>
      <c r="O125" s="17"/>
      <c r="P125" s="17"/>
    </row>
    <row r="126" customFormat="false" ht="15" hidden="false" customHeight="false" outlineLevel="0" collapsed="false">
      <c r="A126" s="15" t="s">
        <v>5176</v>
      </c>
      <c r="B126" s="15" t="s">
        <v>80</v>
      </c>
      <c r="C126" s="15" t="s">
        <v>370</v>
      </c>
      <c r="D126" s="16" t="n">
        <v>480</v>
      </c>
      <c r="E126" s="15" t="n">
        <v>35</v>
      </c>
      <c r="F126" s="15" t="s">
        <v>5177</v>
      </c>
      <c r="G126" s="15" t="s">
        <v>5173</v>
      </c>
      <c r="H126" s="15" t="n">
        <v>3</v>
      </c>
      <c r="I126" s="15" t="s">
        <v>369</v>
      </c>
      <c r="J126" s="15" t="str">
        <f aca="false">IF(I126="","No","Yes")</f>
        <v>Yes</v>
      </c>
      <c r="K126" s="18" t="str">
        <f aca="false">IF(I126="","",IFERROR(IF(ISNUMBER(SEARCH(A126,INDEX(Pages!$J$2:$J$824,MATCH(I126,Pages!$B$2:$B$824,0)))),"Yes","No"),"Page not found"))</f>
        <v>No</v>
      </c>
      <c r="L126" s="3" t="s">
        <v>5178</v>
      </c>
      <c r="M126" s="3"/>
      <c r="N126" s="19"/>
      <c r="O126" s="17"/>
      <c r="P126" s="17"/>
    </row>
    <row r="127" customFormat="false" ht="15" hidden="false" customHeight="false" outlineLevel="0" collapsed="false">
      <c r="A127" s="15" t="s">
        <v>5335</v>
      </c>
      <c r="B127" s="15" t="s">
        <v>74</v>
      </c>
      <c r="C127" s="15" t="s">
        <v>363</v>
      </c>
      <c r="D127" s="16" t="n">
        <v>390</v>
      </c>
      <c r="E127" s="15" t="n">
        <v>35</v>
      </c>
      <c r="F127" s="15" t="s">
        <v>5177</v>
      </c>
      <c r="G127" s="15" t="s">
        <v>5240</v>
      </c>
      <c r="H127" s="15" t="n">
        <v>2</v>
      </c>
      <c r="I127" s="15" t="s">
        <v>5037</v>
      </c>
      <c r="J127" s="15" t="str">
        <f aca="false">IF(I127="","No","Yes")</f>
        <v>Yes</v>
      </c>
      <c r="K127" s="18" t="str">
        <f aca="false">IF(I127="","",IFERROR(IF(ISNUMBER(SEARCH(A127,INDEX(Pages!$J$2:$J$824,MATCH(I127,Pages!$B$2:$B$824,0)))),"Yes","No"),"Page not found"))</f>
        <v>No</v>
      </c>
      <c r="L127" s="3" t="s">
        <v>5224</v>
      </c>
      <c r="M127" s="3"/>
      <c r="N127" s="19"/>
      <c r="O127" s="17"/>
      <c r="P127" s="17"/>
    </row>
    <row r="128" customFormat="false" ht="15" hidden="false" customHeight="false" outlineLevel="0" collapsed="false">
      <c r="A128" s="15" t="s">
        <v>5544</v>
      </c>
      <c r="B128" s="15" t="s">
        <v>82</v>
      </c>
      <c r="C128" s="15" t="s">
        <v>265</v>
      </c>
      <c r="D128" s="16" t="n">
        <v>390</v>
      </c>
      <c r="E128" s="15" t="n">
        <v>45</v>
      </c>
      <c r="F128" s="15" t="s">
        <v>5177</v>
      </c>
      <c r="G128" s="15" t="s">
        <v>5512</v>
      </c>
      <c r="H128" s="15" t="n">
        <v>4</v>
      </c>
      <c r="I128" s="15"/>
      <c r="J128" s="15" t="str">
        <f aca="false">IF(I128="","No","Yes")</f>
        <v>No</v>
      </c>
      <c r="K128" s="18" t="str">
        <f aca="false">IF(I128="","",IFERROR(IF(ISNUMBER(SEARCH(A128,INDEX(Pages!$J$2:$J$824,MATCH(I128,Pages!$B$2:$B$824,0)))),"Yes","No"),"Page not found"))</f>
        <v/>
      </c>
      <c r="L128" s="3" t="s">
        <v>5545</v>
      </c>
      <c r="M128" s="3" t="s">
        <v>5546</v>
      </c>
      <c r="N128" s="19"/>
      <c r="O128" s="17"/>
      <c r="P128" s="17"/>
    </row>
    <row r="129" customFormat="false" ht="15" hidden="false" customHeight="false" outlineLevel="0" collapsed="false">
      <c r="A129" s="15" t="s">
        <v>491</v>
      </c>
      <c r="B129" s="15" t="s">
        <v>90</v>
      </c>
      <c r="C129" s="15" t="s">
        <v>279</v>
      </c>
      <c r="D129" s="16" t="n">
        <v>390</v>
      </c>
      <c r="E129" s="15" t="n">
        <v>25</v>
      </c>
      <c r="F129" s="15" t="s">
        <v>5159</v>
      </c>
      <c r="G129" s="15" t="s">
        <v>5351</v>
      </c>
      <c r="H129" s="15" t="n">
        <v>3</v>
      </c>
      <c r="I129" s="15" t="s">
        <v>487</v>
      </c>
      <c r="J129" s="15" t="str">
        <f aca="false">IF(I129="","No","Yes")</f>
        <v>Yes</v>
      </c>
      <c r="K129" s="18" t="str">
        <f aca="false">IF(I129="","",IFERROR(IF(ISNUMBER(SEARCH(A129,INDEX(Pages!$J$2:$J$824,MATCH(I129,Pages!$B$2:$B$824,0)))),"Yes","No"),"Page not found"))</f>
        <v>Yes</v>
      </c>
      <c r="L129" s="3" t="s">
        <v>5212</v>
      </c>
      <c r="M129" s="3" t="s">
        <v>5487</v>
      </c>
      <c r="N129" s="19"/>
      <c r="O129" s="17"/>
      <c r="P129" s="17"/>
    </row>
    <row r="130" customFormat="false" ht="15" hidden="false" customHeight="false" outlineLevel="0" collapsed="false">
      <c r="A130" s="15" t="s">
        <v>5448</v>
      </c>
      <c r="B130" s="15" t="s">
        <v>85</v>
      </c>
      <c r="C130" s="15" t="s">
        <v>272</v>
      </c>
      <c r="D130" s="16" t="n">
        <v>390</v>
      </c>
      <c r="E130" s="15" t="n">
        <v>25</v>
      </c>
      <c r="F130" s="15" t="s">
        <v>5177</v>
      </c>
      <c r="G130" s="15" t="s">
        <v>5285</v>
      </c>
      <c r="H130" s="15" t="n">
        <v>1</v>
      </c>
      <c r="I130" s="15" t="s">
        <v>5013</v>
      </c>
      <c r="J130" s="15" t="str">
        <f aca="false">IF(I130="","No","Yes")</f>
        <v>Yes</v>
      </c>
      <c r="K130" s="18" t="str">
        <f aca="false">IF(I130="","",IFERROR(IF(ISNUMBER(SEARCH(A130,INDEX(Pages!$J$2:$J$824,MATCH(I130,Pages!$B$2:$B$824,0)))),"Yes","No"),"Page not found"))</f>
        <v>No</v>
      </c>
      <c r="L130" s="3" t="s">
        <v>5408</v>
      </c>
      <c r="M130" s="3"/>
      <c r="N130" s="19"/>
      <c r="O130" s="17"/>
      <c r="P130" s="17"/>
    </row>
    <row r="131" customFormat="false" ht="15" hidden="false" customHeight="false" outlineLevel="0" collapsed="false">
      <c r="A131" s="15" t="s">
        <v>5023</v>
      </c>
      <c r="B131" s="15" t="s">
        <v>76</v>
      </c>
      <c r="C131" s="15" t="s">
        <v>286</v>
      </c>
      <c r="D131" s="16" t="n">
        <v>390</v>
      </c>
      <c r="E131" s="15" t="n">
        <v>35</v>
      </c>
      <c r="F131" s="15" t="s">
        <v>5177</v>
      </c>
      <c r="G131" s="15" t="s">
        <v>5254</v>
      </c>
      <c r="H131" s="15" t="n">
        <v>1</v>
      </c>
      <c r="I131" s="15" t="s">
        <v>5019</v>
      </c>
      <c r="J131" s="15" t="str">
        <f aca="false">IF(I131="","No","Yes")</f>
        <v>Yes</v>
      </c>
      <c r="K131" s="18" t="str">
        <f aca="false">IF(I131="","",IFERROR(IF(ISNUMBER(SEARCH(A131,INDEX(Pages!$J$2:$J$824,MATCH(I131,Pages!$B$2:$B$824,0)))),"Yes","No"),"Page not found"))</f>
        <v>Yes</v>
      </c>
      <c r="L131" s="3" t="s">
        <v>5260</v>
      </c>
      <c r="M131" s="3"/>
      <c r="N131" s="19"/>
      <c r="O131" s="17"/>
      <c r="P131" s="17"/>
    </row>
    <row r="132" customFormat="false" ht="15" hidden="false" customHeight="false" outlineLevel="0" collapsed="false">
      <c r="A132" s="15" t="s">
        <v>5451</v>
      </c>
      <c r="B132" s="15" t="s">
        <v>84</v>
      </c>
      <c r="C132" s="15" t="s">
        <v>314</v>
      </c>
      <c r="D132" s="16" t="n">
        <v>390</v>
      </c>
      <c r="E132" s="15" t="n">
        <v>30</v>
      </c>
      <c r="F132" s="15" t="s">
        <v>5159</v>
      </c>
      <c r="G132" s="15" t="s">
        <v>5372</v>
      </c>
      <c r="H132" s="15" t="n">
        <v>2</v>
      </c>
      <c r="I132" s="15" t="s">
        <v>535</v>
      </c>
      <c r="J132" s="15" t="str">
        <f aca="false">IF(I132="","No","Yes")</f>
        <v>Yes</v>
      </c>
      <c r="K132" s="18" t="str">
        <f aca="false">IF(I132="","",IFERROR(IF(ISNUMBER(SEARCH(A132,INDEX(Pages!$J$2:$J$824,MATCH(I132,Pages!$B$2:$B$824,0)))),"Yes","No"),"Page not found"))</f>
        <v>No</v>
      </c>
      <c r="L132" s="3" t="s">
        <v>5452</v>
      </c>
      <c r="M132" s="3" t="s">
        <v>5453</v>
      </c>
      <c r="N132" s="19"/>
      <c r="O132" s="17"/>
      <c r="P132" s="17"/>
    </row>
    <row r="133" customFormat="false" ht="23.85" hidden="false" customHeight="false" outlineLevel="0" collapsed="false">
      <c r="A133" s="15" t="s">
        <v>581</v>
      </c>
      <c r="B133" s="15" t="s">
        <v>74</v>
      </c>
      <c r="C133" s="15" t="s">
        <v>321</v>
      </c>
      <c r="D133" s="16" t="n">
        <v>390</v>
      </c>
      <c r="E133" s="15" t="n">
        <v>35</v>
      </c>
      <c r="F133" s="15" t="s">
        <v>5159</v>
      </c>
      <c r="G133" s="15" t="s">
        <v>5467</v>
      </c>
      <c r="H133" s="15" t="n">
        <v>3</v>
      </c>
      <c r="I133" s="15" t="s">
        <v>577</v>
      </c>
      <c r="J133" s="15" t="str">
        <f aca="false">IF(I133="","No","Yes")</f>
        <v>Yes</v>
      </c>
      <c r="K133" s="18" t="str">
        <f aca="false">IF(I133="","",IFERROR(IF(ISNUMBER(SEARCH(A133,INDEX(Pages!$J$2:$J$824,MATCH(I133,Pages!$B$2:$B$824,0)))),"Yes","No"),"Page not found"))</f>
        <v>No</v>
      </c>
      <c r="L133" s="3" t="s">
        <v>5224</v>
      </c>
      <c r="M133" s="3" t="s">
        <v>5468</v>
      </c>
      <c r="N133" s="19"/>
      <c r="O133" s="17"/>
      <c r="P133" s="17"/>
    </row>
    <row r="134" customFormat="false" ht="15" hidden="false" customHeight="false" outlineLevel="0" collapsed="false">
      <c r="A134" s="15" t="s">
        <v>5547</v>
      </c>
      <c r="B134" s="15" t="s">
        <v>74</v>
      </c>
      <c r="C134" s="15" t="s">
        <v>321</v>
      </c>
      <c r="D134" s="16" t="n">
        <v>390</v>
      </c>
      <c r="E134" s="15" t="n">
        <v>35</v>
      </c>
      <c r="F134" s="15" t="s">
        <v>5159</v>
      </c>
      <c r="G134" s="15" t="s">
        <v>5525</v>
      </c>
      <c r="H134" s="15" t="n">
        <v>3</v>
      </c>
      <c r="I134" s="15"/>
      <c r="J134" s="15" t="str">
        <f aca="false">IF(I134="","No","Yes")</f>
        <v>No</v>
      </c>
      <c r="K134" s="18" t="str">
        <f aca="false">IF(I134="","",IFERROR(IF(ISNUMBER(SEARCH(A134,INDEX(Pages!$J$2:$J$824,MATCH(I134,Pages!$B$2:$B$824,0)))),"Yes","No"),"Page not found"))</f>
        <v/>
      </c>
      <c r="L134" s="3" t="s">
        <v>5224</v>
      </c>
      <c r="M134" s="3" t="s">
        <v>5548</v>
      </c>
      <c r="N134" s="19"/>
      <c r="O134" s="17"/>
      <c r="P134" s="17"/>
    </row>
    <row r="135" customFormat="false" ht="23.85" hidden="false" customHeight="false" outlineLevel="0" collapsed="false">
      <c r="A135" s="15" t="s">
        <v>5549</v>
      </c>
      <c r="B135" s="15" t="s">
        <v>74</v>
      </c>
      <c r="C135" s="15" t="s">
        <v>321</v>
      </c>
      <c r="D135" s="16" t="n">
        <v>390</v>
      </c>
      <c r="E135" s="15" t="n">
        <v>45</v>
      </c>
      <c r="F135" s="15" t="s">
        <v>5159</v>
      </c>
      <c r="G135" s="15" t="s">
        <v>5508</v>
      </c>
      <c r="H135" s="15" t="n">
        <v>4</v>
      </c>
      <c r="I135" s="15"/>
      <c r="J135" s="15" t="str">
        <f aca="false">IF(I135="","No","Yes")</f>
        <v>No</v>
      </c>
      <c r="K135" s="18" t="str">
        <f aca="false">IF(I135="","",IFERROR(IF(ISNUMBER(SEARCH(A135,INDEX(Pages!$J$2:$J$824,MATCH(I135,Pages!$B$2:$B$824,0)))),"Yes","No"),"Page not found"))</f>
        <v/>
      </c>
      <c r="L135" s="3" t="s">
        <v>5550</v>
      </c>
      <c r="M135" s="3" t="s">
        <v>5551</v>
      </c>
      <c r="N135" s="19"/>
      <c r="O135" s="17"/>
      <c r="P135" s="17"/>
    </row>
    <row r="136" customFormat="false" ht="15" hidden="false" customHeight="false" outlineLevel="0" collapsed="false">
      <c r="A136" s="15" t="s">
        <v>629</v>
      </c>
      <c r="B136" s="15" t="s">
        <v>86</v>
      </c>
      <c r="C136" s="15" t="s">
        <v>356</v>
      </c>
      <c r="D136" s="16" t="n">
        <v>390</v>
      </c>
      <c r="E136" s="15" t="n">
        <v>20</v>
      </c>
      <c r="F136" s="15" t="s">
        <v>5159</v>
      </c>
      <c r="G136" s="15" t="s">
        <v>5285</v>
      </c>
      <c r="H136" s="15" t="n">
        <v>3</v>
      </c>
      <c r="I136" s="15" t="s">
        <v>625</v>
      </c>
      <c r="J136" s="15" t="str">
        <f aca="false">IF(I136="","No","Yes")</f>
        <v>Yes</v>
      </c>
      <c r="K136" s="18" t="str">
        <f aca="false">IF(I136="","",IFERROR(IF(ISNUMBER(SEARCH(A136,INDEX(Pages!$J$2:$J$824,MATCH(I136,Pages!$B$2:$B$824,0)))),"Yes","No"),"Page not found"))</f>
        <v>Yes</v>
      </c>
      <c r="L136" s="3" t="s">
        <v>5489</v>
      </c>
      <c r="M136" s="3" t="s">
        <v>5490</v>
      </c>
      <c r="N136" s="19"/>
      <c r="O136" s="17"/>
      <c r="P136" s="17"/>
    </row>
    <row r="137" customFormat="false" ht="15" hidden="false" customHeight="false" outlineLevel="0" collapsed="false">
      <c r="A137" s="15" t="s">
        <v>5336</v>
      </c>
      <c r="B137" s="15" t="s">
        <v>74</v>
      </c>
      <c r="C137" s="15" t="s">
        <v>363</v>
      </c>
      <c r="D137" s="16" t="n">
        <v>320</v>
      </c>
      <c r="E137" s="15" t="n">
        <v>35</v>
      </c>
      <c r="F137" s="15" t="s">
        <v>5177</v>
      </c>
      <c r="G137" s="15" t="s">
        <v>5240</v>
      </c>
      <c r="H137" s="15" t="n">
        <v>2</v>
      </c>
      <c r="I137" s="15" t="s">
        <v>5037</v>
      </c>
      <c r="J137" s="15" t="str">
        <f aca="false">IF(I137="","No","Yes")</f>
        <v>Yes</v>
      </c>
      <c r="K137" s="18" t="str">
        <f aca="false">IF(I137="","",IFERROR(IF(ISNUMBER(SEARCH(A137,INDEX(Pages!$J$2:$J$824,MATCH(I137,Pages!$B$2:$B$824,0)))),"Yes","No"),"Page not found"))</f>
        <v>No</v>
      </c>
      <c r="L137" s="3" t="s">
        <v>5224</v>
      </c>
      <c r="M137" s="3"/>
      <c r="N137" s="19"/>
      <c r="O137" s="17"/>
      <c r="P137" s="17"/>
    </row>
    <row r="138" customFormat="false" ht="15" hidden="false" customHeight="false" outlineLevel="0" collapsed="false">
      <c r="A138" s="15" t="s">
        <v>5552</v>
      </c>
      <c r="B138" s="15" t="s">
        <v>74</v>
      </c>
      <c r="C138" s="15" t="s">
        <v>321</v>
      </c>
      <c r="D138" s="16" t="n">
        <v>320</v>
      </c>
      <c r="E138" s="15" t="n">
        <v>30</v>
      </c>
      <c r="F138" s="15" t="s">
        <v>5159</v>
      </c>
      <c r="G138" s="15" t="s">
        <v>5525</v>
      </c>
      <c r="H138" s="15" t="n">
        <v>3</v>
      </c>
      <c r="I138" s="15"/>
      <c r="J138" s="15" t="str">
        <f aca="false">IF(I138="","No","Yes")</f>
        <v>No</v>
      </c>
      <c r="K138" s="18" t="str">
        <f aca="false">IF(I138="","",IFERROR(IF(ISNUMBER(SEARCH(A138,INDEX(Pages!$J$2:$J$824,MATCH(I138,Pages!$B$2:$B$824,0)))),"Yes","No"),"Page not found"))</f>
        <v/>
      </c>
      <c r="L138" s="3" t="s">
        <v>5224</v>
      </c>
      <c r="M138" s="3" t="s">
        <v>5553</v>
      </c>
      <c r="N138" s="19"/>
      <c r="O138" s="17"/>
      <c r="P138" s="17"/>
    </row>
    <row r="139" customFormat="false" ht="15" hidden="false" customHeight="false" outlineLevel="0" collapsed="false">
      <c r="A139" s="15" t="s">
        <v>5265</v>
      </c>
      <c r="B139" s="15" t="s">
        <v>93</v>
      </c>
      <c r="C139" s="15"/>
      <c r="D139" s="16" t="n">
        <v>320</v>
      </c>
      <c r="E139" s="15" t="n">
        <v>30</v>
      </c>
      <c r="F139" s="15" t="s">
        <v>5169</v>
      </c>
      <c r="G139" s="15" t="s">
        <v>5263</v>
      </c>
      <c r="H139" s="15" t="n">
        <v>1</v>
      </c>
      <c r="I139" s="15" t="s">
        <v>240</v>
      </c>
      <c r="J139" s="15" t="str">
        <f aca="false">IF(I139="","No","Yes")</f>
        <v>Yes</v>
      </c>
      <c r="K139" s="18" t="str">
        <f aca="false">IF(I139="","",IFERROR(IF(ISNUMBER(SEARCH(A139,INDEX(Pages!$J$2:$J$824,MATCH(I139,Pages!$B$2:$B$824,0)))),"Yes","No"),"Page not found"))</f>
        <v>Yes</v>
      </c>
      <c r="L139" s="3" t="s">
        <v>5266</v>
      </c>
      <c r="M139" s="3" t="s">
        <v>5267</v>
      </c>
      <c r="N139" s="19"/>
      <c r="O139" s="17"/>
      <c r="P139" s="17"/>
    </row>
    <row r="140" customFormat="false" ht="15" hidden="false" customHeight="false" outlineLevel="0" collapsed="false">
      <c r="A140" s="15" t="s">
        <v>509</v>
      </c>
      <c r="B140" s="15" t="s">
        <v>90</v>
      </c>
      <c r="C140" s="15" t="s">
        <v>279</v>
      </c>
      <c r="D140" s="16" t="n">
        <v>320</v>
      </c>
      <c r="E140" s="15" t="n">
        <v>25</v>
      </c>
      <c r="F140" s="15" t="s">
        <v>5159</v>
      </c>
      <c r="G140" s="15" t="s">
        <v>5351</v>
      </c>
      <c r="H140" s="15" t="n">
        <v>3</v>
      </c>
      <c r="I140" s="15" t="s">
        <v>505</v>
      </c>
      <c r="J140" s="15" t="str">
        <f aca="false">IF(I140="","No","Yes")</f>
        <v>Yes</v>
      </c>
      <c r="K140" s="18" t="str">
        <f aca="false">IF(I140="","",IFERROR(IF(ISNUMBER(SEARCH(A140,INDEX(Pages!$J$2:$J$824,MATCH(I140,Pages!$B$2:$B$824,0)))),"Yes","No"),"Page not found"))</f>
        <v>No</v>
      </c>
      <c r="L140" s="3" t="s">
        <v>5489</v>
      </c>
      <c r="M140" s="3" t="s">
        <v>5487</v>
      </c>
      <c r="N140" s="19"/>
      <c r="O140" s="17"/>
      <c r="P140" s="17"/>
    </row>
    <row r="141" customFormat="false" ht="23.85" hidden="false" customHeight="false" outlineLevel="0" collapsed="false">
      <c r="A141" s="15" t="s">
        <v>5469</v>
      </c>
      <c r="B141" s="15" t="s">
        <v>74</v>
      </c>
      <c r="C141" s="15" t="s">
        <v>321</v>
      </c>
      <c r="D141" s="16" t="n">
        <v>320</v>
      </c>
      <c r="E141" s="15" t="n">
        <v>30</v>
      </c>
      <c r="F141" s="15" t="s">
        <v>5159</v>
      </c>
      <c r="G141" s="15" t="s">
        <v>5467</v>
      </c>
      <c r="H141" s="15" t="n">
        <v>3</v>
      </c>
      <c r="I141" s="15" t="s">
        <v>577</v>
      </c>
      <c r="J141" s="15" t="str">
        <f aca="false">IF(I141="","No","Yes")</f>
        <v>Yes</v>
      </c>
      <c r="K141" s="18" t="str">
        <f aca="false">IF(I141="","",IFERROR(IF(ISNUMBER(SEARCH(A141,INDEX(Pages!$J$2:$J$824,MATCH(I141,Pages!$B$2:$B$824,0)))),"Yes","No"),"Page not found"))</f>
        <v>No</v>
      </c>
      <c r="L141" s="3" t="s">
        <v>5224</v>
      </c>
      <c r="M141" s="3" t="s">
        <v>5470</v>
      </c>
      <c r="N141" s="19"/>
      <c r="O141" s="17"/>
      <c r="P141" s="17"/>
    </row>
    <row r="142" customFormat="false" ht="15" hidden="false" customHeight="false" outlineLevel="0" collapsed="false">
      <c r="A142" s="15" t="s">
        <v>497</v>
      </c>
      <c r="B142" s="15" t="s">
        <v>90</v>
      </c>
      <c r="C142" s="15" t="s">
        <v>279</v>
      </c>
      <c r="D142" s="16" t="n">
        <v>260</v>
      </c>
      <c r="E142" s="15" t="n">
        <v>25</v>
      </c>
      <c r="F142" s="15" t="s">
        <v>5159</v>
      </c>
      <c r="G142" s="15" t="s">
        <v>5351</v>
      </c>
      <c r="H142" s="15" t="n">
        <v>3</v>
      </c>
      <c r="I142" s="15" t="s">
        <v>493</v>
      </c>
      <c r="J142" s="15" t="str">
        <f aca="false">IF(I142="","No","Yes")</f>
        <v>Yes</v>
      </c>
      <c r="K142" s="18" t="str">
        <f aca="false">IF(I142="","",IFERROR(IF(ISNUMBER(SEARCH(A142,INDEX(Pages!$J$2:$J$824,MATCH(I142,Pages!$B$2:$B$824,0)))),"Yes","No"),"Page not found"))</f>
        <v>Yes</v>
      </c>
      <c r="L142" s="3" t="s">
        <v>5355</v>
      </c>
      <c r="M142" s="3" t="s">
        <v>5487</v>
      </c>
      <c r="N142" s="19"/>
      <c r="O142" s="17"/>
      <c r="P142" s="17"/>
    </row>
    <row r="143" customFormat="false" ht="15" hidden="false" customHeight="false" outlineLevel="0" collapsed="false">
      <c r="A143" s="15" t="s">
        <v>5381</v>
      </c>
      <c r="B143" s="15" t="s">
        <v>90</v>
      </c>
      <c r="C143" s="15" t="s">
        <v>279</v>
      </c>
      <c r="D143" s="16" t="n">
        <v>260</v>
      </c>
      <c r="E143" s="15" t="n">
        <v>20</v>
      </c>
      <c r="F143" s="15" t="s">
        <v>5159</v>
      </c>
      <c r="G143" s="15" t="s">
        <v>5351</v>
      </c>
      <c r="H143" s="15" t="n">
        <v>3</v>
      </c>
      <c r="I143" s="15" t="s">
        <v>278</v>
      </c>
      <c r="J143" s="15" t="str">
        <f aca="false">IF(I143="","No","Yes")</f>
        <v>Yes</v>
      </c>
      <c r="K143" s="18" t="str">
        <f aca="false">IF(I143="","",IFERROR(IF(ISNUMBER(SEARCH(A143,INDEX(Pages!$J$2:$J$824,MATCH(I143,Pages!$B$2:$B$824,0)))),"Yes","No"),"Page not found"))</f>
        <v>No</v>
      </c>
      <c r="L143" s="3" t="s">
        <v>5355</v>
      </c>
      <c r="M143" s="3"/>
      <c r="N143" s="19"/>
      <c r="O143" s="17"/>
      <c r="P143" s="17"/>
    </row>
    <row r="144" customFormat="false" ht="15" hidden="false" customHeight="false" outlineLevel="0" collapsed="false">
      <c r="A144" s="15" t="s">
        <v>176</v>
      </c>
      <c r="B144" s="15" t="s">
        <v>86</v>
      </c>
      <c r="C144" s="15" t="s">
        <v>356</v>
      </c>
      <c r="D144" s="16" t="n">
        <v>260</v>
      </c>
      <c r="E144" s="15" t="n">
        <v>20</v>
      </c>
      <c r="F144" s="15" t="s">
        <v>5169</v>
      </c>
      <c r="G144" s="15" t="s">
        <v>5252</v>
      </c>
      <c r="H144" s="15" t="n">
        <v>2</v>
      </c>
      <c r="I144" s="15" t="s">
        <v>172</v>
      </c>
      <c r="J144" s="15" t="str">
        <f aca="false">IF(I144="","No","Yes")</f>
        <v>Yes</v>
      </c>
      <c r="K144" s="18" t="str">
        <f aca="false">IF(I144="","",IFERROR(IF(ISNUMBER(SEARCH(A144,INDEX(Pages!$J$2:$J$824,MATCH(I144,Pages!$B$2:$B$824,0)))),"Yes","No"),"Page not found"))</f>
        <v>No</v>
      </c>
      <c r="L144" s="3" t="s">
        <v>5426</v>
      </c>
      <c r="M144" s="3"/>
      <c r="N144" s="19"/>
      <c r="O144" s="17"/>
      <c r="P144" s="17"/>
    </row>
    <row r="145" customFormat="false" ht="15" hidden="false" customHeight="false" outlineLevel="0" collapsed="false">
      <c r="A145" s="15" t="s">
        <v>5429</v>
      </c>
      <c r="B145" s="15" t="s">
        <v>93</v>
      </c>
      <c r="C145" s="15"/>
      <c r="D145" s="16" t="n">
        <v>260</v>
      </c>
      <c r="E145" s="15" t="n">
        <v>25</v>
      </c>
      <c r="F145" s="15" t="s">
        <v>5177</v>
      </c>
      <c r="G145" s="15" t="s">
        <v>5263</v>
      </c>
      <c r="H145" s="15" t="n">
        <v>4</v>
      </c>
      <c r="I145" s="15" t="s">
        <v>194</v>
      </c>
      <c r="J145" s="15" t="str">
        <f aca="false">IF(I145="","No","Yes")</f>
        <v>Yes</v>
      </c>
      <c r="K145" s="18" t="str">
        <f aca="false">IF(I145="","",IFERROR(IF(ISNUMBER(SEARCH(A145,INDEX(Pages!$J$2:$J$824,MATCH(I145,Pages!$B$2:$B$824,0)))),"Yes","No"),"Page not found"))</f>
        <v>Yes</v>
      </c>
      <c r="L145" s="3" t="s">
        <v>5430</v>
      </c>
      <c r="M145" s="3"/>
      <c r="N145" s="19"/>
      <c r="O145" s="17"/>
      <c r="P145" s="17"/>
    </row>
    <row r="146" customFormat="false" ht="15" hidden="false" customHeight="false" outlineLevel="0" collapsed="false">
      <c r="A146" s="15" t="s">
        <v>5461</v>
      </c>
      <c r="B146" s="15" t="s">
        <v>74</v>
      </c>
      <c r="C146" s="15" t="s">
        <v>321</v>
      </c>
      <c r="D146" s="16" t="n">
        <v>260</v>
      </c>
      <c r="E146" s="15" t="n">
        <v>20</v>
      </c>
      <c r="F146" s="15" t="s">
        <v>5159</v>
      </c>
      <c r="G146" s="15" t="s">
        <v>5406</v>
      </c>
      <c r="H146" s="15" t="n">
        <v>1</v>
      </c>
      <c r="I146" s="15" t="s">
        <v>5055</v>
      </c>
      <c r="J146" s="15" t="str">
        <f aca="false">IF(I146="","No","Yes")</f>
        <v>Yes</v>
      </c>
      <c r="K146" s="18" t="str">
        <f aca="false">IF(I146="","",IFERROR(IF(ISNUMBER(SEARCH(A146,INDEX(Pages!$J$2:$J$824,MATCH(I146,Pages!$B$2:$B$824,0)))),"Yes","No"),"Page not found"))</f>
        <v>No</v>
      </c>
      <c r="L146" s="3" t="s">
        <v>5462</v>
      </c>
      <c r="M146" s="3"/>
      <c r="N146" s="19"/>
      <c r="O146" s="17"/>
      <c r="P146" s="17"/>
    </row>
    <row r="147" customFormat="false" ht="15" hidden="false" customHeight="false" outlineLevel="0" collapsed="false">
      <c r="A147" s="15" t="s">
        <v>170</v>
      </c>
      <c r="B147" s="15" t="s">
        <v>75</v>
      </c>
      <c r="C147" s="15" t="s">
        <v>328</v>
      </c>
      <c r="D147" s="16" t="n">
        <v>260</v>
      </c>
      <c r="E147" s="15" t="n">
        <v>25</v>
      </c>
      <c r="F147" s="15" t="s">
        <v>5169</v>
      </c>
      <c r="G147" s="15" t="s">
        <v>5308</v>
      </c>
      <c r="H147" s="15" t="n">
        <v>2</v>
      </c>
      <c r="I147" s="15" t="s">
        <v>166</v>
      </c>
      <c r="J147" s="15" t="str">
        <f aca="false">IF(I147="","No","Yes")</f>
        <v>Yes</v>
      </c>
      <c r="K147" s="18" t="str">
        <f aca="false">IF(I147="","",IFERROR(IF(ISNUMBER(SEARCH(A147,INDEX(Pages!$J$2:$J$824,MATCH(I147,Pages!$B$2:$B$824,0)))),"Yes","No"),"Page not found"))</f>
        <v>No</v>
      </c>
      <c r="L147" s="3" t="s">
        <v>5426</v>
      </c>
      <c r="M147" s="3" t="s">
        <v>5491</v>
      </c>
      <c r="N147" s="19"/>
      <c r="O147" s="17"/>
      <c r="P147" s="17"/>
    </row>
    <row r="148" customFormat="false" ht="15" hidden="false" customHeight="false" outlineLevel="0" collapsed="false">
      <c r="A148" s="15" t="s">
        <v>515</v>
      </c>
      <c r="B148" s="15" t="s">
        <v>90</v>
      </c>
      <c r="C148" s="15" t="s">
        <v>279</v>
      </c>
      <c r="D148" s="16" t="n">
        <v>260</v>
      </c>
      <c r="E148" s="15" t="n">
        <v>25</v>
      </c>
      <c r="F148" s="15" t="s">
        <v>5159</v>
      </c>
      <c r="G148" s="15" t="s">
        <v>5351</v>
      </c>
      <c r="H148" s="15" t="n">
        <v>3</v>
      </c>
      <c r="I148" s="15" t="s">
        <v>511</v>
      </c>
      <c r="J148" s="15" t="str">
        <f aca="false">IF(I148="","No","Yes")</f>
        <v>Yes</v>
      </c>
      <c r="K148" s="18" t="str">
        <f aca="false">IF(I148="","",IFERROR(IF(ISNUMBER(SEARCH(A148,INDEX(Pages!$J$2:$J$824,MATCH(I148,Pages!$B$2:$B$824,0)))),"Yes","No"),"Page not found"))</f>
        <v>Yes</v>
      </c>
      <c r="L148" s="3" t="s">
        <v>5212</v>
      </c>
      <c r="M148" s="3" t="s">
        <v>5492</v>
      </c>
      <c r="N148" s="19"/>
      <c r="O148" s="17"/>
      <c r="P148" s="17"/>
    </row>
    <row r="149" customFormat="false" ht="15" hidden="false" customHeight="false" outlineLevel="0" collapsed="false">
      <c r="A149" s="15" t="s">
        <v>521</v>
      </c>
      <c r="B149" s="15" t="s">
        <v>90</v>
      </c>
      <c r="C149" s="15" t="s">
        <v>279</v>
      </c>
      <c r="D149" s="16" t="n">
        <v>260</v>
      </c>
      <c r="E149" s="15" t="n">
        <v>25</v>
      </c>
      <c r="F149" s="15" t="s">
        <v>5159</v>
      </c>
      <c r="G149" s="15" t="s">
        <v>5351</v>
      </c>
      <c r="H149" s="15" t="n">
        <v>3</v>
      </c>
      <c r="I149" s="15" t="s">
        <v>517</v>
      </c>
      <c r="J149" s="15" t="str">
        <f aca="false">IF(I149="","No","Yes")</f>
        <v>Yes</v>
      </c>
      <c r="K149" s="18" t="str">
        <f aca="false">IF(I149="","",IFERROR(IF(ISNUMBER(SEARCH(A149,INDEX(Pages!$J$2:$J$824,MATCH(I149,Pages!$B$2:$B$824,0)))),"Yes","No"),"Page not found"))</f>
        <v>No</v>
      </c>
      <c r="L149" s="3" t="s">
        <v>5355</v>
      </c>
      <c r="M149" s="3" t="s">
        <v>5487</v>
      </c>
      <c r="N149" s="19"/>
      <c r="O149" s="17"/>
      <c r="P149" s="17"/>
    </row>
    <row r="150" customFormat="false" ht="15" hidden="false" customHeight="false" outlineLevel="0" collapsed="false">
      <c r="A150" s="15" t="s">
        <v>503</v>
      </c>
      <c r="B150" s="15" t="s">
        <v>90</v>
      </c>
      <c r="C150" s="15" t="s">
        <v>279</v>
      </c>
      <c r="D150" s="16" t="n">
        <v>210</v>
      </c>
      <c r="E150" s="15" t="n">
        <v>25</v>
      </c>
      <c r="F150" s="15" t="s">
        <v>5159</v>
      </c>
      <c r="G150" s="15" t="s">
        <v>5351</v>
      </c>
      <c r="H150" s="15" t="n">
        <v>3</v>
      </c>
      <c r="I150" s="15" t="s">
        <v>499</v>
      </c>
      <c r="J150" s="15" t="str">
        <f aca="false">IF(I150="","No","Yes")</f>
        <v>Yes</v>
      </c>
      <c r="K150" s="18" t="str">
        <f aca="false">IF(I150="","",IFERROR(IF(ISNUMBER(SEARCH(A150,INDEX(Pages!$J$2:$J$824,MATCH(I150,Pages!$B$2:$B$824,0)))),"Yes","No"),"Page not found"))</f>
        <v>No</v>
      </c>
      <c r="L150" s="3" t="s">
        <v>5212</v>
      </c>
      <c r="M150" s="3" t="s">
        <v>5487</v>
      </c>
      <c r="N150" s="19"/>
      <c r="O150" s="17"/>
      <c r="P150" s="17"/>
    </row>
    <row r="151" customFormat="false" ht="15" hidden="false" customHeight="false" outlineLevel="0" collapsed="false">
      <c r="A151" s="15" t="s">
        <v>5554</v>
      </c>
      <c r="B151" s="15" t="s">
        <v>82</v>
      </c>
      <c r="C151" s="15" t="s">
        <v>265</v>
      </c>
      <c r="D151" s="16" t="n">
        <v>210</v>
      </c>
      <c r="E151" s="15" t="n">
        <v>20</v>
      </c>
      <c r="F151" s="15" t="s">
        <v>5159</v>
      </c>
      <c r="G151" s="15" t="s">
        <v>5525</v>
      </c>
      <c r="H151" s="15" t="n">
        <v>3</v>
      </c>
      <c r="I151" s="15"/>
      <c r="J151" s="15" t="str">
        <f aca="false">IF(I151="","No","Yes")</f>
        <v>No</v>
      </c>
      <c r="K151" s="18" t="str">
        <f aca="false">IF(I151="","",IFERROR(IF(ISNUMBER(SEARCH(A151,INDEX(Pages!$J$2:$J$824,MATCH(I151,Pages!$B$2:$B$824,0)))),"Yes","No"),"Page not found"))</f>
        <v/>
      </c>
      <c r="L151" s="3" t="s">
        <v>5426</v>
      </c>
      <c r="M151" s="3" t="s">
        <v>5555</v>
      </c>
      <c r="N151" s="19"/>
      <c r="O151" s="17"/>
      <c r="P151" s="17"/>
    </row>
    <row r="152" customFormat="false" ht="23.85" hidden="false" customHeight="false" outlineLevel="0" collapsed="false">
      <c r="A152" s="15" t="s">
        <v>5556</v>
      </c>
      <c r="B152" s="15" t="s">
        <v>82</v>
      </c>
      <c r="C152" s="15" t="s">
        <v>265</v>
      </c>
      <c r="D152" s="16" t="n">
        <v>210</v>
      </c>
      <c r="E152" s="15" t="n">
        <v>15</v>
      </c>
      <c r="F152" s="15" t="s">
        <v>5177</v>
      </c>
      <c r="G152" s="15" t="s">
        <v>5512</v>
      </c>
      <c r="H152" s="15" t="n">
        <v>2</v>
      </c>
      <c r="I152" s="15"/>
      <c r="J152" s="15" t="str">
        <f aca="false">IF(I152="","No","Yes")</f>
        <v>No</v>
      </c>
      <c r="K152" s="18" t="str">
        <f aca="false">IF(I152="","",IFERROR(IF(ISNUMBER(SEARCH(A152,INDEX(Pages!$J$2:$J$824,MATCH(I152,Pages!$B$2:$B$824,0)))),"Yes","No"),"Page not found"))</f>
        <v/>
      </c>
      <c r="L152" s="3" t="s">
        <v>5426</v>
      </c>
      <c r="M152" s="3" t="s">
        <v>5557</v>
      </c>
      <c r="N152" s="19"/>
      <c r="O152" s="17"/>
      <c r="P152" s="17"/>
    </row>
    <row r="153" customFormat="false" ht="23.85" hidden="false" customHeight="false" outlineLevel="0" collapsed="false">
      <c r="A153" s="15" t="s">
        <v>437</v>
      </c>
      <c r="B153" s="15" t="s">
        <v>82</v>
      </c>
      <c r="C153" s="15" t="s">
        <v>265</v>
      </c>
      <c r="D153" s="16" t="n">
        <v>210</v>
      </c>
      <c r="E153" s="15" t="n">
        <v>15</v>
      </c>
      <c r="F153" s="15" t="s">
        <v>5177</v>
      </c>
      <c r="G153" s="15" t="s">
        <v>5268</v>
      </c>
      <c r="H153" s="15" t="n">
        <v>1</v>
      </c>
      <c r="I153" s="15" t="s">
        <v>433</v>
      </c>
      <c r="J153" s="15" t="str">
        <f aca="false">IF(I153="","No","Yes")</f>
        <v>Yes</v>
      </c>
      <c r="K153" s="18" t="str">
        <f aca="false">IF(I153="","",IFERROR(IF(ISNUMBER(SEARCH(A153,INDEX(Pages!$J$2:$J$824,MATCH(I153,Pages!$B$2:$B$824,0)))),"Yes","No"),"Page not found"))</f>
        <v>No</v>
      </c>
      <c r="L153" s="3" t="s">
        <v>5493</v>
      </c>
      <c r="M153" s="3" t="s">
        <v>5494</v>
      </c>
      <c r="N153" s="19"/>
      <c r="O153" s="17"/>
      <c r="P153" s="17"/>
    </row>
    <row r="154" customFormat="false" ht="15" hidden="false" customHeight="false" outlineLevel="0" collapsed="false">
      <c r="A154" s="15" t="s">
        <v>5558</v>
      </c>
      <c r="B154" s="15" t="s">
        <v>82</v>
      </c>
      <c r="C154" s="15" t="s">
        <v>265</v>
      </c>
      <c r="D154" s="16" t="n">
        <v>170</v>
      </c>
      <c r="E154" s="15" t="n">
        <v>20</v>
      </c>
      <c r="F154" s="15" t="s">
        <v>5159</v>
      </c>
      <c r="G154" s="15" t="s">
        <v>5525</v>
      </c>
      <c r="H154" s="15" t="n">
        <v>3</v>
      </c>
      <c r="I154" s="15"/>
      <c r="J154" s="15" t="str">
        <f aca="false">IF(I154="","No","Yes")</f>
        <v>No</v>
      </c>
      <c r="K154" s="18" t="str">
        <f aca="false">IF(I154="","",IFERROR(IF(ISNUMBER(SEARCH(A154,INDEX(Pages!$J$2:$J$824,MATCH(I154,Pages!$B$2:$B$824,0)))),"Yes","No"),"Page not found"))</f>
        <v/>
      </c>
      <c r="L154" s="3" t="s">
        <v>5426</v>
      </c>
      <c r="M154" s="3" t="s">
        <v>5559</v>
      </c>
      <c r="N154" s="19"/>
      <c r="O154" s="17"/>
      <c r="P154" s="17"/>
    </row>
    <row r="155" customFormat="false" ht="15" hidden="false" customHeight="false" outlineLevel="0" collapsed="false">
      <c r="A155" s="15" t="s">
        <v>5560</v>
      </c>
      <c r="B155" s="15" t="s">
        <v>82</v>
      </c>
      <c r="C155" s="15" t="s">
        <v>265</v>
      </c>
      <c r="D155" s="16" t="n">
        <v>140</v>
      </c>
      <c r="E155" s="15" t="n">
        <v>15</v>
      </c>
      <c r="F155" s="15" t="s">
        <v>5159</v>
      </c>
      <c r="G155" s="15" t="s">
        <v>5525</v>
      </c>
      <c r="H155" s="15" t="n">
        <v>3</v>
      </c>
      <c r="I155" s="15"/>
      <c r="J155" s="15" t="str">
        <f aca="false">IF(I155="","No","Yes")</f>
        <v>No</v>
      </c>
      <c r="K155" s="18" t="str">
        <f aca="false">IF(I155="","",IFERROR(IF(ISNUMBER(SEARCH(A155,INDEX(Pages!$J$2:$J$824,MATCH(I155,Pages!$B$2:$B$824,0)))),"Yes","No"),"Page not found"))</f>
        <v/>
      </c>
      <c r="L155" s="3" t="s">
        <v>5426</v>
      </c>
      <c r="M155" s="3" t="s">
        <v>5561</v>
      </c>
      <c r="N155" s="19"/>
      <c r="O155" s="17"/>
      <c r="P155" s="17"/>
    </row>
    <row r="156" customFormat="false" ht="15" hidden="false" customHeight="false" outlineLevel="0" collapsed="false">
      <c r="A156" s="15" t="s">
        <v>158</v>
      </c>
      <c r="B156" s="15" t="s">
        <v>89</v>
      </c>
      <c r="C156" s="15" t="s">
        <v>258</v>
      </c>
      <c r="D156" s="16" t="n">
        <v>140</v>
      </c>
      <c r="E156" s="15" t="n">
        <v>15</v>
      </c>
      <c r="F156" s="15" t="s">
        <v>5169</v>
      </c>
      <c r="G156" s="15" t="s">
        <v>5193</v>
      </c>
      <c r="H156" s="15" t="n">
        <v>3</v>
      </c>
      <c r="I156" s="15" t="s">
        <v>154</v>
      </c>
      <c r="J156" s="15" t="str">
        <f aca="false">IF(I156="","No","Yes")</f>
        <v>Yes</v>
      </c>
      <c r="K156" s="18" t="str">
        <f aca="false">IF(I156="","",IFERROR(IF(ISNUMBER(SEARCH(A156,INDEX(Pages!$J$2:$J$824,MATCH(I156,Pages!$B$2:$B$824,0)))),"Yes","No"),"Page not found"))</f>
        <v>No</v>
      </c>
      <c r="L156" s="3" t="s">
        <v>5426</v>
      </c>
      <c r="M156" s="3"/>
      <c r="N156" s="19"/>
      <c r="O156" s="17"/>
      <c r="P156" s="17"/>
    </row>
    <row r="157" customFormat="false" ht="15" hidden="false" customHeight="false" outlineLevel="0" collapsed="false">
      <c r="A157" s="15" t="s">
        <v>5562</v>
      </c>
      <c r="B157" s="15" t="s">
        <v>82</v>
      </c>
      <c r="C157" s="15" t="s">
        <v>265</v>
      </c>
      <c r="D157" s="16" t="n">
        <v>140</v>
      </c>
      <c r="E157" s="15" t="n">
        <v>15</v>
      </c>
      <c r="F157" s="15" t="s">
        <v>5177</v>
      </c>
      <c r="G157" s="15" t="s">
        <v>5512</v>
      </c>
      <c r="H157" s="15" t="n">
        <v>3</v>
      </c>
      <c r="I157" s="15"/>
      <c r="J157" s="15" t="str">
        <f aca="false">IF(I157="","No","Yes")</f>
        <v>No</v>
      </c>
      <c r="K157" s="18" t="str">
        <f aca="false">IF(I157="","",IFERROR(IF(ISNUMBER(SEARCH(A157,INDEX(Pages!$J$2:$J$824,MATCH(I157,Pages!$B$2:$B$824,0)))),"Yes","No"),"Page not found"))</f>
        <v/>
      </c>
      <c r="L157" s="3" t="s">
        <v>5426</v>
      </c>
      <c r="M157" s="3" t="s">
        <v>5563</v>
      </c>
      <c r="N157" s="19"/>
      <c r="O157" s="17"/>
      <c r="P157" s="17"/>
    </row>
    <row r="158" customFormat="false" ht="15" hidden="false" customHeight="false" outlineLevel="0" collapsed="false">
      <c r="A158" s="15" t="s">
        <v>5564</v>
      </c>
      <c r="B158" s="15" t="s">
        <v>82</v>
      </c>
      <c r="C158" s="15" t="s">
        <v>265</v>
      </c>
      <c r="D158" s="16" t="n">
        <v>90</v>
      </c>
      <c r="E158" s="15" t="n">
        <v>15</v>
      </c>
      <c r="F158" s="15" t="s">
        <v>5159</v>
      </c>
      <c r="G158" s="15" t="s">
        <v>5525</v>
      </c>
      <c r="H158" s="15" t="n">
        <v>4</v>
      </c>
      <c r="I158" s="15"/>
      <c r="J158" s="15" t="str">
        <f aca="false">IF(I158="","No","Yes")</f>
        <v>No</v>
      </c>
      <c r="K158" s="18" t="str">
        <f aca="false">IF(I158="","",IFERROR(IF(ISNUMBER(SEARCH(A158,INDEX(Pages!$J$2:$J$824,MATCH(I158,Pages!$B$2:$B$824,0)))),"Yes","No"),"Page not found"))</f>
        <v/>
      </c>
      <c r="L158" s="3" t="s">
        <v>5565</v>
      </c>
      <c r="M158" s="3" t="s">
        <v>5566</v>
      </c>
      <c r="N158" s="19"/>
      <c r="O158" s="17"/>
      <c r="P158" s="17"/>
    </row>
  </sheetData>
  <autoFilter ref="A1:P1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Q1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3"/>
    <col collapsed="false" customWidth="true" hidden="false" outlineLevel="0" max="8" min="8" style="0" width="18"/>
    <col collapsed="false" customWidth="true" hidden="false" outlineLevel="0" max="9" min="9" style="0" width="9"/>
    <col collapsed="false" customWidth="true" hidden="false" outlineLevel="0" max="10" min="10" style="0" width="50"/>
    <col collapsed="false" customWidth="true" hidden="false" outlineLevel="0" max="11" min="11" style="0" width="9"/>
    <col collapsed="false" customWidth="true" hidden="false" outlineLevel="0" max="12" min="12" style="0" width="11"/>
    <col collapsed="false" customWidth="true" hidden="false" outlineLevel="0" max="13" min="13" style="0" width="40"/>
    <col collapsed="false" customWidth="true" hidden="false" outlineLevel="0" max="14" min="14" style="0" width="60"/>
    <col collapsed="false" customWidth="true" hidden="false" outlineLevel="0" max="15" min="15" style="0" width="14"/>
    <col collapsed="false" customWidth="true" hidden="false" outlineLevel="0" max="16" min="16" style="0" width="11"/>
    <col collapsed="false" customWidth="true" hidden="false" outlineLevel="0" max="17" min="17" style="0" width="12"/>
  </cols>
  <sheetData>
    <row r="1" customFormat="false" ht="31.5" hidden="false" customHeight="true" outlineLevel="0" collapsed="false">
      <c r="A1" s="9" t="s">
        <v>5149</v>
      </c>
      <c r="B1" s="9" t="s">
        <v>63</v>
      </c>
      <c r="C1" s="9" t="s">
        <v>101</v>
      </c>
      <c r="D1" s="9" t="s">
        <v>103</v>
      </c>
      <c r="E1" s="9" t="s">
        <v>5151</v>
      </c>
      <c r="F1" s="9" t="s">
        <v>5152</v>
      </c>
      <c r="G1" s="9" t="s">
        <v>5153</v>
      </c>
      <c r="H1" s="9" t="s">
        <v>5154</v>
      </c>
      <c r="I1" s="9" t="s">
        <v>5155</v>
      </c>
      <c r="J1" s="9" t="s">
        <v>5500</v>
      </c>
      <c r="K1" s="9" t="s">
        <v>5501</v>
      </c>
      <c r="L1" s="9" t="s">
        <v>5502</v>
      </c>
      <c r="M1" s="9" t="s">
        <v>5158</v>
      </c>
      <c r="N1" s="9" t="s">
        <v>5503</v>
      </c>
      <c r="O1" s="9" t="s">
        <v>5504</v>
      </c>
      <c r="P1" s="9" t="s">
        <v>5505</v>
      </c>
      <c r="Q1" s="9" t="s">
        <v>5506</v>
      </c>
    </row>
    <row r="2" customFormat="false" ht="23.85" hidden="false" customHeight="false" outlineLevel="0" collapsed="false">
      <c r="A2" s="15" t="s">
        <v>5567</v>
      </c>
      <c r="B2" s="15" t="s">
        <v>82</v>
      </c>
      <c r="C2" s="15" t="s">
        <v>265</v>
      </c>
      <c r="D2" s="15" t="s">
        <v>729</v>
      </c>
      <c r="E2" s="16" t="n">
        <v>33000</v>
      </c>
      <c r="F2" s="15" t="n">
        <v>75</v>
      </c>
      <c r="G2" s="15" t="s">
        <v>5169</v>
      </c>
      <c r="H2" s="15" t="s">
        <v>5568</v>
      </c>
      <c r="I2" s="15" t="n">
        <v>3</v>
      </c>
      <c r="J2" s="15"/>
      <c r="K2" s="15" t="str">
        <f aca="false">IF(J2="","No","Yes")</f>
        <v>No</v>
      </c>
      <c r="L2" s="18" t="str">
        <f aca="false">IF(J2="","",IFERROR(IF(ISNUMBER(SEARCH(A2,INDEX(Pages!$J$2:$J$824,MATCH(J2,Pages!$B$2:$B$824,0)))),"Yes","No"),"Page not found"))</f>
        <v/>
      </c>
      <c r="M2" s="3" t="s">
        <v>5569</v>
      </c>
      <c r="N2" s="3" t="s">
        <v>5570</v>
      </c>
      <c r="O2" s="19"/>
      <c r="P2" s="17"/>
      <c r="Q2" s="17"/>
    </row>
    <row r="3" customFormat="false" ht="15" hidden="false" customHeight="false" outlineLevel="0" collapsed="false">
      <c r="A3" s="15" t="s">
        <v>5571</v>
      </c>
      <c r="B3" s="15" t="s">
        <v>84</v>
      </c>
      <c r="C3" s="15" t="s">
        <v>314</v>
      </c>
      <c r="D3" s="15" t="s">
        <v>729</v>
      </c>
      <c r="E3" s="16" t="n">
        <v>22000</v>
      </c>
      <c r="F3" s="15" t="n">
        <v>70</v>
      </c>
      <c r="G3" s="15" t="s">
        <v>5169</v>
      </c>
      <c r="H3" s="15" t="s">
        <v>5568</v>
      </c>
      <c r="I3" s="15" t="n">
        <v>3</v>
      </c>
      <c r="J3" s="15"/>
      <c r="K3" s="15" t="str">
        <f aca="false">IF(J3="","No","Yes")</f>
        <v>No</v>
      </c>
      <c r="L3" s="18" t="str">
        <f aca="false">IF(J3="","",IFERROR(IF(ISNUMBER(SEARCH(A3,INDEX(Pages!$J$2:$J$824,MATCH(J3,Pages!$B$2:$B$824,0)))),"Yes","No"),"Page not found"))</f>
        <v/>
      </c>
      <c r="M3" s="3" t="s">
        <v>5572</v>
      </c>
      <c r="N3" s="3" t="s">
        <v>5573</v>
      </c>
      <c r="O3" s="19"/>
      <c r="P3" s="17"/>
      <c r="Q3" s="17"/>
    </row>
    <row r="4" customFormat="false" ht="15" hidden="false" customHeight="false" outlineLevel="0" collapsed="false">
      <c r="A4" s="15" t="s">
        <v>801</v>
      </c>
      <c r="B4" s="15" t="s">
        <v>82</v>
      </c>
      <c r="C4" s="15" t="s">
        <v>265</v>
      </c>
      <c r="D4" s="15" t="s">
        <v>715</v>
      </c>
      <c r="E4" s="16" t="n">
        <v>12000</v>
      </c>
      <c r="F4" s="15" t="n">
        <v>79</v>
      </c>
      <c r="G4" s="15" t="s">
        <v>5159</v>
      </c>
      <c r="H4" s="15" t="s">
        <v>5225</v>
      </c>
      <c r="I4" s="15" t="n">
        <v>1</v>
      </c>
      <c r="J4" s="15" t="s">
        <v>797</v>
      </c>
      <c r="K4" s="15" t="str">
        <f aca="false">IF(J4="","No","Yes")</f>
        <v>Yes</v>
      </c>
      <c r="L4" s="18" t="str">
        <f aca="false">IF(J4="","",IFERROR(IF(ISNUMBER(SEARCH(A4,INDEX(Pages!$J$2:$J$824,MATCH(J4,Pages!$B$2:$B$824,0)))),"Yes","No"),"Page not found"))</f>
        <v>No</v>
      </c>
      <c r="M4" s="3" t="s">
        <v>5226</v>
      </c>
      <c r="N4" s="3"/>
      <c r="O4" s="19"/>
      <c r="P4" s="17"/>
      <c r="Q4" s="17"/>
    </row>
    <row r="5" customFormat="false" ht="23.85" hidden="false" customHeight="false" outlineLevel="0" collapsed="false">
      <c r="A5" s="15" t="s">
        <v>5574</v>
      </c>
      <c r="B5" s="15" t="s">
        <v>74</v>
      </c>
      <c r="C5" s="15" t="s">
        <v>321</v>
      </c>
      <c r="D5" s="15" t="s">
        <v>729</v>
      </c>
      <c r="E5" s="16" t="n">
        <v>9900</v>
      </c>
      <c r="F5" s="15" t="n">
        <v>65</v>
      </c>
      <c r="G5" s="15" t="s">
        <v>5159</v>
      </c>
      <c r="H5" s="15" t="s">
        <v>5568</v>
      </c>
      <c r="I5" s="15" t="n">
        <v>3</v>
      </c>
      <c r="J5" s="15"/>
      <c r="K5" s="15" t="str">
        <f aca="false">IF(J5="","No","Yes")</f>
        <v>No</v>
      </c>
      <c r="L5" s="18" t="str">
        <f aca="false">IF(J5="","",IFERROR(IF(ISNUMBER(SEARCH(A5,INDEX(Pages!$J$2:$J$824,MATCH(J5,Pages!$B$2:$B$824,0)))),"Yes","No"),"Page not found"))</f>
        <v/>
      </c>
      <c r="M5" s="3" t="s">
        <v>5575</v>
      </c>
      <c r="N5" s="3" t="s">
        <v>5576</v>
      </c>
      <c r="O5" s="19"/>
      <c r="P5" s="17"/>
      <c r="Q5" s="17"/>
    </row>
    <row r="6" customFormat="false" ht="15" hidden="false" customHeight="false" outlineLevel="0" collapsed="false">
      <c r="A6" s="15" t="s">
        <v>5577</v>
      </c>
      <c r="B6" s="15" t="s">
        <v>82</v>
      </c>
      <c r="C6" s="15" t="s">
        <v>265</v>
      </c>
      <c r="D6" s="15" t="s">
        <v>729</v>
      </c>
      <c r="E6" s="16" t="n">
        <v>6600</v>
      </c>
      <c r="F6" s="15" t="n">
        <v>65</v>
      </c>
      <c r="G6" s="15" t="s">
        <v>5169</v>
      </c>
      <c r="H6" s="15" t="s">
        <v>5568</v>
      </c>
      <c r="I6" s="15" t="n">
        <v>3</v>
      </c>
      <c r="J6" s="15"/>
      <c r="K6" s="15" t="str">
        <f aca="false">IF(J6="","No","Yes")</f>
        <v>No</v>
      </c>
      <c r="L6" s="18" t="str">
        <f aca="false">IF(J6="","",IFERROR(IF(ISNUMBER(SEARCH(A6,INDEX(Pages!$J$2:$J$824,MATCH(J6,Pages!$B$2:$B$824,0)))),"Yes","No"),"Page not found"))</f>
        <v/>
      </c>
      <c r="M6" s="3" t="s">
        <v>5578</v>
      </c>
      <c r="N6" s="3" t="s">
        <v>5579</v>
      </c>
      <c r="O6" s="19"/>
      <c r="P6" s="17"/>
      <c r="Q6" s="17"/>
    </row>
    <row r="7" customFormat="false" ht="15" hidden="false" customHeight="false" outlineLevel="0" collapsed="false">
      <c r="A7" s="15" t="s">
        <v>753</v>
      </c>
      <c r="B7" s="15" t="s">
        <v>82</v>
      </c>
      <c r="C7" s="15" t="s">
        <v>265</v>
      </c>
      <c r="D7" s="15" t="s">
        <v>657</v>
      </c>
      <c r="E7" s="16" t="n">
        <v>4500</v>
      </c>
      <c r="F7" s="15" t="n">
        <v>67</v>
      </c>
      <c r="G7" s="15" t="s">
        <v>5159</v>
      </c>
      <c r="H7" s="15" t="s">
        <v>5225</v>
      </c>
      <c r="I7" s="15" t="n">
        <v>1</v>
      </c>
      <c r="J7" s="15" t="s">
        <v>749</v>
      </c>
      <c r="K7" s="15" t="str">
        <f aca="false">IF(J7="","No","Yes")</f>
        <v>Yes</v>
      </c>
      <c r="L7" s="18" t="str">
        <f aca="false">IF(J7="","",IFERROR(IF(ISNUMBER(SEARCH(A7,INDEX(Pages!$J$2:$J$824,MATCH(J7,Pages!$B$2:$B$824,0)))),"Yes","No"),"Page not found"))</f>
        <v>No</v>
      </c>
      <c r="M7" s="3" t="s">
        <v>5182</v>
      </c>
      <c r="N7" s="3"/>
      <c r="O7" s="19"/>
      <c r="P7" s="17"/>
      <c r="Q7" s="17"/>
    </row>
    <row r="8" customFormat="false" ht="15" hidden="false" customHeight="false" outlineLevel="0" collapsed="false">
      <c r="A8" s="15" t="s">
        <v>5580</v>
      </c>
      <c r="B8" s="15" t="s">
        <v>86</v>
      </c>
      <c r="C8" s="15" t="s">
        <v>356</v>
      </c>
      <c r="D8" s="15" t="s">
        <v>729</v>
      </c>
      <c r="E8" s="16" t="n">
        <v>4400</v>
      </c>
      <c r="F8" s="15" t="n">
        <v>55</v>
      </c>
      <c r="G8" s="15" t="s">
        <v>5159</v>
      </c>
      <c r="H8" s="15" t="s">
        <v>5568</v>
      </c>
      <c r="I8" s="15" t="n">
        <v>3</v>
      </c>
      <c r="J8" s="15"/>
      <c r="K8" s="15" t="str">
        <f aca="false">IF(J8="","No","Yes")</f>
        <v>No</v>
      </c>
      <c r="L8" s="18" t="str">
        <f aca="false">IF(J8="","",IFERROR(IF(ISNUMBER(SEARCH(A8,INDEX(Pages!$J$2:$J$824,MATCH(J8,Pages!$B$2:$B$824,0)))),"Yes","No"),"Page not found"))</f>
        <v/>
      </c>
      <c r="M8" s="3" t="s">
        <v>5408</v>
      </c>
      <c r="N8" s="3" t="s">
        <v>5581</v>
      </c>
      <c r="O8" s="19"/>
      <c r="P8" s="17"/>
      <c r="Q8" s="17"/>
    </row>
    <row r="9" customFormat="false" ht="15" hidden="false" customHeight="false" outlineLevel="0" collapsed="false">
      <c r="A9" s="15" t="s">
        <v>5070</v>
      </c>
      <c r="B9" s="15" t="s">
        <v>82</v>
      </c>
      <c r="C9" s="15" t="s">
        <v>265</v>
      </c>
      <c r="D9" s="15" t="s">
        <v>715</v>
      </c>
      <c r="E9" s="16" t="n">
        <v>4400</v>
      </c>
      <c r="F9" s="15" t="n">
        <v>45</v>
      </c>
      <c r="G9" s="15" t="s">
        <v>5177</v>
      </c>
      <c r="H9" s="15" t="s">
        <v>5268</v>
      </c>
      <c r="I9" s="15" t="n">
        <v>1</v>
      </c>
      <c r="J9" s="15" t="s">
        <v>5066</v>
      </c>
      <c r="K9" s="15" t="str">
        <f aca="false">IF(J9="","No","Yes")</f>
        <v>Yes</v>
      </c>
      <c r="L9" s="18" t="str">
        <f aca="false">IF(J9="","",IFERROR(IF(ISNUMBER(SEARCH(A9,INDEX(Pages!$J$2:$J$824,MATCH(J9,Pages!$B$2:$B$824,0)))),"Yes","No"),"Page not found"))</f>
        <v>No</v>
      </c>
      <c r="M9" s="3" t="s">
        <v>5269</v>
      </c>
      <c r="N9" s="3" t="s">
        <v>5270</v>
      </c>
      <c r="O9" s="19"/>
      <c r="P9" s="17"/>
      <c r="Q9" s="17"/>
    </row>
    <row r="10" customFormat="false" ht="15" hidden="false" customHeight="false" outlineLevel="0" collapsed="false">
      <c r="A10" s="15" t="s">
        <v>1347</v>
      </c>
      <c r="B10" s="15" t="s">
        <v>84</v>
      </c>
      <c r="C10" s="15" t="s">
        <v>314</v>
      </c>
      <c r="D10" s="15" t="s">
        <v>715</v>
      </c>
      <c r="E10" s="16" t="n">
        <v>3000</v>
      </c>
      <c r="F10" s="15" t="n">
        <v>69</v>
      </c>
      <c r="G10" s="15" t="s">
        <v>5159</v>
      </c>
      <c r="H10" s="15" t="s">
        <v>5321</v>
      </c>
      <c r="I10" s="15" t="n">
        <v>1</v>
      </c>
      <c r="J10" s="15" t="s">
        <v>1343</v>
      </c>
      <c r="K10" s="15" t="str">
        <f aca="false">IF(J10="","No","Yes")</f>
        <v>Yes</v>
      </c>
      <c r="L10" s="18" t="str">
        <f aca="false">IF(J10="","",IFERROR(IF(ISNUMBER(SEARCH(A10,INDEX(Pages!$J$2:$J$824,MATCH(J10,Pages!$B$2:$B$824,0)))),"Yes","No"),"Page not found"))</f>
        <v>No</v>
      </c>
      <c r="M10" s="3" t="s">
        <v>5226</v>
      </c>
      <c r="N10" s="3"/>
      <c r="O10" s="19"/>
      <c r="P10" s="17"/>
      <c r="Q10" s="17"/>
    </row>
    <row r="11" customFormat="false" ht="15" hidden="false" customHeight="false" outlineLevel="0" collapsed="false">
      <c r="A11" s="15" t="s">
        <v>759</v>
      </c>
      <c r="B11" s="15" t="s">
        <v>82</v>
      </c>
      <c r="C11" s="15" t="s">
        <v>265</v>
      </c>
      <c r="D11" s="15" t="s">
        <v>666</v>
      </c>
      <c r="E11" s="16" t="n">
        <v>2200</v>
      </c>
      <c r="F11" s="15" t="n">
        <v>63</v>
      </c>
      <c r="G11" s="15" t="s">
        <v>5159</v>
      </c>
      <c r="H11" s="15" t="s">
        <v>5225</v>
      </c>
      <c r="I11" s="15" t="n">
        <v>2</v>
      </c>
      <c r="J11" s="15" t="s">
        <v>755</v>
      </c>
      <c r="K11" s="15" t="str">
        <f aca="false">IF(J11="","No","Yes")</f>
        <v>Yes</v>
      </c>
      <c r="L11" s="18" t="str">
        <f aca="false">IF(J11="","",IFERROR(IF(ISNUMBER(SEARCH(A11,INDEX(Pages!$J$2:$J$824,MATCH(J11,Pages!$B$2:$B$824,0)))),"Yes","No"),"Page not found"))</f>
        <v>No</v>
      </c>
      <c r="M11" s="3" t="s">
        <v>5376</v>
      </c>
      <c r="N11" s="3" t="s">
        <v>5377</v>
      </c>
      <c r="O11" s="19"/>
      <c r="P11" s="17"/>
      <c r="Q11" s="17"/>
    </row>
    <row r="12" customFormat="false" ht="15" hidden="false" customHeight="false" outlineLevel="0" collapsed="false">
      <c r="A12" s="15" t="s">
        <v>813</v>
      </c>
      <c r="B12" s="15" t="s">
        <v>82</v>
      </c>
      <c r="C12" s="15" t="s">
        <v>265</v>
      </c>
      <c r="D12" s="15" t="s">
        <v>729</v>
      </c>
      <c r="E12" s="16" t="n">
        <v>2200</v>
      </c>
      <c r="F12" s="15" t="n">
        <v>71</v>
      </c>
      <c r="G12" s="15" t="s">
        <v>5159</v>
      </c>
      <c r="H12" s="15" t="s">
        <v>5225</v>
      </c>
      <c r="I12" s="15" t="n">
        <v>3</v>
      </c>
      <c r="J12" s="15" t="s">
        <v>809</v>
      </c>
      <c r="K12" s="15" t="str">
        <f aca="false">IF(J12="","No","Yes")</f>
        <v>Yes</v>
      </c>
      <c r="L12" s="18" t="str">
        <f aca="false">IF(J12="","",IFERROR(IF(ISNUMBER(SEARCH(A12,INDEX(Pages!$J$2:$J$824,MATCH(J12,Pages!$B$2:$B$824,0)))),"Yes","No"),"Page not found"))</f>
        <v>No</v>
      </c>
      <c r="M12" s="3" t="s">
        <v>5226</v>
      </c>
      <c r="N12" s="3" t="s">
        <v>5378</v>
      </c>
      <c r="O12" s="19"/>
      <c r="P12" s="17"/>
      <c r="Q12" s="17"/>
    </row>
    <row r="13" customFormat="false" ht="23.85" hidden="false" customHeight="false" outlineLevel="0" collapsed="false">
      <c r="A13" s="15" t="s">
        <v>5004</v>
      </c>
      <c r="B13" s="15" t="s">
        <v>82</v>
      </c>
      <c r="C13" s="15" t="s">
        <v>265</v>
      </c>
      <c r="D13" s="15" t="s">
        <v>657</v>
      </c>
      <c r="E13" s="16" t="n">
        <v>1900</v>
      </c>
      <c r="F13" s="15" t="n">
        <v>35</v>
      </c>
      <c r="G13" s="15" t="s">
        <v>5177</v>
      </c>
      <c r="H13" s="15" t="s">
        <v>5268</v>
      </c>
      <c r="I13" s="15" t="n">
        <v>1</v>
      </c>
      <c r="J13" s="15" t="s">
        <v>4999</v>
      </c>
      <c r="K13" s="15" t="str">
        <f aca="false">IF(J13="","No","Yes")</f>
        <v>Yes</v>
      </c>
      <c r="L13" s="18" t="str">
        <f aca="false">IF(J13="","",IFERROR(IF(ISNUMBER(SEARCH(A13,INDEX(Pages!$J$2:$J$824,MATCH(J13,Pages!$B$2:$B$824,0)))),"Yes","No"),"Page not found"))</f>
        <v>No</v>
      </c>
      <c r="M13" s="3" t="s">
        <v>5312</v>
      </c>
      <c r="N13" s="3" t="s">
        <v>5313</v>
      </c>
      <c r="O13" s="19"/>
      <c r="P13" s="17"/>
      <c r="Q13" s="17"/>
    </row>
    <row r="14" customFormat="false" ht="15" hidden="false" customHeight="false" outlineLevel="0" collapsed="false">
      <c r="A14" s="15" t="s">
        <v>5314</v>
      </c>
      <c r="B14" s="15" t="s">
        <v>82</v>
      </c>
      <c r="C14" s="15" t="s">
        <v>265</v>
      </c>
      <c r="D14" s="15" t="s">
        <v>657</v>
      </c>
      <c r="E14" s="16" t="n">
        <v>1600</v>
      </c>
      <c r="F14" s="15" t="n">
        <v>30</v>
      </c>
      <c r="G14" s="15" t="s">
        <v>5177</v>
      </c>
      <c r="H14" s="15" t="s">
        <v>5268</v>
      </c>
      <c r="I14" s="15" t="n">
        <v>1</v>
      </c>
      <c r="J14" s="15" t="s">
        <v>4999</v>
      </c>
      <c r="K14" s="15" t="str">
        <f aca="false">IF(J14="","No","Yes")</f>
        <v>Yes</v>
      </c>
      <c r="L14" s="18" t="str">
        <f aca="false">IF(J14="","",IFERROR(IF(ISNUMBER(SEARCH(A14,INDEX(Pages!$J$2:$J$824,MATCH(J14,Pages!$B$2:$B$824,0)))),"Yes","No"),"Page not found"))</f>
        <v>No</v>
      </c>
      <c r="M14" s="3" t="s">
        <v>5315</v>
      </c>
      <c r="N14" s="3" t="s">
        <v>5316</v>
      </c>
      <c r="O14" s="19"/>
      <c r="P14" s="17"/>
      <c r="Q14" s="17"/>
    </row>
    <row r="15" customFormat="false" ht="15" hidden="false" customHeight="false" outlineLevel="0" collapsed="false">
      <c r="A15" s="15" t="s">
        <v>1815</v>
      </c>
      <c r="B15" s="15" t="s">
        <v>86</v>
      </c>
      <c r="C15" s="15" t="s">
        <v>356</v>
      </c>
      <c r="D15" s="15" t="s">
        <v>715</v>
      </c>
      <c r="E15" s="16" t="n">
        <v>1600</v>
      </c>
      <c r="F15" s="15" t="n">
        <v>62</v>
      </c>
      <c r="G15" s="15" t="s">
        <v>5159</v>
      </c>
      <c r="H15" s="15" t="s">
        <v>5321</v>
      </c>
      <c r="I15" s="15" t="n">
        <v>3</v>
      </c>
      <c r="J15" s="15" t="s">
        <v>1811</v>
      </c>
      <c r="K15" s="15" t="str">
        <f aca="false">IF(J15="","No","Yes")</f>
        <v>Yes</v>
      </c>
      <c r="L15" s="18" t="str">
        <f aca="false">IF(J15="","",IFERROR(IF(ISNUMBER(SEARCH(A15,INDEX(Pages!$J$2:$J$824,MATCH(J15,Pages!$B$2:$B$824,0)))),"Yes","No"),"Page not found"))</f>
        <v>No</v>
      </c>
      <c r="M15" s="3" t="s">
        <v>5226</v>
      </c>
      <c r="N15" s="3"/>
      <c r="O15" s="19"/>
      <c r="P15" s="17"/>
      <c r="Q15" s="17"/>
    </row>
    <row r="16" customFormat="false" ht="15" hidden="false" customHeight="false" outlineLevel="0" collapsed="false">
      <c r="A16" s="15" t="s">
        <v>5582</v>
      </c>
      <c r="B16" s="15" t="s">
        <v>76</v>
      </c>
      <c r="C16" s="15" t="s">
        <v>286</v>
      </c>
      <c r="D16" s="15" t="s">
        <v>729</v>
      </c>
      <c r="E16" s="16" t="n">
        <v>1300</v>
      </c>
      <c r="F16" s="15" t="n">
        <v>40</v>
      </c>
      <c r="G16" s="15" t="s">
        <v>5159</v>
      </c>
      <c r="H16" s="15" t="s">
        <v>5568</v>
      </c>
      <c r="I16" s="15" t="n">
        <v>3</v>
      </c>
      <c r="J16" s="15"/>
      <c r="K16" s="15" t="str">
        <f aca="false">IF(J16="","No","Yes")</f>
        <v>No</v>
      </c>
      <c r="L16" s="18" t="str">
        <f aca="false">IF(J16="","",IFERROR(IF(ISNUMBER(SEARCH(A16,INDEX(Pages!$J$2:$J$824,MATCH(J16,Pages!$B$2:$B$824,0)))),"Yes","No"),"Page not found"))</f>
        <v/>
      </c>
      <c r="M16" s="3" t="s">
        <v>5583</v>
      </c>
      <c r="N16" s="3" t="s">
        <v>5584</v>
      </c>
      <c r="O16" s="19"/>
      <c r="P16" s="17"/>
      <c r="Q16" s="17"/>
    </row>
    <row r="17" customFormat="false" ht="15" hidden="false" customHeight="false" outlineLevel="0" collapsed="false">
      <c r="A17" s="15" t="s">
        <v>1269</v>
      </c>
      <c r="B17" s="15" t="s">
        <v>78</v>
      </c>
      <c r="C17" s="15" t="s">
        <v>307</v>
      </c>
      <c r="D17" s="15" t="s">
        <v>715</v>
      </c>
      <c r="E17" s="16" t="n">
        <v>1300</v>
      </c>
      <c r="F17" s="15" t="n">
        <v>61</v>
      </c>
      <c r="G17" s="15" t="s">
        <v>5159</v>
      </c>
      <c r="H17" s="15" t="s">
        <v>5418</v>
      </c>
      <c r="I17" s="15" t="n">
        <v>1</v>
      </c>
      <c r="J17" s="15" t="s">
        <v>1265</v>
      </c>
      <c r="K17" s="15" t="str">
        <f aca="false">IF(J17="","No","Yes")</f>
        <v>Yes</v>
      </c>
      <c r="L17" s="18" t="str">
        <f aca="false">IF(J17="","",IFERROR(IF(ISNUMBER(SEARCH(A17,INDEX(Pages!$J$2:$J$824,MATCH(J17,Pages!$B$2:$B$824,0)))),"Yes","No"),"Page not found"))</f>
        <v>No</v>
      </c>
      <c r="M17" s="3" t="s">
        <v>5224</v>
      </c>
      <c r="N17" s="3"/>
      <c r="O17" s="19"/>
      <c r="P17" s="17"/>
      <c r="Q17" s="17"/>
    </row>
    <row r="18" customFormat="false" ht="15" hidden="false" customHeight="false" outlineLevel="0" collapsed="false">
      <c r="A18" s="15" t="s">
        <v>5053</v>
      </c>
      <c r="B18" s="15" t="s">
        <v>82</v>
      </c>
      <c r="C18" s="15" t="s">
        <v>265</v>
      </c>
      <c r="D18" s="15" t="s">
        <v>666</v>
      </c>
      <c r="E18" s="16" t="n">
        <v>1300</v>
      </c>
      <c r="F18" s="15" t="n">
        <v>40</v>
      </c>
      <c r="G18" s="15" t="s">
        <v>5177</v>
      </c>
      <c r="H18" s="15" t="s">
        <v>5268</v>
      </c>
      <c r="I18" s="15" t="n">
        <v>2</v>
      </c>
      <c r="J18" s="15" t="s">
        <v>5049</v>
      </c>
      <c r="K18" s="15" t="str">
        <f aca="false">IF(J18="","No","Yes")</f>
        <v>Yes</v>
      </c>
      <c r="L18" s="18" t="str">
        <f aca="false">IF(J18="","",IFERROR(IF(ISNUMBER(SEARCH(A18,INDEX(Pages!$J$2:$J$824,MATCH(J18,Pages!$B$2:$B$824,0)))),"Yes","No"),"Page not found"))</f>
        <v>Yes</v>
      </c>
      <c r="M18" s="3" t="s">
        <v>5400</v>
      </c>
      <c r="N18" s="3" t="s">
        <v>5401</v>
      </c>
      <c r="O18" s="19"/>
      <c r="P18" s="17"/>
      <c r="Q18" s="17"/>
    </row>
    <row r="19" customFormat="false" ht="15" hidden="false" customHeight="false" outlineLevel="0" collapsed="false">
      <c r="A19" s="15" t="s">
        <v>5271</v>
      </c>
      <c r="B19" s="15" t="s">
        <v>82</v>
      </c>
      <c r="C19" s="15" t="s">
        <v>265</v>
      </c>
      <c r="D19" s="15" t="s">
        <v>715</v>
      </c>
      <c r="E19" s="16" t="n">
        <v>1300</v>
      </c>
      <c r="F19" s="15" t="n">
        <v>35</v>
      </c>
      <c r="G19" s="15" t="s">
        <v>5177</v>
      </c>
      <c r="H19" s="15" t="s">
        <v>5268</v>
      </c>
      <c r="I19" s="15" t="n">
        <v>1</v>
      </c>
      <c r="J19" s="15" t="s">
        <v>5066</v>
      </c>
      <c r="K19" s="15" t="str">
        <f aca="false">IF(J19="","No","Yes")</f>
        <v>Yes</v>
      </c>
      <c r="L19" s="18" t="str">
        <f aca="false">IF(J19="","",IFERROR(IF(ISNUMBER(SEARCH(A19,INDEX(Pages!$J$2:$J$824,MATCH(J19,Pages!$B$2:$B$824,0)))),"Yes","No"),"Page not found"))</f>
        <v>No</v>
      </c>
      <c r="M19" s="3" t="s">
        <v>5272</v>
      </c>
      <c r="N19" s="3"/>
      <c r="O19" s="19"/>
      <c r="P19" s="17"/>
      <c r="Q19" s="17"/>
    </row>
    <row r="20" customFormat="false" ht="15" hidden="false" customHeight="false" outlineLevel="0" collapsed="false">
      <c r="A20" s="15" t="s">
        <v>719</v>
      </c>
      <c r="B20" s="15" t="s">
        <v>89</v>
      </c>
      <c r="C20" s="15" t="s">
        <v>258</v>
      </c>
      <c r="D20" s="15" t="s">
        <v>715</v>
      </c>
      <c r="E20" s="16" t="n">
        <v>1200</v>
      </c>
      <c r="F20" s="15" t="n">
        <v>52</v>
      </c>
      <c r="G20" s="15" t="s">
        <v>5159</v>
      </c>
      <c r="H20" s="15" t="s">
        <v>5425</v>
      </c>
      <c r="I20" s="15" t="n">
        <v>1</v>
      </c>
      <c r="J20" s="15" t="s">
        <v>714</v>
      </c>
      <c r="K20" s="15" t="str">
        <f aca="false">IF(J20="","No","Yes")</f>
        <v>Yes</v>
      </c>
      <c r="L20" s="18" t="str">
        <f aca="false">IF(J20="","",IFERROR(IF(ISNUMBER(SEARCH(A20,INDEX(Pages!$J$2:$J$824,MATCH(J20,Pages!$B$2:$B$824,0)))),"Yes","No"),"Page not found"))</f>
        <v>No</v>
      </c>
      <c r="M20" s="3" t="s">
        <v>5426</v>
      </c>
      <c r="N20" s="3"/>
      <c r="O20" s="19"/>
      <c r="P20" s="17"/>
      <c r="Q20" s="17"/>
    </row>
    <row r="21" customFormat="false" ht="15" hidden="false" customHeight="false" outlineLevel="0" collapsed="false">
      <c r="A21" s="15" t="s">
        <v>5585</v>
      </c>
      <c r="B21" s="15" t="s">
        <v>77</v>
      </c>
      <c r="C21" s="15" t="s">
        <v>293</v>
      </c>
      <c r="D21" s="15" t="s">
        <v>729</v>
      </c>
      <c r="E21" s="16" t="n">
        <v>1000</v>
      </c>
      <c r="F21" s="15" t="n">
        <v>40</v>
      </c>
      <c r="G21" s="15" t="s">
        <v>5159</v>
      </c>
      <c r="H21" s="15" t="s">
        <v>5568</v>
      </c>
      <c r="I21" s="15" t="n">
        <v>3</v>
      </c>
      <c r="J21" s="15"/>
      <c r="K21" s="15" t="str">
        <f aca="false">IF(J21="","No","Yes")</f>
        <v>No</v>
      </c>
      <c r="L21" s="18" t="str">
        <f aca="false">IF(J21="","",IFERROR(IF(ISNUMBER(SEARCH(A21,INDEX(Pages!$J$2:$J$824,MATCH(J21,Pages!$B$2:$B$824,0)))),"Yes","No"),"Page not found"))</f>
        <v/>
      </c>
      <c r="M21" s="3" t="s">
        <v>5586</v>
      </c>
      <c r="N21" s="3" t="s">
        <v>5587</v>
      </c>
      <c r="O21" s="19"/>
      <c r="P21" s="17"/>
      <c r="Q21" s="17"/>
    </row>
    <row r="22" customFormat="false" ht="15" hidden="false" customHeight="false" outlineLevel="0" collapsed="false">
      <c r="A22" s="15" t="s">
        <v>1305</v>
      </c>
      <c r="B22" s="15" t="s">
        <v>84</v>
      </c>
      <c r="C22" s="15" t="s">
        <v>314</v>
      </c>
      <c r="D22" s="15" t="s">
        <v>666</v>
      </c>
      <c r="E22" s="16" t="n">
        <v>1000</v>
      </c>
      <c r="F22" s="15" t="n">
        <v>53</v>
      </c>
      <c r="G22" s="15" t="s">
        <v>5159</v>
      </c>
      <c r="H22" s="15" t="s">
        <v>5321</v>
      </c>
      <c r="I22" s="15" t="n">
        <v>1</v>
      </c>
      <c r="J22" s="15" t="s">
        <v>1301</v>
      </c>
      <c r="K22" s="15" t="str">
        <f aca="false">IF(J22="","No","Yes")</f>
        <v>Yes</v>
      </c>
      <c r="L22" s="18" t="str">
        <f aca="false">IF(J22="","",IFERROR(IF(ISNUMBER(SEARCH(A22,INDEX(Pages!$J$2:$J$824,MATCH(J22,Pages!$B$2:$B$824,0)))),"Yes","No"),"Page not found"))</f>
        <v>No</v>
      </c>
      <c r="M22" s="3" t="s">
        <v>5408</v>
      </c>
      <c r="N22" s="3"/>
      <c r="O22" s="19"/>
      <c r="P22" s="17"/>
      <c r="Q22" s="17"/>
    </row>
    <row r="23" customFormat="false" ht="15" hidden="false" customHeight="false" outlineLevel="0" collapsed="false">
      <c r="A23" s="15" t="s">
        <v>5389</v>
      </c>
      <c r="B23" s="15" t="s">
        <v>86</v>
      </c>
      <c r="C23" s="15" t="s">
        <v>356</v>
      </c>
      <c r="D23" s="15" t="s">
        <v>715</v>
      </c>
      <c r="E23" s="16" t="n">
        <v>1000</v>
      </c>
      <c r="F23" s="15" t="n">
        <v>35</v>
      </c>
      <c r="G23" s="15" t="s">
        <v>5177</v>
      </c>
      <c r="H23" s="15" t="s">
        <v>5285</v>
      </c>
      <c r="I23" s="15" t="n">
        <v>1</v>
      </c>
      <c r="J23" s="15" t="s">
        <v>5090</v>
      </c>
      <c r="K23" s="15" t="str">
        <f aca="false">IF(J23="","No","Yes")</f>
        <v>Yes</v>
      </c>
      <c r="L23" s="18" t="str">
        <f aca="false">IF(J23="","",IFERROR(IF(ISNUMBER(SEARCH(A23,INDEX(Pages!$J$2:$J$824,MATCH(J23,Pages!$B$2:$B$824,0)))),"Yes","No"),"Page not found"))</f>
        <v>No</v>
      </c>
      <c r="M23" s="3" t="s">
        <v>5390</v>
      </c>
      <c r="N23" s="3"/>
      <c r="O23" s="19"/>
      <c r="P23" s="17"/>
      <c r="Q23" s="17"/>
    </row>
    <row r="24" customFormat="false" ht="15" hidden="false" customHeight="false" outlineLevel="0" collapsed="false">
      <c r="A24" s="15" t="s">
        <v>5588</v>
      </c>
      <c r="B24" s="15" t="s">
        <v>82</v>
      </c>
      <c r="C24" s="15" t="s">
        <v>265</v>
      </c>
      <c r="D24" s="15" t="s">
        <v>729</v>
      </c>
      <c r="E24" s="16" t="n">
        <v>1000</v>
      </c>
      <c r="F24" s="15" t="n">
        <v>40</v>
      </c>
      <c r="G24" s="15" t="s">
        <v>5177</v>
      </c>
      <c r="H24" s="15" t="s">
        <v>5268</v>
      </c>
      <c r="I24" s="15" t="n">
        <v>4</v>
      </c>
      <c r="J24" s="15"/>
      <c r="K24" s="15" t="str">
        <f aca="false">IF(J24="","No","Yes")</f>
        <v>No</v>
      </c>
      <c r="L24" s="18" t="str">
        <f aca="false">IF(J24="","",IFERROR(IF(ISNUMBER(SEARCH(A24,INDEX(Pages!$J$2:$J$824,MATCH(J24,Pages!$B$2:$B$824,0)))),"Yes","No"),"Page not found"))</f>
        <v/>
      </c>
      <c r="M24" s="3" t="s">
        <v>5589</v>
      </c>
      <c r="N24" s="3" t="s">
        <v>5590</v>
      </c>
      <c r="O24" s="19"/>
      <c r="P24" s="17"/>
      <c r="Q24" s="17"/>
    </row>
    <row r="25" customFormat="false" ht="15" hidden="false" customHeight="false" outlineLevel="0" collapsed="false">
      <c r="A25" s="15" t="s">
        <v>789</v>
      </c>
      <c r="B25" s="15" t="s">
        <v>82</v>
      </c>
      <c r="C25" s="15" t="s">
        <v>265</v>
      </c>
      <c r="D25" s="15" t="s">
        <v>701</v>
      </c>
      <c r="E25" s="16" t="n">
        <v>990</v>
      </c>
      <c r="F25" s="15" t="n">
        <v>57</v>
      </c>
      <c r="G25" s="15" t="s">
        <v>5159</v>
      </c>
      <c r="H25" s="15" t="s">
        <v>5225</v>
      </c>
      <c r="I25" s="15" t="n">
        <v>2</v>
      </c>
      <c r="J25" s="15" t="s">
        <v>785</v>
      </c>
      <c r="K25" s="15" t="str">
        <f aca="false">IF(J25="","No","Yes")</f>
        <v>Yes</v>
      </c>
      <c r="L25" s="18" t="str">
        <f aca="false">IF(J25="","",IFERROR(IF(ISNUMBER(SEARCH(A25,INDEX(Pages!$J$2:$J$824,MATCH(J25,Pages!$B$2:$B$824,0)))),"Yes","No"),"Page not found"))</f>
        <v>No</v>
      </c>
      <c r="M25" s="3" t="s">
        <v>5192</v>
      </c>
      <c r="N25" s="3"/>
      <c r="O25" s="19"/>
      <c r="P25" s="17"/>
      <c r="Q25" s="17"/>
    </row>
    <row r="26" customFormat="false" ht="15" hidden="false" customHeight="false" outlineLevel="0" collapsed="false">
      <c r="A26" s="15" t="s">
        <v>1425</v>
      </c>
      <c r="B26" s="15" t="s">
        <v>74</v>
      </c>
      <c r="C26" s="15" t="s">
        <v>321</v>
      </c>
      <c r="D26" s="15" t="s">
        <v>715</v>
      </c>
      <c r="E26" s="16" t="n">
        <v>910</v>
      </c>
      <c r="F26" s="15" t="n">
        <v>56</v>
      </c>
      <c r="G26" s="15" t="s">
        <v>5159</v>
      </c>
      <c r="H26" s="15" t="s">
        <v>5440</v>
      </c>
      <c r="I26" s="15" t="n">
        <v>1</v>
      </c>
      <c r="J26" s="15" t="s">
        <v>1421</v>
      </c>
      <c r="K26" s="15" t="str">
        <f aca="false">IF(J26="","No","Yes")</f>
        <v>Yes</v>
      </c>
      <c r="L26" s="18" t="str">
        <f aca="false">IF(J26="","",IFERROR(IF(ISNUMBER(SEARCH(A26,INDEX(Pages!$J$2:$J$824,MATCH(J26,Pages!$B$2:$B$824,0)))),"Yes","No"),"Page not found"))</f>
        <v>No</v>
      </c>
      <c r="M26" s="3" t="s">
        <v>5224</v>
      </c>
      <c r="N26" s="3"/>
      <c r="O26" s="19"/>
      <c r="P26" s="17"/>
      <c r="Q26" s="17"/>
    </row>
    <row r="27" customFormat="false" ht="15" hidden="false" customHeight="false" outlineLevel="0" collapsed="false">
      <c r="A27" s="15" t="s">
        <v>1299</v>
      </c>
      <c r="B27" s="15" t="s">
        <v>84</v>
      </c>
      <c r="C27" s="15" t="s">
        <v>314</v>
      </c>
      <c r="D27" s="15" t="s">
        <v>657</v>
      </c>
      <c r="E27" s="16" t="n">
        <v>900</v>
      </c>
      <c r="F27" s="15" t="n">
        <v>57</v>
      </c>
      <c r="G27" s="15" t="s">
        <v>5159</v>
      </c>
      <c r="H27" s="15" t="s">
        <v>5321</v>
      </c>
      <c r="I27" s="15" t="n">
        <v>2</v>
      </c>
      <c r="J27" s="15" t="s">
        <v>1295</v>
      </c>
      <c r="K27" s="15" t="str">
        <f aca="false">IF(J27="","No","Yes")</f>
        <v>Yes</v>
      </c>
      <c r="L27" s="18" t="str">
        <f aca="false">IF(J27="","",IFERROR(IF(ISNUMBER(SEARCH(A27,INDEX(Pages!$J$2:$J$824,MATCH(J27,Pages!$B$2:$B$824,0)))),"Yes","No"),"Page not found"))</f>
        <v>No</v>
      </c>
      <c r="M27" s="3" t="s">
        <v>5192</v>
      </c>
      <c r="N27" s="3"/>
      <c r="O27" s="19"/>
      <c r="P27" s="17"/>
      <c r="Q27" s="17"/>
    </row>
    <row r="28" customFormat="false" ht="23.85" hidden="false" customHeight="false" outlineLevel="0" collapsed="false">
      <c r="A28" s="15" t="s">
        <v>5346</v>
      </c>
      <c r="B28" s="15" t="s">
        <v>82</v>
      </c>
      <c r="C28" s="15" t="s">
        <v>265</v>
      </c>
      <c r="D28" s="15" t="s">
        <v>715</v>
      </c>
      <c r="E28" s="16" t="n">
        <v>880</v>
      </c>
      <c r="F28" s="15" t="n">
        <v>40</v>
      </c>
      <c r="G28" s="15" t="s">
        <v>5159</v>
      </c>
      <c r="H28" s="15" t="s">
        <v>5339</v>
      </c>
      <c r="I28" s="15" t="n">
        <v>2</v>
      </c>
      <c r="J28" s="15" t="s">
        <v>463</v>
      </c>
      <c r="K28" s="15" t="str">
        <f aca="false">IF(J28="","No","Yes")</f>
        <v>Yes</v>
      </c>
      <c r="L28" s="18" t="str">
        <f aca="false">IF(J28="","",IFERROR(IF(ISNUMBER(SEARCH(A28,INDEX(Pages!$J$2:$J$824,MATCH(J28,Pages!$B$2:$B$824,0)))),"Yes","No"),"Page not found"))</f>
        <v>No</v>
      </c>
      <c r="M28" s="3" t="s">
        <v>5347</v>
      </c>
      <c r="N28" s="3" t="s">
        <v>5348</v>
      </c>
      <c r="O28" s="19"/>
      <c r="P28" s="17"/>
      <c r="Q28" s="17"/>
    </row>
    <row r="29" customFormat="false" ht="15" hidden="false" customHeight="false" outlineLevel="0" collapsed="false">
      <c r="A29" s="15" t="s">
        <v>5209</v>
      </c>
      <c r="B29" s="15" t="s">
        <v>82</v>
      </c>
      <c r="C29" s="15" t="s">
        <v>265</v>
      </c>
      <c r="D29" s="15" t="s">
        <v>715</v>
      </c>
      <c r="E29" s="16" t="n">
        <v>880</v>
      </c>
      <c r="F29" s="15" t="n">
        <v>45</v>
      </c>
      <c r="G29" s="15" t="s">
        <v>5169</v>
      </c>
      <c r="H29" s="15" t="s">
        <v>5206</v>
      </c>
      <c r="I29" s="15" t="n">
        <v>2</v>
      </c>
      <c r="J29" s="15" t="s">
        <v>5200</v>
      </c>
      <c r="K29" s="15" t="str">
        <f aca="false">IF(J29="","No","Yes")</f>
        <v>Yes</v>
      </c>
      <c r="L29" s="18" t="str">
        <f aca="false">IF(J29="","",IFERROR(IF(ISNUMBER(SEARCH(A29,INDEX(Pages!$J$2:$J$824,MATCH(J29,Pages!$B$2:$B$824,0)))),"Yes","No"),"Page not found"))</f>
        <v>No</v>
      </c>
      <c r="M29" s="3" t="s">
        <v>5210</v>
      </c>
      <c r="N29" s="3"/>
      <c r="O29" s="19"/>
      <c r="P29" s="17"/>
      <c r="Q29" s="17"/>
    </row>
    <row r="30" customFormat="false" ht="15" hidden="false" customHeight="false" outlineLevel="0" collapsed="false">
      <c r="A30" s="15" t="s">
        <v>771</v>
      </c>
      <c r="B30" s="15" t="s">
        <v>82</v>
      </c>
      <c r="C30" s="15" t="s">
        <v>265</v>
      </c>
      <c r="D30" s="15" t="s">
        <v>680</v>
      </c>
      <c r="E30" s="16" t="n">
        <v>810</v>
      </c>
      <c r="F30" s="15" t="n">
        <v>57</v>
      </c>
      <c r="G30" s="15" t="s">
        <v>5159</v>
      </c>
      <c r="H30" s="15" t="s">
        <v>5225</v>
      </c>
      <c r="I30" s="15" t="n">
        <v>2</v>
      </c>
      <c r="J30" s="15" t="s">
        <v>767</v>
      </c>
      <c r="K30" s="15" t="str">
        <f aca="false">IF(J30="","No","Yes")</f>
        <v>Yes</v>
      </c>
      <c r="L30" s="18" t="str">
        <f aca="false">IF(J30="","",IFERROR(IF(ISNUMBER(SEARCH(A30,INDEX(Pages!$J$2:$J$824,MATCH(J30,Pages!$B$2:$B$824,0)))),"Yes","No"),"Page not found"))</f>
        <v>No</v>
      </c>
      <c r="M30" s="3" t="s">
        <v>5192</v>
      </c>
      <c r="N30" s="3"/>
      <c r="O30" s="19"/>
      <c r="P30" s="17"/>
      <c r="Q30" s="17"/>
    </row>
    <row r="31" customFormat="false" ht="15" hidden="false" customHeight="false" outlineLevel="0" collapsed="false">
      <c r="A31" s="15" t="s">
        <v>879</v>
      </c>
      <c r="B31" s="15" t="s">
        <v>85</v>
      </c>
      <c r="C31" s="15" t="s">
        <v>272</v>
      </c>
      <c r="D31" s="15" t="s">
        <v>715</v>
      </c>
      <c r="E31" s="16" t="n">
        <v>730</v>
      </c>
      <c r="F31" s="15" t="n">
        <v>59</v>
      </c>
      <c r="G31" s="15" t="s">
        <v>5159</v>
      </c>
      <c r="H31" s="15" t="s">
        <v>5321</v>
      </c>
      <c r="I31" s="15" t="n">
        <v>3</v>
      </c>
      <c r="J31" s="15" t="s">
        <v>875</v>
      </c>
      <c r="K31" s="15" t="str">
        <f aca="false">IF(J31="","No","Yes")</f>
        <v>Yes</v>
      </c>
      <c r="L31" s="18" t="str">
        <f aca="false">IF(J31="","",IFERROR(IF(ISNUMBER(SEARCH(A31,INDEX(Pages!$J$2:$J$824,MATCH(J31,Pages!$B$2:$B$824,0)))),"Yes","No"),"Page not found"))</f>
        <v>No</v>
      </c>
      <c r="M31" s="3" t="s">
        <v>5226</v>
      </c>
      <c r="N31" s="3"/>
      <c r="O31" s="19"/>
      <c r="P31" s="17"/>
      <c r="Q31" s="17"/>
    </row>
    <row r="32" customFormat="false" ht="15" hidden="false" customHeight="false" outlineLevel="0" collapsed="false">
      <c r="A32" s="15" t="s">
        <v>5317</v>
      </c>
      <c r="B32" s="15" t="s">
        <v>82</v>
      </c>
      <c r="C32" s="15" t="s">
        <v>265</v>
      </c>
      <c r="D32" s="15" t="s">
        <v>657</v>
      </c>
      <c r="E32" s="16" t="n">
        <v>720</v>
      </c>
      <c r="F32" s="15" t="n">
        <v>30</v>
      </c>
      <c r="G32" s="15" t="s">
        <v>5177</v>
      </c>
      <c r="H32" s="15" t="s">
        <v>5268</v>
      </c>
      <c r="I32" s="15" t="n">
        <v>1</v>
      </c>
      <c r="J32" s="15" t="s">
        <v>4999</v>
      </c>
      <c r="K32" s="15" t="str">
        <f aca="false">IF(J32="","No","Yes")</f>
        <v>Yes</v>
      </c>
      <c r="L32" s="18" t="str">
        <f aca="false">IF(J32="","",IFERROR(IF(ISNUMBER(SEARCH(A32,INDEX(Pages!$J$2:$J$824,MATCH(J32,Pages!$B$2:$B$824,0)))),"Yes","No"),"Page not found"))</f>
        <v>No</v>
      </c>
      <c r="M32" s="3" t="s">
        <v>5318</v>
      </c>
      <c r="N32" s="3"/>
      <c r="O32" s="19"/>
      <c r="P32" s="17"/>
      <c r="Q32" s="17"/>
    </row>
    <row r="33" customFormat="false" ht="15" hidden="false" customHeight="false" outlineLevel="0" collapsed="false">
      <c r="A33" s="15" t="s">
        <v>765</v>
      </c>
      <c r="B33" s="15" t="s">
        <v>82</v>
      </c>
      <c r="C33" s="15" t="s">
        <v>265</v>
      </c>
      <c r="D33" s="15" t="s">
        <v>673</v>
      </c>
      <c r="E33" s="16" t="n">
        <v>660</v>
      </c>
      <c r="F33" s="15" t="n">
        <v>53</v>
      </c>
      <c r="G33" s="15" t="s">
        <v>5159</v>
      </c>
      <c r="H33" s="15" t="s">
        <v>5225</v>
      </c>
      <c r="I33" s="15" t="n">
        <v>4</v>
      </c>
      <c r="J33" s="15" t="s">
        <v>761</v>
      </c>
      <c r="K33" s="15" t="str">
        <f aca="false">IF(J33="","No","Yes")</f>
        <v>Yes</v>
      </c>
      <c r="L33" s="18" t="str">
        <f aca="false">IF(J33="","",IFERROR(IF(ISNUMBER(SEARCH(A33,INDEX(Pages!$J$2:$J$824,MATCH(J33,Pages!$B$2:$B$824,0)))),"Yes","No"),"Page not found"))</f>
        <v>No</v>
      </c>
      <c r="M33" s="3" t="s">
        <v>5376</v>
      </c>
      <c r="N33" s="3" t="s">
        <v>5457</v>
      </c>
      <c r="O33" s="19"/>
      <c r="P33" s="17"/>
      <c r="Q33" s="17"/>
    </row>
    <row r="34" customFormat="false" ht="15" hidden="false" customHeight="false" outlineLevel="0" collapsed="false">
      <c r="A34" s="15" t="s">
        <v>5409</v>
      </c>
      <c r="B34" s="15" t="s">
        <v>84</v>
      </c>
      <c r="C34" s="15" t="s">
        <v>314</v>
      </c>
      <c r="D34" s="15" t="s">
        <v>666</v>
      </c>
      <c r="E34" s="16" t="n">
        <v>590</v>
      </c>
      <c r="F34" s="15" t="n">
        <v>35</v>
      </c>
      <c r="G34" s="15" t="s">
        <v>5177</v>
      </c>
      <c r="H34" s="15" t="s">
        <v>5285</v>
      </c>
      <c r="I34" s="15" t="n">
        <v>2</v>
      </c>
      <c r="J34" s="15" t="s">
        <v>1301</v>
      </c>
      <c r="K34" s="15" t="str">
        <f aca="false">IF(J34="","No","Yes")</f>
        <v>Yes</v>
      </c>
      <c r="L34" s="18" t="str">
        <f aca="false">IF(J34="","",IFERROR(IF(ISNUMBER(SEARCH(A34,INDEX(Pages!$J$2:$J$824,MATCH(J34,Pages!$B$2:$B$824,0)))),"Yes","No"),"Page not found"))</f>
        <v>No</v>
      </c>
      <c r="M34" s="3" t="s">
        <v>5410</v>
      </c>
      <c r="N34" s="3"/>
      <c r="O34" s="19"/>
      <c r="P34" s="17"/>
      <c r="Q34" s="17"/>
    </row>
    <row r="35" customFormat="false" ht="15" hidden="false" customHeight="false" outlineLevel="0" collapsed="false">
      <c r="A35" s="15" t="s">
        <v>5322</v>
      </c>
      <c r="B35" s="15" t="s">
        <v>84</v>
      </c>
      <c r="C35" s="15" t="s">
        <v>314</v>
      </c>
      <c r="D35" s="15" t="s">
        <v>715</v>
      </c>
      <c r="E35" s="16" t="n">
        <v>590</v>
      </c>
      <c r="F35" s="15" t="n">
        <v>30</v>
      </c>
      <c r="G35" s="15" t="s">
        <v>5177</v>
      </c>
      <c r="H35" s="15" t="s">
        <v>5285</v>
      </c>
      <c r="I35" s="15" t="n">
        <v>2</v>
      </c>
      <c r="J35" s="15" t="s">
        <v>1343</v>
      </c>
      <c r="K35" s="15" t="str">
        <f aca="false">IF(J35="","No","Yes")</f>
        <v>Yes</v>
      </c>
      <c r="L35" s="18" t="str">
        <f aca="false">IF(J35="","",IFERROR(IF(ISNUMBER(SEARCH(A35,INDEX(Pages!$J$2:$J$824,MATCH(J35,Pages!$B$2:$B$824,0)))),"Yes","No"),"Page not found"))</f>
        <v>No</v>
      </c>
      <c r="M35" s="3" t="s">
        <v>5323</v>
      </c>
      <c r="N35" s="3"/>
      <c r="O35" s="19"/>
      <c r="P35" s="17"/>
      <c r="Q35" s="17"/>
    </row>
    <row r="36" customFormat="false" ht="15" hidden="false" customHeight="false" outlineLevel="0" collapsed="false">
      <c r="A36" s="15" t="s">
        <v>819</v>
      </c>
      <c r="B36" s="15" t="s">
        <v>82</v>
      </c>
      <c r="C36" s="15" t="s">
        <v>265</v>
      </c>
      <c r="D36" s="15" t="s">
        <v>736</v>
      </c>
      <c r="E36" s="16" t="n">
        <v>570</v>
      </c>
      <c r="F36" s="15" t="n">
        <v>53</v>
      </c>
      <c r="G36" s="15" t="s">
        <v>5159</v>
      </c>
      <c r="H36" s="15" t="s">
        <v>5225</v>
      </c>
      <c r="I36" s="15" t="n">
        <v>4</v>
      </c>
      <c r="J36" s="15" t="s">
        <v>815</v>
      </c>
      <c r="K36" s="15" t="str">
        <f aca="false">IF(J36="","No","Yes")</f>
        <v>Yes</v>
      </c>
      <c r="L36" s="18" t="str">
        <f aca="false">IF(J36="","",IFERROR(IF(ISNUMBER(SEARCH(A36,INDEX(Pages!$J$2:$J$824,MATCH(J36,Pages!$B$2:$B$824,0)))),"Yes","No"),"Page not found"))</f>
        <v>No</v>
      </c>
      <c r="M36" s="3" t="s">
        <v>5376</v>
      </c>
      <c r="N36" s="3" t="s">
        <v>5479</v>
      </c>
      <c r="O36" s="19"/>
      <c r="P36" s="17"/>
      <c r="Q36" s="17"/>
    </row>
    <row r="37" customFormat="false" ht="15" hidden="false" customHeight="false" outlineLevel="0" collapsed="false">
      <c r="A37" s="15" t="s">
        <v>1773</v>
      </c>
      <c r="B37" s="15" t="s">
        <v>86</v>
      </c>
      <c r="C37" s="15" t="s">
        <v>356</v>
      </c>
      <c r="D37" s="15" t="s">
        <v>666</v>
      </c>
      <c r="E37" s="16" t="n">
        <v>570</v>
      </c>
      <c r="F37" s="15" t="n">
        <v>46</v>
      </c>
      <c r="G37" s="15" t="s">
        <v>5159</v>
      </c>
      <c r="H37" s="15" t="s">
        <v>5321</v>
      </c>
      <c r="I37" s="15" t="n">
        <v>3</v>
      </c>
      <c r="J37" s="15" t="s">
        <v>1769</v>
      </c>
      <c r="K37" s="15" t="str">
        <f aca="false">IF(J37="","No","Yes")</f>
        <v>Yes</v>
      </c>
      <c r="L37" s="18" t="str">
        <f aca="false">IF(J37="","",IFERROR(IF(ISNUMBER(SEARCH(A37,INDEX(Pages!$J$2:$J$824,MATCH(J37,Pages!$B$2:$B$824,0)))),"Yes","No"),"Page not found"))</f>
        <v>No</v>
      </c>
      <c r="M37" s="3" t="s">
        <v>5408</v>
      </c>
      <c r="N37" s="3"/>
      <c r="O37" s="19"/>
      <c r="P37" s="17"/>
      <c r="Q37" s="17"/>
    </row>
    <row r="38" customFormat="false" ht="15" hidden="false" customHeight="false" outlineLevel="0" collapsed="false">
      <c r="A38" s="15" t="s">
        <v>777</v>
      </c>
      <c r="B38" s="15" t="s">
        <v>82</v>
      </c>
      <c r="C38" s="15" t="s">
        <v>265</v>
      </c>
      <c r="D38" s="15" t="s">
        <v>687</v>
      </c>
      <c r="E38" s="16" t="n">
        <v>560</v>
      </c>
      <c r="F38" s="15" t="n">
        <v>53</v>
      </c>
      <c r="G38" s="15" t="s">
        <v>5159</v>
      </c>
      <c r="H38" s="15" t="s">
        <v>5225</v>
      </c>
      <c r="I38" s="15" t="n">
        <v>2</v>
      </c>
      <c r="J38" s="15" t="s">
        <v>773</v>
      </c>
      <c r="K38" s="15" t="str">
        <f aca="false">IF(J38="","No","Yes")</f>
        <v>Yes</v>
      </c>
      <c r="L38" s="18" t="str">
        <f aca="false">IF(J38="","",IFERROR(IF(ISNUMBER(SEARCH(A38,INDEX(Pages!$J$2:$J$824,MATCH(J38,Pages!$B$2:$B$824,0)))),"Yes","No"),"Page not found"))</f>
        <v>No</v>
      </c>
      <c r="M38" s="3" t="s">
        <v>5376</v>
      </c>
      <c r="N38" s="3"/>
      <c r="O38" s="19"/>
      <c r="P38" s="17"/>
      <c r="Q38" s="17"/>
    </row>
    <row r="39" customFormat="false" ht="15" hidden="false" customHeight="false" outlineLevel="0" collapsed="false">
      <c r="A39" s="15" t="s">
        <v>1737</v>
      </c>
      <c r="B39" s="15" t="s">
        <v>81</v>
      </c>
      <c r="C39" s="15" t="s">
        <v>349</v>
      </c>
      <c r="D39" s="15" t="s">
        <v>715</v>
      </c>
      <c r="E39" s="16" t="n">
        <v>550</v>
      </c>
      <c r="F39" s="15" t="n">
        <v>42</v>
      </c>
      <c r="G39" s="15" t="s">
        <v>5159</v>
      </c>
      <c r="H39" s="15" t="s">
        <v>5235</v>
      </c>
      <c r="I39" s="15" t="n">
        <v>2</v>
      </c>
      <c r="J39" s="15" t="s">
        <v>1733</v>
      </c>
      <c r="K39" s="15" t="str">
        <f aca="false">IF(J39="","No","Yes")</f>
        <v>Yes</v>
      </c>
      <c r="L39" s="18" t="str">
        <f aca="false">IF(J39="","",IFERROR(IF(ISNUMBER(SEARCH(A39,INDEX(Pages!$J$2:$J$824,MATCH(J39,Pages!$B$2:$B$824,0)))),"Yes","No"),"Page not found"))</f>
        <v>No</v>
      </c>
      <c r="M39" s="3" t="s">
        <v>5426</v>
      </c>
      <c r="N39" s="3" t="s">
        <v>5482</v>
      </c>
      <c r="O39" s="19"/>
      <c r="P39" s="17"/>
      <c r="Q39" s="17"/>
    </row>
    <row r="40" customFormat="false" ht="15" hidden="false" customHeight="false" outlineLevel="0" collapsed="false">
      <c r="A40" s="15" t="s">
        <v>1359</v>
      </c>
      <c r="B40" s="15" t="s">
        <v>84</v>
      </c>
      <c r="C40" s="15" t="s">
        <v>314</v>
      </c>
      <c r="D40" s="15" t="s">
        <v>729</v>
      </c>
      <c r="E40" s="16" t="n">
        <v>520</v>
      </c>
      <c r="F40" s="15" t="n">
        <v>53</v>
      </c>
      <c r="G40" s="15" t="s">
        <v>5159</v>
      </c>
      <c r="H40" s="15" t="s">
        <v>5321</v>
      </c>
      <c r="I40" s="15" t="n">
        <v>3</v>
      </c>
      <c r="J40" s="15" t="s">
        <v>1355</v>
      </c>
      <c r="K40" s="15" t="str">
        <f aca="false">IF(J40="","No","Yes")</f>
        <v>Yes</v>
      </c>
      <c r="L40" s="18" t="str">
        <f aca="false">IF(J40="","",IFERROR(IF(ISNUMBER(SEARCH(A40,INDEX(Pages!$J$2:$J$824,MATCH(J40,Pages!$B$2:$B$824,0)))),"Yes","No"),"Page not found"))</f>
        <v>No</v>
      </c>
      <c r="M40" s="3" t="s">
        <v>5408</v>
      </c>
      <c r="N40" s="3" t="s">
        <v>5378</v>
      </c>
      <c r="O40" s="19"/>
      <c r="P40" s="17"/>
      <c r="Q40" s="17"/>
    </row>
    <row r="41" customFormat="false" ht="15" hidden="false" customHeight="false" outlineLevel="0" collapsed="false">
      <c r="A41" s="15" t="s">
        <v>1767</v>
      </c>
      <c r="B41" s="15" t="s">
        <v>86</v>
      </c>
      <c r="C41" s="15" t="s">
        <v>356</v>
      </c>
      <c r="D41" s="15" t="s">
        <v>657</v>
      </c>
      <c r="E41" s="16" t="n">
        <v>500</v>
      </c>
      <c r="F41" s="15" t="n">
        <v>50</v>
      </c>
      <c r="G41" s="15" t="s">
        <v>5159</v>
      </c>
      <c r="H41" s="15" t="s">
        <v>5321</v>
      </c>
      <c r="I41" s="15" t="n">
        <v>4</v>
      </c>
      <c r="J41" s="15" t="s">
        <v>1763</v>
      </c>
      <c r="K41" s="15" t="str">
        <f aca="false">IF(J41="","No","Yes")</f>
        <v>Yes</v>
      </c>
      <c r="L41" s="18" t="str">
        <f aca="false">IF(J41="","",IFERROR(IF(ISNUMBER(SEARCH(A41,INDEX(Pages!$J$2:$J$824,MATCH(J41,Pages!$B$2:$B$824,0)))),"Yes","No"),"Page not found"))</f>
        <v>No</v>
      </c>
      <c r="M41" s="3" t="s">
        <v>5192</v>
      </c>
      <c r="N41" s="3"/>
      <c r="O41" s="19"/>
      <c r="P41" s="17"/>
      <c r="Q41" s="17"/>
    </row>
    <row r="42" customFormat="false" ht="15" hidden="false" customHeight="false" outlineLevel="0" collapsed="false">
      <c r="A42" s="15" t="s">
        <v>5402</v>
      </c>
      <c r="B42" s="15" t="s">
        <v>82</v>
      </c>
      <c r="C42" s="15" t="s">
        <v>265</v>
      </c>
      <c r="D42" s="15" t="s">
        <v>666</v>
      </c>
      <c r="E42" s="16" t="n">
        <v>480</v>
      </c>
      <c r="F42" s="15" t="n">
        <v>30</v>
      </c>
      <c r="G42" s="15" t="s">
        <v>5177</v>
      </c>
      <c r="H42" s="15" t="s">
        <v>5268</v>
      </c>
      <c r="I42" s="15" t="n">
        <v>3</v>
      </c>
      <c r="J42" s="15" t="s">
        <v>5049</v>
      </c>
      <c r="K42" s="15" t="str">
        <f aca="false">IF(J42="","No","Yes")</f>
        <v>Yes</v>
      </c>
      <c r="L42" s="18" t="str">
        <f aca="false">IF(J42="","",IFERROR(IF(ISNUMBER(SEARCH(A42,INDEX(Pages!$J$2:$J$824,MATCH(J42,Pages!$B$2:$B$824,0)))),"Yes","No"),"Page not found"))</f>
        <v>No</v>
      </c>
      <c r="M42" s="3" t="s">
        <v>5403</v>
      </c>
      <c r="N42" s="3"/>
      <c r="O42" s="19"/>
      <c r="P42" s="17"/>
      <c r="Q42" s="17"/>
    </row>
    <row r="43" customFormat="false" ht="15" hidden="false" customHeight="false" outlineLevel="0" collapsed="false">
      <c r="A43" s="15" t="s">
        <v>5273</v>
      </c>
      <c r="B43" s="15" t="s">
        <v>82</v>
      </c>
      <c r="C43" s="15" t="s">
        <v>265</v>
      </c>
      <c r="D43" s="15" t="s">
        <v>715</v>
      </c>
      <c r="E43" s="16" t="n">
        <v>480</v>
      </c>
      <c r="F43" s="15" t="n">
        <v>25</v>
      </c>
      <c r="G43" s="15" t="s">
        <v>5177</v>
      </c>
      <c r="H43" s="15" t="s">
        <v>5268</v>
      </c>
      <c r="I43" s="15" t="n">
        <v>1</v>
      </c>
      <c r="J43" s="15" t="s">
        <v>5066</v>
      </c>
      <c r="K43" s="15" t="str">
        <f aca="false">IF(J43="","No","Yes")</f>
        <v>Yes</v>
      </c>
      <c r="L43" s="18" t="str">
        <f aca="false">IF(J43="","",IFERROR(IF(ISNUMBER(SEARCH(A43,INDEX(Pages!$J$2:$J$824,MATCH(J43,Pages!$B$2:$B$824,0)))),"Yes","No"),"Page not found"))</f>
        <v>No</v>
      </c>
      <c r="M43" s="3" t="s">
        <v>5274</v>
      </c>
      <c r="N43" s="3" t="s">
        <v>5275</v>
      </c>
      <c r="O43" s="19"/>
      <c r="P43" s="17"/>
      <c r="Q43" s="17"/>
    </row>
    <row r="44" customFormat="false" ht="15" hidden="false" customHeight="false" outlineLevel="0" collapsed="false">
      <c r="A44" s="15" t="s">
        <v>5017</v>
      </c>
      <c r="B44" s="15" t="s">
        <v>85</v>
      </c>
      <c r="C44" s="15" t="s">
        <v>272</v>
      </c>
      <c r="D44" s="15" t="s">
        <v>666</v>
      </c>
      <c r="E44" s="16" t="n">
        <v>480</v>
      </c>
      <c r="F44" s="15" t="n">
        <v>30</v>
      </c>
      <c r="G44" s="15" t="s">
        <v>5177</v>
      </c>
      <c r="H44" s="15" t="s">
        <v>5285</v>
      </c>
      <c r="I44" s="15" t="n">
        <v>2</v>
      </c>
      <c r="J44" s="15" t="s">
        <v>5013</v>
      </c>
      <c r="K44" s="15" t="str">
        <f aca="false">IF(J44="","No","Yes")</f>
        <v>Yes</v>
      </c>
      <c r="L44" s="18" t="str">
        <f aca="false">IF(J44="","",IFERROR(IF(ISNUMBER(SEARCH(A44,INDEX(Pages!$J$2:$J$824,MATCH(J44,Pages!$B$2:$B$824,0)))),"Yes","No"),"Page not found"))</f>
        <v>No</v>
      </c>
      <c r="M44" s="3" t="s">
        <v>5446</v>
      </c>
      <c r="N44" s="3" t="s">
        <v>5447</v>
      </c>
      <c r="O44" s="19"/>
      <c r="P44" s="17"/>
      <c r="Q44" s="17"/>
    </row>
    <row r="45" customFormat="false" ht="15" hidden="false" customHeight="false" outlineLevel="0" collapsed="false">
      <c r="A45" s="15" t="s">
        <v>1227</v>
      </c>
      <c r="B45" s="15" t="s">
        <v>78</v>
      </c>
      <c r="C45" s="15" t="s">
        <v>307</v>
      </c>
      <c r="D45" s="15" t="s">
        <v>666</v>
      </c>
      <c r="E45" s="16" t="n">
        <v>470</v>
      </c>
      <c r="F45" s="15" t="n">
        <v>53</v>
      </c>
      <c r="G45" s="15" t="s">
        <v>5159</v>
      </c>
      <c r="H45" s="15" t="s">
        <v>5418</v>
      </c>
      <c r="I45" s="15" t="n">
        <v>2</v>
      </c>
      <c r="J45" s="15" t="s">
        <v>1223</v>
      </c>
      <c r="K45" s="15" t="str">
        <f aca="false">IF(J45="","No","Yes")</f>
        <v>Yes</v>
      </c>
      <c r="L45" s="18" t="str">
        <f aca="false">IF(J45="","",IFERROR(IF(ISNUMBER(SEARCH(A45,INDEX(Pages!$J$2:$J$824,MATCH(J45,Pages!$B$2:$B$824,0)))),"Yes","No"),"Page not found"))</f>
        <v>No</v>
      </c>
      <c r="M45" s="3" t="s">
        <v>5224</v>
      </c>
      <c r="N45" s="3"/>
      <c r="O45" s="19"/>
      <c r="P45" s="17"/>
      <c r="Q45" s="17"/>
    </row>
    <row r="46" customFormat="false" ht="15" hidden="false" customHeight="false" outlineLevel="0" collapsed="false">
      <c r="A46" s="15" t="s">
        <v>670</v>
      </c>
      <c r="B46" s="15" t="s">
        <v>89</v>
      </c>
      <c r="C46" s="15" t="s">
        <v>258</v>
      </c>
      <c r="D46" s="15" t="s">
        <v>666</v>
      </c>
      <c r="E46" s="16" t="n">
        <v>430</v>
      </c>
      <c r="F46" s="15" t="n">
        <v>44</v>
      </c>
      <c r="G46" s="15" t="s">
        <v>5159</v>
      </c>
      <c r="H46" s="15" t="s">
        <v>5425</v>
      </c>
      <c r="I46" s="15" t="n">
        <v>1</v>
      </c>
      <c r="J46" s="15" t="s">
        <v>665</v>
      </c>
      <c r="K46" s="15" t="str">
        <f aca="false">IF(J46="","No","Yes")</f>
        <v>Yes</v>
      </c>
      <c r="L46" s="18" t="str">
        <f aca="false">IF(J46="","",IFERROR(IF(ISNUMBER(SEARCH(A46,INDEX(Pages!$J$2:$J$824,MATCH(J46,Pages!$B$2:$B$824,0)))),"Yes","No"),"Page not found"))</f>
        <v>No</v>
      </c>
      <c r="M46" s="3" t="s">
        <v>5426</v>
      </c>
      <c r="N46" s="3"/>
      <c r="O46" s="19"/>
      <c r="P46" s="17"/>
      <c r="Q46" s="17"/>
    </row>
    <row r="47" customFormat="false" ht="15" hidden="false" customHeight="false" outlineLevel="0" collapsed="false">
      <c r="A47" s="15" t="s">
        <v>1221</v>
      </c>
      <c r="B47" s="15" t="s">
        <v>78</v>
      </c>
      <c r="C47" s="15" t="s">
        <v>307</v>
      </c>
      <c r="D47" s="15" t="s">
        <v>657</v>
      </c>
      <c r="E47" s="16" t="n">
        <v>410</v>
      </c>
      <c r="F47" s="15" t="n">
        <v>53</v>
      </c>
      <c r="G47" s="15" t="s">
        <v>5159</v>
      </c>
      <c r="H47" s="15" t="s">
        <v>5418</v>
      </c>
      <c r="I47" s="15" t="n">
        <v>2</v>
      </c>
      <c r="J47" s="15" t="s">
        <v>1217</v>
      </c>
      <c r="K47" s="15" t="str">
        <f aca="false">IF(J47="","No","Yes")</f>
        <v>Yes</v>
      </c>
      <c r="L47" s="18" t="str">
        <f aca="false">IF(J47="","",IFERROR(IF(ISNUMBER(SEARCH(A47,INDEX(Pages!$J$2:$J$824,MATCH(J47,Pages!$B$2:$B$824,0)))),"Yes","No"),"Page not found"))</f>
        <v>No</v>
      </c>
      <c r="M47" s="3" t="s">
        <v>5224</v>
      </c>
      <c r="N47" s="3"/>
      <c r="O47" s="19"/>
      <c r="P47" s="17"/>
      <c r="Q47" s="17"/>
    </row>
    <row r="48" customFormat="false" ht="15" hidden="false" customHeight="false" outlineLevel="0" collapsed="false">
      <c r="A48" s="15" t="s">
        <v>5211</v>
      </c>
      <c r="B48" s="15" t="s">
        <v>82</v>
      </c>
      <c r="C48" s="15" t="s">
        <v>265</v>
      </c>
      <c r="D48" s="15" t="s">
        <v>657</v>
      </c>
      <c r="E48" s="16" t="n">
        <v>390</v>
      </c>
      <c r="F48" s="15" t="n">
        <v>35</v>
      </c>
      <c r="G48" s="15" t="s">
        <v>5169</v>
      </c>
      <c r="H48" s="15" t="s">
        <v>5206</v>
      </c>
      <c r="I48" s="15" t="n">
        <v>2</v>
      </c>
      <c r="J48" s="15" t="s">
        <v>5200</v>
      </c>
      <c r="K48" s="15" t="str">
        <f aca="false">IF(J48="","No","Yes")</f>
        <v>Yes</v>
      </c>
      <c r="L48" s="18" t="str">
        <f aca="false">IF(J48="","",IFERROR(IF(ISNUMBER(SEARCH(A48,INDEX(Pages!$J$2:$J$824,MATCH(J48,Pages!$B$2:$B$824,0)))),"Yes","No"),"Page not found"))</f>
        <v>No</v>
      </c>
      <c r="M48" s="3" t="s">
        <v>5212</v>
      </c>
      <c r="N48" s="3"/>
      <c r="O48" s="19"/>
      <c r="P48" s="17"/>
      <c r="Q48" s="17"/>
    </row>
    <row r="49" customFormat="false" ht="15" hidden="false" customHeight="false" outlineLevel="0" collapsed="false">
      <c r="A49" s="15" t="s">
        <v>661</v>
      </c>
      <c r="B49" s="15" t="s">
        <v>89</v>
      </c>
      <c r="C49" s="15" t="s">
        <v>258</v>
      </c>
      <c r="D49" s="15" t="s">
        <v>657</v>
      </c>
      <c r="E49" s="16" t="n">
        <v>370</v>
      </c>
      <c r="F49" s="15" t="n">
        <v>44</v>
      </c>
      <c r="G49" s="15" t="s">
        <v>5159</v>
      </c>
      <c r="H49" s="15" t="s">
        <v>5425</v>
      </c>
      <c r="I49" s="15" t="n">
        <v>1</v>
      </c>
      <c r="J49" s="15" t="s">
        <v>655</v>
      </c>
      <c r="K49" s="15" t="str">
        <f aca="false">IF(J49="","No","Yes")</f>
        <v>Yes</v>
      </c>
      <c r="L49" s="18" t="str">
        <f aca="false">IF(J49="","",IFERROR(IF(ISNUMBER(SEARCH(A49,INDEX(Pages!$J$2:$J$824,MATCH(J49,Pages!$B$2:$B$824,0)))),"Yes","No"),"Page not found"))</f>
        <v>No</v>
      </c>
      <c r="M49" s="3" t="s">
        <v>5426</v>
      </c>
      <c r="N49" s="3"/>
      <c r="O49" s="19"/>
      <c r="P49" s="17"/>
      <c r="Q49" s="17"/>
    </row>
    <row r="50" customFormat="false" ht="15" hidden="false" customHeight="false" outlineLevel="0" collapsed="false">
      <c r="A50" s="15" t="s">
        <v>1311</v>
      </c>
      <c r="B50" s="15" t="s">
        <v>84</v>
      </c>
      <c r="C50" s="15" t="s">
        <v>314</v>
      </c>
      <c r="D50" s="15" t="s">
        <v>673</v>
      </c>
      <c r="E50" s="16" t="n">
        <v>320</v>
      </c>
      <c r="F50" s="15" t="n">
        <v>39</v>
      </c>
      <c r="G50" s="15" t="s">
        <v>5159</v>
      </c>
      <c r="H50" s="15" t="s">
        <v>5321</v>
      </c>
      <c r="I50" s="15" t="n">
        <v>2</v>
      </c>
      <c r="J50" s="15" t="s">
        <v>1307</v>
      </c>
      <c r="K50" s="15" t="str">
        <f aca="false">IF(J50="","No","Yes")</f>
        <v>Yes</v>
      </c>
      <c r="L50" s="18" t="str">
        <f aca="false">IF(J50="","",IFERROR(IF(ISNUMBER(SEARCH(A50,INDEX(Pages!$J$2:$J$824,MATCH(J50,Pages!$B$2:$B$824,0)))),"Yes","No"),"Page not found"))</f>
        <v>No</v>
      </c>
      <c r="M50" s="3" t="s">
        <v>5426</v>
      </c>
      <c r="N50" s="3"/>
      <c r="O50" s="19"/>
      <c r="P50" s="17"/>
      <c r="Q50" s="17"/>
    </row>
    <row r="51" customFormat="false" ht="15" hidden="false" customHeight="false" outlineLevel="0" collapsed="false">
      <c r="A51" s="15" t="s">
        <v>1383</v>
      </c>
      <c r="B51" s="15" t="s">
        <v>74</v>
      </c>
      <c r="C51" s="15" t="s">
        <v>321</v>
      </c>
      <c r="D51" s="15" t="s">
        <v>666</v>
      </c>
      <c r="E51" s="16" t="n">
        <v>320</v>
      </c>
      <c r="F51" s="15" t="n">
        <v>48</v>
      </c>
      <c r="G51" s="15" t="s">
        <v>5159</v>
      </c>
      <c r="H51" s="15" t="s">
        <v>5440</v>
      </c>
      <c r="I51" s="15" t="n">
        <v>1</v>
      </c>
      <c r="J51" s="15" t="s">
        <v>1379</v>
      </c>
      <c r="K51" s="15" t="str">
        <f aca="false">IF(J51="","No","Yes")</f>
        <v>Yes</v>
      </c>
      <c r="L51" s="18" t="str">
        <f aca="false">IF(J51="","",IFERROR(IF(ISNUMBER(SEARCH(A51,INDEX(Pages!$J$2:$J$824,MATCH(J51,Pages!$B$2:$B$824,0)))),"Yes","No"),"Page not found"))</f>
        <v>No</v>
      </c>
      <c r="M51" s="3" t="s">
        <v>5224</v>
      </c>
      <c r="N51" s="3"/>
      <c r="O51" s="19"/>
      <c r="P51" s="17"/>
      <c r="Q51" s="17"/>
    </row>
    <row r="52" customFormat="false" ht="15" hidden="false" customHeight="false" outlineLevel="0" collapsed="false">
      <c r="A52" s="15" t="s">
        <v>1827</v>
      </c>
      <c r="B52" s="15" t="s">
        <v>86</v>
      </c>
      <c r="C52" s="15" t="s">
        <v>356</v>
      </c>
      <c r="D52" s="15" t="s">
        <v>729</v>
      </c>
      <c r="E52" s="16" t="n">
        <v>290</v>
      </c>
      <c r="F52" s="15" t="n">
        <v>46</v>
      </c>
      <c r="G52" s="15" t="s">
        <v>5159</v>
      </c>
      <c r="H52" s="15" t="s">
        <v>5321</v>
      </c>
      <c r="I52" s="15" t="n">
        <v>5</v>
      </c>
      <c r="J52" s="15" t="s">
        <v>1823</v>
      </c>
      <c r="K52" s="15" t="str">
        <f aca="false">IF(J52="","No","Yes")</f>
        <v>Yes</v>
      </c>
      <c r="L52" s="18" t="str">
        <f aca="false">IF(J52="","",IFERROR(IF(ISNUMBER(SEARCH(A52,INDEX(Pages!$J$2:$J$824,MATCH(J52,Pages!$B$2:$B$824,0)))),"Yes","No"),"Page not found"))</f>
        <v>No</v>
      </c>
      <c r="M52" s="3" t="s">
        <v>5408</v>
      </c>
      <c r="N52" s="3" t="s">
        <v>5378</v>
      </c>
      <c r="O52" s="19"/>
      <c r="P52" s="17"/>
      <c r="Q52" s="17"/>
    </row>
    <row r="53" customFormat="false" ht="15" hidden="false" customHeight="false" outlineLevel="0" collapsed="false">
      <c r="A53" s="15" t="s">
        <v>1377</v>
      </c>
      <c r="B53" s="15" t="s">
        <v>74</v>
      </c>
      <c r="C53" s="15" t="s">
        <v>321</v>
      </c>
      <c r="D53" s="15" t="s">
        <v>657</v>
      </c>
      <c r="E53" s="16" t="n">
        <v>280</v>
      </c>
      <c r="F53" s="15" t="n">
        <v>48</v>
      </c>
      <c r="G53" s="15" t="s">
        <v>5159</v>
      </c>
      <c r="H53" s="15" t="s">
        <v>5440</v>
      </c>
      <c r="I53" s="15" t="n">
        <v>1</v>
      </c>
      <c r="J53" s="15" t="s">
        <v>1373</v>
      </c>
      <c r="K53" s="15" t="str">
        <f aca="false">IF(J53="","No","Yes")</f>
        <v>Yes</v>
      </c>
      <c r="L53" s="18" t="str">
        <f aca="false">IF(J53="","",IFERROR(IF(ISNUMBER(SEARCH(A53,INDEX(Pages!$J$2:$J$824,MATCH(J53,Pages!$B$2:$B$824,0)))),"Yes","No"),"Page not found"))</f>
        <v>No</v>
      </c>
      <c r="M53" s="3" t="s">
        <v>5224</v>
      </c>
      <c r="N53" s="3"/>
      <c r="O53" s="19"/>
      <c r="P53" s="17"/>
      <c r="Q53" s="17"/>
    </row>
    <row r="54" customFormat="false" ht="15" hidden="false" customHeight="false" outlineLevel="0" collapsed="false">
      <c r="A54" s="15" t="s">
        <v>1113</v>
      </c>
      <c r="B54" s="15" t="s">
        <v>77</v>
      </c>
      <c r="C54" s="15" t="s">
        <v>293</v>
      </c>
      <c r="D54" s="15" t="s">
        <v>715</v>
      </c>
      <c r="E54" s="16" t="n">
        <v>270</v>
      </c>
      <c r="F54" s="15" t="n">
        <v>40</v>
      </c>
      <c r="G54" s="15" t="s">
        <v>5159</v>
      </c>
      <c r="H54" s="15" t="s">
        <v>5254</v>
      </c>
      <c r="I54" s="15" t="n">
        <v>1</v>
      </c>
      <c r="J54" s="15" t="s">
        <v>1109</v>
      </c>
      <c r="K54" s="15" t="str">
        <f aca="false">IF(J54="","No","Yes")</f>
        <v>Yes</v>
      </c>
      <c r="L54" s="18" t="str">
        <f aca="false">IF(J54="","",IFERROR(IF(ISNUMBER(SEARCH(A54,INDEX(Pages!$J$2:$J$824,MATCH(J54,Pages!$B$2:$B$824,0)))),"Yes","No"),"Page not found"))</f>
        <v>No</v>
      </c>
      <c r="M54" s="3" t="s">
        <v>5426</v>
      </c>
      <c r="N54" s="3"/>
      <c r="O54" s="19"/>
      <c r="P54" s="17"/>
      <c r="Q54" s="17"/>
    </row>
    <row r="55" customFormat="false" ht="15" hidden="false" customHeight="false" outlineLevel="0" collapsed="false">
      <c r="A55" s="15" t="s">
        <v>1365</v>
      </c>
      <c r="B55" s="15" t="s">
        <v>84</v>
      </c>
      <c r="C55" s="15" t="s">
        <v>314</v>
      </c>
      <c r="D55" s="15" t="s">
        <v>736</v>
      </c>
      <c r="E55" s="16" t="n">
        <v>270</v>
      </c>
      <c r="F55" s="15" t="n">
        <v>39</v>
      </c>
      <c r="G55" s="15" t="s">
        <v>5159</v>
      </c>
      <c r="H55" s="15" t="s">
        <v>5321</v>
      </c>
      <c r="I55" s="15" t="n">
        <v>2</v>
      </c>
      <c r="J55" s="15" t="s">
        <v>1361</v>
      </c>
      <c r="K55" s="15" t="str">
        <f aca="false">IF(J55="","No","Yes")</f>
        <v>Yes</v>
      </c>
      <c r="L55" s="18" t="str">
        <f aca="false">IF(J55="","",IFERROR(IF(ISNUMBER(SEARCH(A55,INDEX(Pages!$J$2:$J$824,MATCH(J55,Pages!$B$2:$B$824,0)))),"Yes","No"),"Page not found"))</f>
        <v>No</v>
      </c>
      <c r="M55" s="3" t="s">
        <v>5426</v>
      </c>
      <c r="N55" s="3"/>
      <c r="O55" s="19"/>
      <c r="P55" s="17"/>
      <c r="Q55" s="17"/>
    </row>
    <row r="56" customFormat="false" ht="15" hidden="false" customHeight="false" outlineLevel="0" collapsed="false">
      <c r="A56" s="15" t="s">
        <v>837</v>
      </c>
      <c r="B56" s="15" t="s">
        <v>85</v>
      </c>
      <c r="C56" s="15" t="s">
        <v>272</v>
      </c>
      <c r="D56" s="15" t="s">
        <v>666</v>
      </c>
      <c r="E56" s="16" t="n">
        <v>260</v>
      </c>
      <c r="F56" s="15" t="n">
        <v>43</v>
      </c>
      <c r="G56" s="15" t="s">
        <v>5159</v>
      </c>
      <c r="H56" s="15" t="s">
        <v>5321</v>
      </c>
      <c r="I56" s="15" t="n">
        <v>3</v>
      </c>
      <c r="J56" s="15" t="s">
        <v>833</v>
      </c>
      <c r="K56" s="15" t="str">
        <f aca="false">IF(J56="","No","Yes")</f>
        <v>Yes</v>
      </c>
      <c r="L56" s="18" t="str">
        <f aca="false">IF(J56="","",IFERROR(IF(ISNUMBER(SEARCH(A56,INDEX(Pages!$J$2:$J$824,MATCH(J56,Pages!$B$2:$B$824,0)))),"Yes","No"),"Page not found"))</f>
        <v>No</v>
      </c>
      <c r="M56" s="3" t="s">
        <v>5408</v>
      </c>
      <c r="N56" s="3"/>
      <c r="O56" s="19"/>
      <c r="P56" s="17"/>
      <c r="Q56" s="17"/>
    </row>
    <row r="57" customFormat="false" ht="15" hidden="false" customHeight="false" outlineLevel="0" collapsed="false">
      <c r="A57" s="15" t="s">
        <v>5458</v>
      </c>
      <c r="B57" s="15" t="s">
        <v>86</v>
      </c>
      <c r="C57" s="15" t="s">
        <v>356</v>
      </c>
      <c r="D57" s="15" t="s">
        <v>657</v>
      </c>
      <c r="E57" s="16" t="n">
        <v>260</v>
      </c>
      <c r="F57" s="15" t="n">
        <v>25</v>
      </c>
      <c r="G57" s="15" t="s">
        <v>5177</v>
      </c>
      <c r="H57" s="15" t="s">
        <v>5285</v>
      </c>
      <c r="I57" s="15" t="n">
        <v>3</v>
      </c>
      <c r="J57" s="15" t="s">
        <v>1763</v>
      </c>
      <c r="K57" s="15" t="str">
        <f aca="false">IF(J57="","No","Yes")</f>
        <v>Yes</v>
      </c>
      <c r="L57" s="18" t="str">
        <f aca="false">IF(J57="","",IFERROR(IF(ISNUMBER(SEARCH(A57,INDEX(Pages!$J$2:$J$824,MATCH(J57,Pages!$B$2:$B$824,0)))),"Yes","No"),"Page not found"))</f>
        <v>No</v>
      </c>
      <c r="M57" s="3" t="s">
        <v>5323</v>
      </c>
      <c r="N57" s="3"/>
      <c r="O57" s="19"/>
      <c r="P57" s="17"/>
      <c r="Q57" s="17"/>
    </row>
    <row r="58" customFormat="false" ht="15" hidden="false" customHeight="false" outlineLevel="0" collapsed="false">
      <c r="A58" s="15" t="s">
        <v>5591</v>
      </c>
      <c r="B58" s="15" t="s">
        <v>82</v>
      </c>
      <c r="C58" s="15" t="s">
        <v>265</v>
      </c>
      <c r="D58" s="15" t="s">
        <v>673</v>
      </c>
      <c r="E58" s="16" t="n">
        <v>260</v>
      </c>
      <c r="F58" s="15" t="n">
        <v>25</v>
      </c>
      <c r="G58" s="15" t="s">
        <v>5177</v>
      </c>
      <c r="H58" s="15" t="s">
        <v>5268</v>
      </c>
      <c r="I58" s="15" t="n">
        <v>4</v>
      </c>
      <c r="J58" s="15"/>
      <c r="K58" s="15" t="str">
        <f aca="false">IF(J58="","No","Yes")</f>
        <v>No</v>
      </c>
      <c r="L58" s="18" t="str">
        <f aca="false">IF(J58="","",IFERROR(IF(ISNUMBER(SEARCH(A58,INDEX(Pages!$J$2:$J$824,MATCH(J58,Pages!$B$2:$B$824,0)))),"Yes","No"),"Page not found"))</f>
        <v/>
      </c>
      <c r="M58" s="3" t="s">
        <v>5592</v>
      </c>
      <c r="N58" s="3" t="s">
        <v>5593</v>
      </c>
      <c r="O58" s="19"/>
      <c r="P58" s="17"/>
      <c r="Q58" s="17"/>
    </row>
    <row r="59" customFormat="false" ht="15" hidden="false" customHeight="false" outlineLevel="0" collapsed="false">
      <c r="A59" s="15" t="s">
        <v>957</v>
      </c>
      <c r="B59" s="15" t="s">
        <v>90</v>
      </c>
      <c r="C59" s="15" t="s">
        <v>279</v>
      </c>
      <c r="D59" s="15" t="s">
        <v>715</v>
      </c>
      <c r="E59" s="16" t="n">
        <v>240</v>
      </c>
      <c r="F59" s="15" t="n">
        <v>37</v>
      </c>
      <c r="G59" s="15" t="s">
        <v>5159</v>
      </c>
      <c r="H59" s="15" t="s">
        <v>5425</v>
      </c>
      <c r="I59" s="15" t="n">
        <v>2</v>
      </c>
      <c r="J59" s="15" t="s">
        <v>953</v>
      </c>
      <c r="K59" s="15" t="str">
        <f aca="false">IF(J59="","No","Yes")</f>
        <v>Yes</v>
      </c>
      <c r="L59" s="18" t="str">
        <f aca="false">IF(J59="","",IFERROR(IF(ISNUMBER(SEARCH(A59,INDEX(Pages!$J$2:$J$824,MATCH(J59,Pages!$B$2:$B$824,0)))),"Yes","No"),"Page not found"))</f>
        <v>No</v>
      </c>
      <c r="M59" s="3" t="s">
        <v>5426</v>
      </c>
      <c r="N59" s="3"/>
      <c r="O59" s="19"/>
      <c r="P59" s="17"/>
      <c r="Q59" s="17"/>
    </row>
    <row r="60" customFormat="false" ht="15" hidden="false" customHeight="false" outlineLevel="0" collapsed="false">
      <c r="A60" s="15" t="s">
        <v>1281</v>
      </c>
      <c r="B60" s="15" t="s">
        <v>78</v>
      </c>
      <c r="C60" s="15" t="s">
        <v>307</v>
      </c>
      <c r="D60" s="15" t="s">
        <v>729</v>
      </c>
      <c r="E60" s="16" t="n">
        <v>240</v>
      </c>
      <c r="F60" s="15" t="n">
        <v>49</v>
      </c>
      <c r="G60" s="15" t="s">
        <v>5159</v>
      </c>
      <c r="H60" s="15" t="s">
        <v>5418</v>
      </c>
      <c r="I60" s="15" t="n">
        <v>4</v>
      </c>
      <c r="J60" s="15" t="s">
        <v>1277</v>
      </c>
      <c r="K60" s="15" t="str">
        <f aca="false">IF(J60="","No","Yes")</f>
        <v>Yes</v>
      </c>
      <c r="L60" s="18" t="str">
        <f aca="false">IF(J60="","",IFERROR(IF(ISNUMBER(SEARCH(A60,INDEX(Pages!$J$2:$J$824,MATCH(J60,Pages!$B$2:$B$824,0)))),"Yes","No"),"Page not found"))</f>
        <v>No</v>
      </c>
      <c r="M60" s="3" t="s">
        <v>5426</v>
      </c>
      <c r="N60" s="3" t="s">
        <v>5378</v>
      </c>
      <c r="O60" s="19"/>
      <c r="P60" s="17"/>
      <c r="Q60" s="17"/>
    </row>
    <row r="61" customFormat="false" ht="15" hidden="false" customHeight="false" outlineLevel="0" collapsed="false">
      <c r="A61" s="15" t="s">
        <v>1335</v>
      </c>
      <c r="B61" s="15" t="s">
        <v>84</v>
      </c>
      <c r="C61" s="15" t="s">
        <v>314</v>
      </c>
      <c r="D61" s="15" t="s">
        <v>701</v>
      </c>
      <c r="E61" s="16" t="n">
        <v>240</v>
      </c>
      <c r="F61" s="15" t="n">
        <v>43</v>
      </c>
      <c r="G61" s="15" t="s">
        <v>5159</v>
      </c>
      <c r="H61" s="15" t="s">
        <v>5321</v>
      </c>
      <c r="I61" s="15" t="n">
        <v>3</v>
      </c>
      <c r="J61" s="15" t="s">
        <v>1331</v>
      </c>
      <c r="K61" s="15" t="str">
        <f aca="false">IF(J61="","No","Yes")</f>
        <v>Yes</v>
      </c>
      <c r="L61" s="18" t="str">
        <f aca="false">IF(J61="","",IFERROR(IF(ISNUMBER(SEARCH(A61,INDEX(Pages!$J$2:$J$824,MATCH(J61,Pages!$B$2:$B$824,0)))),"Yes","No"),"Page not found"))</f>
        <v>No</v>
      </c>
      <c r="M61" s="3" t="s">
        <v>5376</v>
      </c>
      <c r="N61" s="3"/>
      <c r="O61" s="19"/>
      <c r="P61" s="17"/>
      <c r="Q61" s="17"/>
    </row>
    <row r="62" customFormat="false" ht="15" hidden="false" customHeight="false" outlineLevel="0" collapsed="false">
      <c r="A62" s="15" t="s">
        <v>1893</v>
      </c>
      <c r="B62" s="15" t="s">
        <v>74</v>
      </c>
      <c r="C62" s="15" t="s">
        <v>363</v>
      </c>
      <c r="D62" s="15" t="s">
        <v>715</v>
      </c>
      <c r="E62" s="16" t="n">
        <v>240</v>
      </c>
      <c r="F62" s="15" t="n">
        <v>46</v>
      </c>
      <c r="G62" s="15" t="s">
        <v>5159</v>
      </c>
      <c r="H62" s="15" t="s">
        <v>5440</v>
      </c>
      <c r="I62" s="15" t="n">
        <v>2</v>
      </c>
      <c r="J62" s="15" t="s">
        <v>1889</v>
      </c>
      <c r="K62" s="15" t="str">
        <f aca="false">IF(J62="","No","Yes")</f>
        <v>Yes</v>
      </c>
      <c r="L62" s="18" t="str">
        <f aca="false">IF(J62="","",IFERROR(IF(ISNUMBER(SEARCH(A62,INDEX(Pages!$J$2:$J$824,MATCH(J62,Pages!$B$2:$B$824,0)))),"Yes","No"),"Page not found"))</f>
        <v>No</v>
      </c>
      <c r="M62" s="3" t="s">
        <v>5224</v>
      </c>
      <c r="N62" s="3"/>
      <c r="O62" s="19"/>
      <c r="P62" s="17"/>
      <c r="Q62" s="17"/>
    </row>
    <row r="63" customFormat="false" ht="15" hidden="false" customHeight="false" outlineLevel="0" collapsed="false">
      <c r="A63" s="15" t="s">
        <v>831</v>
      </c>
      <c r="B63" s="15" t="s">
        <v>85</v>
      </c>
      <c r="C63" s="15" t="s">
        <v>272</v>
      </c>
      <c r="D63" s="15" t="s">
        <v>657</v>
      </c>
      <c r="E63" s="16" t="n">
        <v>220</v>
      </c>
      <c r="F63" s="15" t="n">
        <v>47</v>
      </c>
      <c r="G63" s="15" t="s">
        <v>5159</v>
      </c>
      <c r="H63" s="15" t="s">
        <v>5321</v>
      </c>
      <c r="I63" s="15" t="n">
        <v>4</v>
      </c>
      <c r="J63" s="15" t="s">
        <v>827</v>
      </c>
      <c r="K63" s="15" t="str">
        <f aca="false">IF(J63="","No","Yes")</f>
        <v>Yes</v>
      </c>
      <c r="L63" s="18" t="str">
        <f aca="false">IF(J63="","",IFERROR(IF(ISNUMBER(SEARCH(A63,INDEX(Pages!$J$2:$J$824,MATCH(J63,Pages!$B$2:$B$824,0)))),"Yes","No"),"Page not found"))</f>
        <v>No</v>
      </c>
      <c r="M63" s="3" t="s">
        <v>5192</v>
      </c>
      <c r="N63" s="3"/>
      <c r="O63" s="19"/>
      <c r="P63" s="17"/>
      <c r="Q63" s="17"/>
    </row>
    <row r="64" customFormat="false" ht="15" hidden="false" customHeight="false" outlineLevel="0" collapsed="false">
      <c r="A64" s="15" t="s">
        <v>1035</v>
      </c>
      <c r="B64" s="15" t="s">
        <v>76</v>
      </c>
      <c r="C64" s="15" t="s">
        <v>286</v>
      </c>
      <c r="D64" s="15" t="s">
        <v>715</v>
      </c>
      <c r="E64" s="16" t="n">
        <v>220</v>
      </c>
      <c r="F64" s="15" t="n">
        <v>37</v>
      </c>
      <c r="G64" s="15" t="s">
        <v>5159</v>
      </c>
      <c r="H64" s="15" t="s">
        <v>5254</v>
      </c>
      <c r="I64" s="15" t="n">
        <v>1</v>
      </c>
      <c r="J64" s="15" t="s">
        <v>1031</v>
      </c>
      <c r="K64" s="15" t="str">
        <f aca="false">IF(J64="","No","Yes")</f>
        <v>Yes</v>
      </c>
      <c r="L64" s="18" t="str">
        <f aca="false">IF(J64="","",IFERROR(IF(ISNUMBER(SEARCH(A64,INDEX(Pages!$J$2:$J$824,MATCH(J64,Pages!$B$2:$B$824,0)))),"Yes","No"),"Page not found"))</f>
        <v>No</v>
      </c>
      <c r="M64" s="3" t="s">
        <v>5426</v>
      </c>
      <c r="N64" s="3"/>
      <c r="O64" s="19"/>
      <c r="P64" s="17"/>
      <c r="Q64" s="17"/>
    </row>
    <row r="65" customFormat="false" ht="15" hidden="false" customHeight="false" outlineLevel="0" collapsed="false">
      <c r="A65" s="15" t="s">
        <v>733</v>
      </c>
      <c r="B65" s="15" t="s">
        <v>89</v>
      </c>
      <c r="C65" s="15" t="s">
        <v>258</v>
      </c>
      <c r="D65" s="15" t="s">
        <v>729</v>
      </c>
      <c r="E65" s="16" t="n">
        <v>210</v>
      </c>
      <c r="F65" s="15" t="n">
        <v>44</v>
      </c>
      <c r="G65" s="15" t="s">
        <v>5159</v>
      </c>
      <c r="H65" s="15" t="s">
        <v>5425</v>
      </c>
      <c r="I65" s="15" t="n">
        <v>3</v>
      </c>
      <c r="J65" s="15" t="s">
        <v>728</v>
      </c>
      <c r="K65" s="15" t="str">
        <f aca="false">IF(J65="","No","Yes")</f>
        <v>Yes</v>
      </c>
      <c r="L65" s="18" t="str">
        <f aca="false">IF(J65="","",IFERROR(IF(ISNUMBER(SEARCH(A65,INDEX(Pages!$J$2:$J$824,MATCH(J65,Pages!$B$2:$B$824,0)))),"Yes","No"),"Page not found"))</f>
        <v>No</v>
      </c>
      <c r="M65" s="3" t="s">
        <v>5426</v>
      </c>
      <c r="N65" s="3" t="s">
        <v>5378</v>
      </c>
      <c r="O65" s="19"/>
      <c r="P65" s="17"/>
      <c r="Q65" s="17"/>
    </row>
    <row r="66" customFormat="false" ht="15" hidden="false" customHeight="false" outlineLevel="0" collapsed="false">
      <c r="A66" s="15" t="s">
        <v>5594</v>
      </c>
      <c r="B66" s="15" t="s">
        <v>82</v>
      </c>
      <c r="C66" s="15" t="s">
        <v>265</v>
      </c>
      <c r="D66" s="15" t="s">
        <v>736</v>
      </c>
      <c r="E66" s="16" t="n">
        <v>210</v>
      </c>
      <c r="F66" s="15" t="n">
        <v>25</v>
      </c>
      <c r="G66" s="15" t="s">
        <v>5177</v>
      </c>
      <c r="H66" s="15" t="s">
        <v>5268</v>
      </c>
      <c r="I66" s="15" t="n">
        <v>4</v>
      </c>
      <c r="J66" s="15"/>
      <c r="K66" s="15" t="str">
        <f aca="false">IF(J66="","No","Yes")</f>
        <v>No</v>
      </c>
      <c r="L66" s="18" t="str">
        <f aca="false">IF(J66="","",IFERROR(IF(ISNUMBER(SEARCH(A66,INDEX(Pages!$J$2:$J$824,MATCH(J66,Pages!$B$2:$B$824,0)))),"Yes","No"),"Page not found"))</f>
        <v/>
      </c>
      <c r="M66" s="3" t="s">
        <v>5595</v>
      </c>
      <c r="N66" s="3" t="s">
        <v>5593</v>
      </c>
      <c r="O66" s="19"/>
      <c r="P66" s="17"/>
      <c r="Q66" s="17"/>
    </row>
    <row r="67" customFormat="false" ht="15" hidden="false" customHeight="false" outlineLevel="0" collapsed="false">
      <c r="A67" s="15" t="s">
        <v>807</v>
      </c>
      <c r="B67" s="15" t="s">
        <v>82</v>
      </c>
      <c r="C67" s="15" t="s">
        <v>265</v>
      </c>
      <c r="D67" s="15" t="s">
        <v>722</v>
      </c>
      <c r="E67" s="16" t="n">
        <v>190</v>
      </c>
      <c r="F67" s="15" t="n">
        <v>57</v>
      </c>
      <c r="G67" s="15" t="s">
        <v>5159</v>
      </c>
      <c r="H67" s="15" t="s">
        <v>5225</v>
      </c>
      <c r="I67" s="15" t="n">
        <v>4</v>
      </c>
      <c r="J67" s="15" t="s">
        <v>803</v>
      </c>
      <c r="K67" s="15" t="str">
        <f aca="false">IF(J67="","No","Yes")</f>
        <v>Yes</v>
      </c>
      <c r="L67" s="18" t="str">
        <f aca="false">IF(J67="","",IFERROR(IF(ISNUMBER(SEARCH(A67,INDEX(Pages!$J$2:$J$824,MATCH(J67,Pages!$B$2:$B$824,0)))),"Yes","No"),"Page not found"))</f>
        <v>No</v>
      </c>
      <c r="M67" s="3" t="s">
        <v>5192</v>
      </c>
      <c r="N67" s="3"/>
      <c r="O67" s="19"/>
      <c r="P67" s="17"/>
      <c r="Q67" s="17"/>
    </row>
    <row r="68" customFormat="false" ht="15" hidden="false" customHeight="false" outlineLevel="0" collapsed="false">
      <c r="A68" s="15" t="s">
        <v>1317</v>
      </c>
      <c r="B68" s="15" t="s">
        <v>84</v>
      </c>
      <c r="C68" s="15" t="s">
        <v>314</v>
      </c>
      <c r="D68" s="15" t="s">
        <v>680</v>
      </c>
      <c r="E68" s="16" t="n">
        <v>190</v>
      </c>
      <c r="F68" s="15" t="n">
        <v>43</v>
      </c>
      <c r="G68" s="15" t="s">
        <v>5159</v>
      </c>
      <c r="H68" s="15" t="s">
        <v>5321</v>
      </c>
      <c r="I68" s="15" t="n">
        <v>3</v>
      </c>
      <c r="J68" s="15" t="s">
        <v>1313</v>
      </c>
      <c r="K68" s="15" t="str">
        <f aca="false">IF(J68="","No","Yes")</f>
        <v>Yes</v>
      </c>
      <c r="L68" s="18" t="str">
        <f aca="false">IF(J68="","",IFERROR(IF(ISNUMBER(SEARCH(A68,INDEX(Pages!$J$2:$J$824,MATCH(J68,Pages!$B$2:$B$824,0)))),"Yes","No"),"Page not found"))</f>
        <v>No</v>
      </c>
      <c r="M68" s="3" t="s">
        <v>5408</v>
      </c>
      <c r="N68" s="3"/>
      <c r="O68" s="19"/>
      <c r="P68" s="17"/>
      <c r="Q68" s="17"/>
    </row>
    <row r="69" customFormat="false" ht="15" hidden="false" customHeight="false" outlineLevel="0" collapsed="false">
      <c r="A69" s="15" t="s">
        <v>1695</v>
      </c>
      <c r="B69" s="15" t="s">
        <v>81</v>
      </c>
      <c r="C69" s="15" t="s">
        <v>349</v>
      </c>
      <c r="D69" s="15" t="s">
        <v>666</v>
      </c>
      <c r="E69" s="16" t="n">
        <v>190</v>
      </c>
      <c r="F69" s="15" t="n">
        <v>34</v>
      </c>
      <c r="G69" s="15" t="s">
        <v>5159</v>
      </c>
      <c r="H69" s="15" t="s">
        <v>5235</v>
      </c>
      <c r="I69" s="15" t="n">
        <v>3</v>
      </c>
      <c r="J69" s="15" t="s">
        <v>1691</v>
      </c>
      <c r="K69" s="15" t="str">
        <f aca="false">IF(J69="","No","Yes")</f>
        <v>Yes</v>
      </c>
      <c r="L69" s="18" t="str">
        <f aca="false">IF(J69="","",IFERROR(IF(ISNUMBER(SEARCH(A69,INDEX(Pages!$J$2:$J$824,MATCH(J69,Pages!$B$2:$B$824,0)))),"Yes","No"),"Page not found"))</f>
        <v>No</v>
      </c>
      <c r="M69" s="3" t="s">
        <v>5426</v>
      </c>
      <c r="N69" s="3" t="s">
        <v>5482</v>
      </c>
      <c r="O69" s="19"/>
      <c r="P69" s="17"/>
      <c r="Q69" s="17"/>
    </row>
    <row r="70" customFormat="false" ht="15" hidden="false" customHeight="false" outlineLevel="0" collapsed="false">
      <c r="A70" s="15" t="s">
        <v>1779</v>
      </c>
      <c r="B70" s="15" t="s">
        <v>86</v>
      </c>
      <c r="C70" s="15" t="s">
        <v>356</v>
      </c>
      <c r="D70" s="15" t="s">
        <v>673</v>
      </c>
      <c r="E70" s="16" t="n">
        <v>180</v>
      </c>
      <c r="F70" s="15" t="n">
        <v>32</v>
      </c>
      <c r="G70" s="15" t="s">
        <v>5159</v>
      </c>
      <c r="H70" s="15" t="s">
        <v>5321</v>
      </c>
      <c r="I70" s="15" t="n">
        <v>4</v>
      </c>
      <c r="J70" s="15" t="s">
        <v>1775</v>
      </c>
      <c r="K70" s="15" t="str">
        <f aca="false">IF(J70="","No","Yes")</f>
        <v>Yes</v>
      </c>
      <c r="L70" s="18" t="str">
        <f aca="false">IF(J70="","",IFERROR(IF(ISNUMBER(SEARCH(A70,INDEX(Pages!$J$2:$J$824,MATCH(J70,Pages!$B$2:$B$824,0)))),"Yes","No"),"Page not found"))</f>
        <v>No</v>
      </c>
      <c r="M70" s="3" t="s">
        <v>5426</v>
      </c>
      <c r="N70" s="3"/>
      <c r="O70" s="19"/>
      <c r="P70" s="17"/>
      <c r="Q70" s="17"/>
    </row>
    <row r="71" customFormat="false" ht="15" hidden="false" customHeight="false" outlineLevel="0" collapsed="false">
      <c r="A71" s="15" t="s">
        <v>1503</v>
      </c>
      <c r="B71" s="15" t="s">
        <v>75</v>
      </c>
      <c r="C71" s="15" t="s">
        <v>328</v>
      </c>
      <c r="D71" s="15" t="s">
        <v>715</v>
      </c>
      <c r="E71" s="16" t="n">
        <v>170</v>
      </c>
      <c r="F71" s="15" t="n">
        <v>37</v>
      </c>
      <c r="G71" s="15" t="s">
        <v>5159</v>
      </c>
      <c r="H71" s="15" t="s">
        <v>5324</v>
      </c>
      <c r="I71" s="15" t="n">
        <v>2</v>
      </c>
      <c r="J71" s="15" t="s">
        <v>1499</v>
      </c>
      <c r="K71" s="15" t="str">
        <f aca="false">IF(J71="","No","Yes")</f>
        <v>Yes</v>
      </c>
      <c r="L71" s="18" t="str">
        <f aca="false">IF(J71="","",IFERROR(IF(ISNUMBER(SEARCH(A71,INDEX(Pages!$J$2:$J$824,MATCH(J71,Pages!$B$2:$B$824,0)))),"Yes","No"),"Page not found"))</f>
        <v>No</v>
      </c>
      <c r="M71" s="3" t="s">
        <v>5426</v>
      </c>
      <c r="N71" s="3"/>
      <c r="O71" s="19"/>
      <c r="P71" s="17"/>
      <c r="Q71" s="17"/>
    </row>
    <row r="72" customFormat="false" ht="15" hidden="false" customHeight="false" outlineLevel="0" collapsed="false">
      <c r="A72" s="15" t="s">
        <v>1689</v>
      </c>
      <c r="B72" s="15" t="s">
        <v>81</v>
      </c>
      <c r="C72" s="15" t="s">
        <v>349</v>
      </c>
      <c r="D72" s="15" t="s">
        <v>657</v>
      </c>
      <c r="E72" s="16" t="n">
        <v>170</v>
      </c>
      <c r="F72" s="15" t="n">
        <v>34</v>
      </c>
      <c r="G72" s="15" t="s">
        <v>5159</v>
      </c>
      <c r="H72" s="15" t="s">
        <v>5235</v>
      </c>
      <c r="I72" s="15" t="n">
        <v>3</v>
      </c>
      <c r="J72" s="15" t="s">
        <v>1685</v>
      </c>
      <c r="K72" s="15" t="str">
        <f aca="false">IF(J72="","No","Yes")</f>
        <v>Yes</v>
      </c>
      <c r="L72" s="18" t="str">
        <f aca="false">IF(J72="","",IFERROR(IF(ISNUMBER(SEARCH(A72,INDEX(Pages!$J$2:$J$824,MATCH(J72,Pages!$B$2:$B$824,0)))),"Yes","No"),"Page not found"))</f>
        <v>No</v>
      </c>
      <c r="M72" s="3" t="s">
        <v>5426</v>
      </c>
      <c r="N72" s="3" t="s">
        <v>5482</v>
      </c>
      <c r="O72" s="19"/>
      <c r="P72" s="17"/>
      <c r="Q72" s="17"/>
    </row>
    <row r="73" customFormat="false" ht="15" hidden="false" customHeight="false" outlineLevel="0" collapsed="false">
      <c r="A73" s="15" t="s">
        <v>1437</v>
      </c>
      <c r="B73" s="15" t="s">
        <v>74</v>
      </c>
      <c r="C73" s="15" t="s">
        <v>321</v>
      </c>
      <c r="D73" s="15" t="s">
        <v>729</v>
      </c>
      <c r="E73" s="16" t="n">
        <v>160</v>
      </c>
      <c r="F73" s="15" t="n">
        <v>44</v>
      </c>
      <c r="G73" s="15" t="s">
        <v>5159</v>
      </c>
      <c r="H73" s="15" t="s">
        <v>5440</v>
      </c>
      <c r="I73" s="15" t="n">
        <v>3</v>
      </c>
      <c r="J73" s="15" t="s">
        <v>1433</v>
      </c>
      <c r="K73" s="15" t="str">
        <f aca="false">IF(J73="","No","Yes")</f>
        <v>Yes</v>
      </c>
      <c r="L73" s="18" t="str">
        <f aca="false">IF(J73="","",IFERROR(IF(ISNUMBER(SEARCH(A73,INDEX(Pages!$J$2:$J$824,MATCH(J73,Pages!$B$2:$B$824,0)))),"Yes","No"),"Page not found"))</f>
        <v>No</v>
      </c>
      <c r="M73" s="3" t="s">
        <v>5426</v>
      </c>
      <c r="N73" s="3" t="s">
        <v>5378</v>
      </c>
      <c r="O73" s="19"/>
      <c r="P73" s="17"/>
      <c r="Q73" s="17"/>
    </row>
    <row r="74" customFormat="false" ht="15" hidden="false" customHeight="false" outlineLevel="0" collapsed="false">
      <c r="A74" s="15" t="s">
        <v>1191</v>
      </c>
      <c r="B74" s="15" t="s">
        <v>79</v>
      </c>
      <c r="C74" s="15" t="s">
        <v>300</v>
      </c>
      <c r="D74" s="15" t="s">
        <v>715</v>
      </c>
      <c r="E74" s="16" t="n">
        <v>150</v>
      </c>
      <c r="F74" s="15" t="n">
        <v>37</v>
      </c>
      <c r="G74" s="15" t="s">
        <v>5159</v>
      </c>
      <c r="H74" s="15" t="s">
        <v>5384</v>
      </c>
      <c r="I74" s="15" t="n">
        <v>1</v>
      </c>
      <c r="J74" s="15" t="s">
        <v>1187</v>
      </c>
      <c r="K74" s="15" t="str">
        <f aca="false">IF(J74="","No","Yes")</f>
        <v>Yes</v>
      </c>
      <c r="L74" s="18" t="str">
        <f aca="false">IF(J74="","",IFERROR(IF(ISNUMBER(SEARCH(A74,INDEX(Pages!$J$2:$J$824,MATCH(J74,Pages!$B$2:$B$824,0)))),"Yes","No"),"Page not found"))</f>
        <v>No</v>
      </c>
      <c r="M74" s="3" t="s">
        <v>5426</v>
      </c>
      <c r="N74" s="3"/>
      <c r="O74" s="19"/>
      <c r="P74" s="17"/>
      <c r="Q74" s="17"/>
    </row>
    <row r="75" customFormat="false" ht="15" hidden="false" customHeight="false" outlineLevel="0" collapsed="false">
      <c r="A75" s="15" t="s">
        <v>1833</v>
      </c>
      <c r="B75" s="15" t="s">
        <v>86</v>
      </c>
      <c r="C75" s="15" t="s">
        <v>356</v>
      </c>
      <c r="D75" s="15" t="s">
        <v>736</v>
      </c>
      <c r="E75" s="16" t="n">
        <v>150</v>
      </c>
      <c r="F75" s="15" t="n">
        <v>32</v>
      </c>
      <c r="G75" s="15" t="s">
        <v>5159</v>
      </c>
      <c r="H75" s="15" t="s">
        <v>5321</v>
      </c>
      <c r="I75" s="15" t="n">
        <v>4</v>
      </c>
      <c r="J75" s="15" t="s">
        <v>1829</v>
      </c>
      <c r="K75" s="15" t="str">
        <f aca="false">IF(J75="","No","Yes")</f>
        <v>Yes</v>
      </c>
      <c r="L75" s="18" t="str">
        <f aca="false">IF(J75="","",IFERROR(IF(ISNUMBER(SEARCH(A75,INDEX(Pages!$J$2:$J$824,MATCH(J75,Pages!$B$2:$B$824,0)))),"Yes","No"),"Page not found"))</f>
        <v>No</v>
      </c>
      <c r="M75" s="3" t="s">
        <v>5426</v>
      </c>
      <c r="N75" s="3"/>
      <c r="O75" s="19"/>
      <c r="P75" s="17"/>
      <c r="Q75" s="17"/>
    </row>
    <row r="76" customFormat="false" ht="15" hidden="false" customHeight="false" outlineLevel="0" collapsed="false">
      <c r="A76" s="15" t="s">
        <v>5596</v>
      </c>
      <c r="B76" s="15" t="s">
        <v>84</v>
      </c>
      <c r="C76" s="15" t="s">
        <v>314</v>
      </c>
      <c r="D76" s="15" t="s">
        <v>680</v>
      </c>
      <c r="E76" s="16" t="n">
        <v>140</v>
      </c>
      <c r="F76" s="15" t="n">
        <v>20</v>
      </c>
      <c r="G76" s="15" t="s">
        <v>5159</v>
      </c>
      <c r="H76" s="15" t="s">
        <v>5568</v>
      </c>
      <c r="I76" s="15" t="n">
        <v>4</v>
      </c>
      <c r="J76" s="15"/>
      <c r="K76" s="15" t="str">
        <f aca="false">IF(J76="","No","Yes")</f>
        <v>No</v>
      </c>
      <c r="L76" s="18" t="str">
        <f aca="false">IF(J76="","",IFERROR(IF(ISNUMBER(SEARCH(A76,INDEX(Pages!$J$2:$J$824,MATCH(J76,Pages!$B$2:$B$824,0)))),"Yes","No"),"Page not found"))</f>
        <v/>
      </c>
      <c r="M76" s="3" t="s">
        <v>5408</v>
      </c>
      <c r="N76" s="3" t="s">
        <v>5597</v>
      </c>
      <c r="O76" s="19"/>
      <c r="P76" s="17"/>
      <c r="Q76" s="17"/>
    </row>
    <row r="77" customFormat="false" ht="15" hidden="false" customHeight="false" outlineLevel="0" collapsed="false">
      <c r="A77" s="15" t="s">
        <v>1233</v>
      </c>
      <c r="B77" s="15" t="s">
        <v>78</v>
      </c>
      <c r="C77" s="15" t="s">
        <v>307</v>
      </c>
      <c r="D77" s="15" t="s">
        <v>673</v>
      </c>
      <c r="E77" s="16" t="n">
        <v>140</v>
      </c>
      <c r="F77" s="15" t="n">
        <v>39</v>
      </c>
      <c r="G77" s="15" t="s">
        <v>5159</v>
      </c>
      <c r="H77" s="15" t="s">
        <v>5418</v>
      </c>
      <c r="I77" s="15" t="n">
        <v>3</v>
      </c>
      <c r="J77" s="15" t="s">
        <v>1229</v>
      </c>
      <c r="K77" s="15" t="str">
        <f aca="false">IF(J77="","No","Yes")</f>
        <v>Yes</v>
      </c>
      <c r="L77" s="18" t="str">
        <f aca="false">IF(J77="","",IFERROR(IF(ISNUMBER(SEARCH(A77,INDEX(Pages!$J$2:$J$824,MATCH(J77,Pages!$B$2:$B$824,0)))),"Yes","No"),"Page not found"))</f>
        <v>No</v>
      </c>
      <c r="M77" s="3" t="s">
        <v>5426</v>
      </c>
      <c r="N77" s="3"/>
      <c r="O77" s="19"/>
      <c r="P77" s="17"/>
      <c r="Q77" s="17"/>
    </row>
    <row r="78" customFormat="false" ht="15" hidden="false" customHeight="false" outlineLevel="0" collapsed="false">
      <c r="A78" s="15" t="s">
        <v>677</v>
      </c>
      <c r="B78" s="15" t="s">
        <v>89</v>
      </c>
      <c r="C78" s="15" t="s">
        <v>258</v>
      </c>
      <c r="D78" s="15" t="s">
        <v>673</v>
      </c>
      <c r="E78" s="16" t="n">
        <v>130</v>
      </c>
      <c r="F78" s="15" t="n">
        <v>34</v>
      </c>
      <c r="G78" s="15" t="s">
        <v>5159</v>
      </c>
      <c r="H78" s="15" t="s">
        <v>5425</v>
      </c>
      <c r="I78" s="15" t="n">
        <v>2</v>
      </c>
      <c r="J78" s="15" t="s">
        <v>672</v>
      </c>
      <c r="K78" s="15" t="str">
        <f aca="false">IF(J78="","No","Yes")</f>
        <v>Yes</v>
      </c>
      <c r="L78" s="18" t="str">
        <f aca="false">IF(J78="","",IFERROR(IF(ISNUMBER(SEARCH(A78,INDEX(Pages!$J$2:$J$824,MATCH(J78,Pages!$B$2:$B$824,0)))),"Yes","No"),"Page not found"))</f>
        <v>No</v>
      </c>
      <c r="M78" s="3" t="s">
        <v>5426</v>
      </c>
      <c r="N78" s="3"/>
      <c r="O78" s="19"/>
      <c r="P78" s="17"/>
      <c r="Q78" s="17"/>
    </row>
    <row r="79" customFormat="false" ht="15" hidden="false" customHeight="false" outlineLevel="0" collapsed="false">
      <c r="A79" s="15" t="s">
        <v>891</v>
      </c>
      <c r="B79" s="15" t="s">
        <v>85</v>
      </c>
      <c r="C79" s="15" t="s">
        <v>272</v>
      </c>
      <c r="D79" s="15" t="s">
        <v>729</v>
      </c>
      <c r="E79" s="16" t="n">
        <v>130</v>
      </c>
      <c r="F79" s="15" t="n">
        <v>43</v>
      </c>
      <c r="G79" s="15" t="s">
        <v>5159</v>
      </c>
      <c r="H79" s="15" t="s">
        <v>5321</v>
      </c>
      <c r="I79" s="15" t="n">
        <v>5</v>
      </c>
      <c r="J79" s="15" t="s">
        <v>887</v>
      </c>
      <c r="K79" s="15" t="str">
        <f aca="false">IF(J79="","No","Yes")</f>
        <v>Yes</v>
      </c>
      <c r="L79" s="18" t="str">
        <f aca="false">IF(J79="","",IFERROR(IF(ISNUMBER(SEARCH(A79,INDEX(Pages!$J$2:$J$824,MATCH(J79,Pages!$B$2:$B$824,0)))),"Yes","No"),"Page not found"))</f>
        <v>No</v>
      </c>
      <c r="M79" s="3" t="s">
        <v>5408</v>
      </c>
      <c r="N79" s="3" t="s">
        <v>5378</v>
      </c>
      <c r="O79" s="19"/>
      <c r="P79" s="17"/>
      <c r="Q79" s="17"/>
    </row>
    <row r="80" customFormat="false" ht="15" hidden="false" customHeight="false" outlineLevel="0" collapsed="false">
      <c r="A80" s="15" t="s">
        <v>1323</v>
      </c>
      <c r="B80" s="15" t="s">
        <v>84</v>
      </c>
      <c r="C80" s="15" t="s">
        <v>314</v>
      </c>
      <c r="D80" s="15" t="s">
        <v>687</v>
      </c>
      <c r="E80" s="16" t="n">
        <v>130</v>
      </c>
      <c r="F80" s="15" t="n">
        <v>39</v>
      </c>
      <c r="G80" s="15" t="s">
        <v>5159</v>
      </c>
      <c r="H80" s="15" t="s">
        <v>5321</v>
      </c>
      <c r="I80" s="15" t="n">
        <v>3</v>
      </c>
      <c r="J80" s="15" t="s">
        <v>1319</v>
      </c>
      <c r="K80" s="15" t="str">
        <f aca="false">IF(J80="","No","Yes")</f>
        <v>Yes</v>
      </c>
      <c r="L80" s="18" t="str">
        <f aca="false">IF(J80="","",IFERROR(IF(ISNUMBER(SEARCH(A80,INDEX(Pages!$J$2:$J$824,MATCH(J80,Pages!$B$2:$B$824,0)))),"Yes","No"),"Page not found"))</f>
        <v>No</v>
      </c>
      <c r="M80" s="3" t="s">
        <v>5426</v>
      </c>
      <c r="N80" s="3"/>
      <c r="O80" s="19"/>
      <c r="P80" s="17"/>
      <c r="Q80" s="17"/>
    </row>
    <row r="81" customFormat="false" ht="15" hidden="false" customHeight="false" outlineLevel="0" collapsed="false">
      <c r="A81" s="15" t="s">
        <v>1803</v>
      </c>
      <c r="B81" s="15" t="s">
        <v>86</v>
      </c>
      <c r="C81" s="15" t="s">
        <v>356</v>
      </c>
      <c r="D81" s="15" t="s">
        <v>701</v>
      </c>
      <c r="E81" s="16" t="n">
        <v>130</v>
      </c>
      <c r="F81" s="15" t="n">
        <v>36</v>
      </c>
      <c r="G81" s="15" t="s">
        <v>5159</v>
      </c>
      <c r="H81" s="15" t="s">
        <v>5321</v>
      </c>
      <c r="I81" s="15" t="n">
        <v>5</v>
      </c>
      <c r="J81" s="15" t="s">
        <v>1799</v>
      </c>
      <c r="K81" s="15" t="str">
        <f aca="false">IF(J81="","No","Yes")</f>
        <v>Yes</v>
      </c>
      <c r="L81" s="18" t="str">
        <f aca="false">IF(J81="","",IFERROR(IF(ISNUMBER(SEARCH(A81,INDEX(Pages!$J$2:$J$824,MATCH(J81,Pages!$B$2:$B$824,0)))),"Yes","No"),"Page not found"))</f>
        <v>No</v>
      </c>
      <c r="M81" s="3" t="s">
        <v>5376</v>
      </c>
      <c r="N81" s="3"/>
      <c r="O81" s="19"/>
      <c r="P81" s="17"/>
      <c r="Q81" s="17"/>
    </row>
    <row r="82" customFormat="false" ht="15" hidden="false" customHeight="false" outlineLevel="0" collapsed="false">
      <c r="A82" s="15" t="s">
        <v>1287</v>
      </c>
      <c r="B82" s="15" t="s">
        <v>78</v>
      </c>
      <c r="C82" s="15" t="s">
        <v>307</v>
      </c>
      <c r="D82" s="15" t="s">
        <v>736</v>
      </c>
      <c r="E82" s="16" t="n">
        <v>120</v>
      </c>
      <c r="F82" s="15" t="n">
        <v>39</v>
      </c>
      <c r="G82" s="15" t="s">
        <v>5159</v>
      </c>
      <c r="H82" s="15" t="s">
        <v>5418</v>
      </c>
      <c r="I82" s="15" t="n">
        <v>3</v>
      </c>
      <c r="J82" s="15" t="s">
        <v>1283</v>
      </c>
      <c r="K82" s="15" t="str">
        <f aca="false">IF(J82="","No","Yes")</f>
        <v>Yes</v>
      </c>
      <c r="L82" s="18" t="str">
        <f aca="false">IF(J82="","",IFERROR(IF(ISNUMBER(SEARCH(A82,INDEX(Pages!$J$2:$J$824,MATCH(J82,Pages!$B$2:$B$824,0)))),"Yes","No"),"Page not found"))</f>
        <v>No</v>
      </c>
      <c r="M82" s="3" t="s">
        <v>5426</v>
      </c>
      <c r="N82" s="3"/>
      <c r="O82" s="19"/>
      <c r="P82" s="17"/>
      <c r="Q82" s="17"/>
    </row>
    <row r="83" customFormat="false" ht="15" hidden="false" customHeight="false" outlineLevel="0" collapsed="false">
      <c r="A83" s="15" t="s">
        <v>740</v>
      </c>
      <c r="B83" s="15" t="s">
        <v>89</v>
      </c>
      <c r="C83" s="15" t="s">
        <v>258</v>
      </c>
      <c r="D83" s="15" t="s">
        <v>736</v>
      </c>
      <c r="E83" s="16" t="n">
        <v>110</v>
      </c>
      <c r="F83" s="15" t="n">
        <v>34</v>
      </c>
      <c r="G83" s="15" t="s">
        <v>5159</v>
      </c>
      <c r="H83" s="15" t="s">
        <v>5425</v>
      </c>
      <c r="I83" s="15" t="n">
        <v>2</v>
      </c>
      <c r="J83" s="15" t="s">
        <v>735</v>
      </c>
      <c r="K83" s="15" t="str">
        <f aca="false">IF(J83="","No","Yes")</f>
        <v>Yes</v>
      </c>
      <c r="L83" s="18" t="str">
        <f aca="false">IF(J83="","",IFERROR(IF(ISNUMBER(SEARCH(A83,INDEX(Pages!$J$2:$J$824,MATCH(J83,Pages!$B$2:$B$824,0)))),"Yes","No"),"Page not found"))</f>
        <v>No</v>
      </c>
      <c r="M83" s="3" t="s">
        <v>5426</v>
      </c>
      <c r="N83" s="3"/>
      <c r="O83" s="19"/>
      <c r="P83" s="17"/>
      <c r="Q83" s="17"/>
    </row>
    <row r="84" customFormat="false" ht="15" hidden="false" customHeight="false" outlineLevel="0" collapsed="false">
      <c r="A84" s="15" t="s">
        <v>1257</v>
      </c>
      <c r="B84" s="15" t="s">
        <v>78</v>
      </c>
      <c r="C84" s="15" t="s">
        <v>307</v>
      </c>
      <c r="D84" s="15" t="s">
        <v>701</v>
      </c>
      <c r="E84" s="16" t="n">
        <v>110</v>
      </c>
      <c r="F84" s="15" t="n">
        <v>39</v>
      </c>
      <c r="G84" s="15" t="s">
        <v>5159</v>
      </c>
      <c r="H84" s="15" t="s">
        <v>5418</v>
      </c>
      <c r="I84" s="15" t="n">
        <v>3</v>
      </c>
      <c r="J84" s="15" t="s">
        <v>1253</v>
      </c>
      <c r="K84" s="15" t="str">
        <f aca="false">IF(J84="","No","Yes")</f>
        <v>Yes</v>
      </c>
      <c r="L84" s="18" t="str">
        <f aca="false">IF(J84="","",IFERROR(IF(ISNUMBER(SEARCH(A84,INDEX(Pages!$J$2:$J$824,MATCH(J84,Pages!$B$2:$B$824,0)))),"Yes","No"),"Page not found"))</f>
        <v>No</v>
      </c>
      <c r="M84" s="3" t="s">
        <v>5426</v>
      </c>
      <c r="N84" s="3"/>
      <c r="O84" s="19"/>
      <c r="P84" s="17"/>
      <c r="Q84" s="17"/>
    </row>
    <row r="85" customFormat="false" ht="15" hidden="false" customHeight="false" outlineLevel="0" collapsed="false">
      <c r="A85" s="15" t="s">
        <v>1785</v>
      </c>
      <c r="B85" s="15" t="s">
        <v>86</v>
      </c>
      <c r="C85" s="15" t="s">
        <v>356</v>
      </c>
      <c r="D85" s="15" t="s">
        <v>680</v>
      </c>
      <c r="E85" s="16" t="n">
        <v>110</v>
      </c>
      <c r="F85" s="15" t="n">
        <v>36</v>
      </c>
      <c r="G85" s="15" t="s">
        <v>5159</v>
      </c>
      <c r="H85" s="15" t="s">
        <v>5321</v>
      </c>
      <c r="I85" s="15" t="n">
        <v>5</v>
      </c>
      <c r="J85" s="15" t="s">
        <v>1781</v>
      </c>
      <c r="K85" s="15" t="str">
        <f aca="false">IF(J85="","No","Yes")</f>
        <v>Yes</v>
      </c>
      <c r="L85" s="18" t="str">
        <f aca="false">IF(J85="","",IFERROR(IF(ISNUMBER(SEARCH(A85,INDEX(Pages!$J$2:$J$824,MATCH(J85,Pages!$B$2:$B$824,0)))),"Yes","No"),"Page not found"))</f>
        <v>No</v>
      </c>
      <c r="M85" s="3" t="s">
        <v>5408</v>
      </c>
      <c r="N85" s="3"/>
      <c r="O85" s="19"/>
      <c r="P85" s="17"/>
      <c r="Q85" s="17"/>
    </row>
    <row r="86" customFormat="false" ht="15" hidden="false" customHeight="false" outlineLevel="0" collapsed="false">
      <c r="A86" s="15" t="s">
        <v>1389</v>
      </c>
      <c r="B86" s="15" t="s">
        <v>74</v>
      </c>
      <c r="C86" s="15" t="s">
        <v>321</v>
      </c>
      <c r="D86" s="15" t="s">
        <v>673</v>
      </c>
      <c r="E86" s="16" t="n">
        <v>98</v>
      </c>
      <c r="F86" s="15" t="n">
        <v>38</v>
      </c>
      <c r="G86" s="15" t="s">
        <v>5159</v>
      </c>
      <c r="H86" s="15" t="s">
        <v>5440</v>
      </c>
      <c r="I86" s="15" t="n">
        <v>2</v>
      </c>
      <c r="J86" s="15" t="s">
        <v>1385</v>
      </c>
      <c r="K86" s="15" t="str">
        <f aca="false">IF(J86="","No","Yes")</f>
        <v>Yes</v>
      </c>
      <c r="L86" s="18" t="str">
        <f aca="false">IF(J86="","",IFERROR(IF(ISNUMBER(SEARCH(A86,INDEX(Pages!$J$2:$J$824,MATCH(J86,Pages!$B$2:$B$824,0)))),"Yes","No"),"Page not found"))</f>
        <v>No</v>
      </c>
      <c r="M86" s="3" t="s">
        <v>5224</v>
      </c>
      <c r="N86" s="3"/>
      <c r="O86" s="19"/>
      <c r="P86" s="17"/>
      <c r="Q86" s="17"/>
    </row>
    <row r="87" customFormat="false" ht="15" hidden="false" customHeight="false" outlineLevel="0" collapsed="false">
      <c r="A87" s="15" t="s">
        <v>705</v>
      </c>
      <c r="B87" s="15" t="s">
        <v>89</v>
      </c>
      <c r="C87" s="15" t="s">
        <v>258</v>
      </c>
      <c r="D87" s="15" t="s">
        <v>701</v>
      </c>
      <c r="E87" s="16" t="n">
        <v>97</v>
      </c>
      <c r="F87" s="15" t="n">
        <v>34</v>
      </c>
      <c r="G87" s="15" t="s">
        <v>5159</v>
      </c>
      <c r="H87" s="15" t="s">
        <v>5425</v>
      </c>
      <c r="I87" s="15" t="n">
        <v>2</v>
      </c>
      <c r="J87" s="15" t="s">
        <v>700</v>
      </c>
      <c r="K87" s="15" t="str">
        <f aca="false">IF(J87="","No","Yes")</f>
        <v>Yes</v>
      </c>
      <c r="L87" s="18" t="str">
        <f aca="false">IF(J87="","",IFERROR(IF(ISNUMBER(SEARCH(A87,INDEX(Pages!$J$2:$J$824,MATCH(J87,Pages!$B$2:$B$824,0)))),"Yes","No"),"Page not found"))</f>
        <v>No</v>
      </c>
      <c r="M87" s="3" t="s">
        <v>5426</v>
      </c>
      <c r="N87" s="3"/>
      <c r="O87" s="19"/>
      <c r="P87" s="17"/>
      <c r="Q87" s="17"/>
    </row>
    <row r="88" customFormat="false" ht="23.85" hidden="false" customHeight="false" outlineLevel="0" collapsed="false">
      <c r="A88" s="15" t="s">
        <v>1749</v>
      </c>
      <c r="B88" s="15" t="s">
        <v>81</v>
      </c>
      <c r="C88" s="15" t="s">
        <v>349</v>
      </c>
      <c r="D88" s="15" t="s">
        <v>729</v>
      </c>
      <c r="E88" s="16" t="n">
        <v>96</v>
      </c>
      <c r="F88" s="15" t="n">
        <v>34</v>
      </c>
      <c r="G88" s="15" t="s">
        <v>5159</v>
      </c>
      <c r="H88" s="15" t="s">
        <v>5235</v>
      </c>
      <c r="I88" s="15" t="n">
        <v>5</v>
      </c>
      <c r="J88" s="15" t="s">
        <v>1745</v>
      </c>
      <c r="K88" s="15" t="str">
        <f aca="false">IF(J88="","No","Yes")</f>
        <v>Yes</v>
      </c>
      <c r="L88" s="18" t="str">
        <f aca="false">IF(J88="","",IFERROR(IF(ISNUMBER(SEARCH(A88,INDEX(Pages!$J$2:$J$824,MATCH(J88,Pages!$B$2:$B$824,0)))),"Yes","No"),"Page not found"))</f>
        <v>No</v>
      </c>
      <c r="M88" s="3" t="s">
        <v>5426</v>
      </c>
      <c r="N88" s="3" t="s">
        <v>5498</v>
      </c>
      <c r="O88" s="19"/>
      <c r="P88" s="17"/>
      <c r="Q88" s="17"/>
    </row>
    <row r="89" customFormat="false" ht="15" hidden="false" customHeight="false" outlineLevel="0" collapsed="false">
      <c r="A89" s="15" t="s">
        <v>1071</v>
      </c>
      <c r="B89" s="15" t="s">
        <v>77</v>
      </c>
      <c r="C89" s="15" t="s">
        <v>293</v>
      </c>
      <c r="D89" s="15" t="s">
        <v>666</v>
      </c>
      <c r="E89" s="16" t="n">
        <v>94</v>
      </c>
      <c r="F89" s="15" t="n">
        <v>32</v>
      </c>
      <c r="G89" s="15" t="s">
        <v>5159</v>
      </c>
      <c r="H89" s="15" t="s">
        <v>5254</v>
      </c>
      <c r="I89" s="15" t="n">
        <v>2</v>
      </c>
      <c r="J89" s="15" t="s">
        <v>1067</v>
      </c>
      <c r="K89" s="15" t="str">
        <f aca="false">IF(J89="","No","Yes")</f>
        <v>Yes</v>
      </c>
      <c r="L89" s="18" t="str">
        <f aca="false">IF(J89="","",IFERROR(IF(ISNUMBER(SEARCH(A89,INDEX(Pages!$J$2:$J$824,MATCH(J89,Pages!$B$2:$B$824,0)))),"Yes","No"),"Page not found"))</f>
        <v>No</v>
      </c>
      <c r="M89" s="3" t="s">
        <v>5426</v>
      </c>
      <c r="N89" s="3"/>
      <c r="O89" s="19"/>
      <c r="P89" s="17"/>
      <c r="Q89" s="17"/>
    </row>
    <row r="90" customFormat="false" ht="15" hidden="false" customHeight="false" outlineLevel="0" collapsed="false">
      <c r="A90" s="15" t="s">
        <v>1239</v>
      </c>
      <c r="B90" s="15" t="s">
        <v>78</v>
      </c>
      <c r="C90" s="15" t="s">
        <v>307</v>
      </c>
      <c r="D90" s="15" t="s">
        <v>680</v>
      </c>
      <c r="E90" s="16" t="n">
        <v>88</v>
      </c>
      <c r="F90" s="15" t="n">
        <v>39</v>
      </c>
      <c r="G90" s="15" t="s">
        <v>5159</v>
      </c>
      <c r="H90" s="15" t="s">
        <v>5418</v>
      </c>
      <c r="I90" s="15" t="n">
        <v>3</v>
      </c>
      <c r="J90" s="15" t="s">
        <v>1235</v>
      </c>
      <c r="K90" s="15" t="str">
        <f aca="false">IF(J90="","No","Yes")</f>
        <v>Yes</v>
      </c>
      <c r="L90" s="18" t="str">
        <f aca="false">IF(J90="","",IFERROR(IF(ISNUMBER(SEARCH(A90,INDEX(Pages!$J$2:$J$824,MATCH(J90,Pages!$B$2:$B$824,0)))),"Yes","No"),"Page not found"))</f>
        <v>No</v>
      </c>
      <c r="M90" s="3" t="s">
        <v>5426</v>
      </c>
      <c r="N90" s="3"/>
      <c r="O90" s="19"/>
      <c r="P90" s="17"/>
      <c r="Q90" s="17"/>
    </row>
    <row r="91" customFormat="false" ht="15" hidden="false" customHeight="false" outlineLevel="0" collapsed="false">
      <c r="A91" s="15" t="s">
        <v>915</v>
      </c>
      <c r="B91" s="15" t="s">
        <v>90</v>
      </c>
      <c r="C91" s="15" t="s">
        <v>279</v>
      </c>
      <c r="D91" s="15" t="s">
        <v>666</v>
      </c>
      <c r="E91" s="16" t="n">
        <v>85</v>
      </c>
      <c r="F91" s="15" t="n">
        <v>29</v>
      </c>
      <c r="G91" s="15" t="s">
        <v>5159</v>
      </c>
      <c r="H91" s="15" t="s">
        <v>5425</v>
      </c>
      <c r="I91" s="15" t="n">
        <v>3</v>
      </c>
      <c r="J91" s="15" t="s">
        <v>911</v>
      </c>
      <c r="K91" s="15" t="str">
        <f aca="false">IF(J91="","No","Yes")</f>
        <v>Yes</v>
      </c>
      <c r="L91" s="18" t="str">
        <f aca="false">IF(J91="","",IFERROR(IF(ISNUMBER(SEARCH(A91,INDEX(Pages!$J$2:$J$824,MATCH(J91,Pages!$B$2:$B$824,0)))),"Yes","No"),"Page not found"))</f>
        <v>No</v>
      </c>
      <c r="M91" s="3" t="s">
        <v>5426</v>
      </c>
      <c r="N91" s="3"/>
      <c r="O91" s="19"/>
      <c r="P91" s="17"/>
      <c r="Q91" s="17"/>
    </row>
    <row r="92" customFormat="false" ht="15" hidden="false" customHeight="false" outlineLevel="0" collapsed="false">
      <c r="A92" s="15" t="s">
        <v>1851</v>
      </c>
      <c r="B92" s="15" t="s">
        <v>74</v>
      </c>
      <c r="C92" s="15" t="s">
        <v>363</v>
      </c>
      <c r="D92" s="15" t="s">
        <v>666</v>
      </c>
      <c r="E92" s="16" t="n">
        <v>85</v>
      </c>
      <c r="F92" s="15" t="n">
        <v>38</v>
      </c>
      <c r="G92" s="15" t="s">
        <v>5159</v>
      </c>
      <c r="H92" s="15" t="s">
        <v>5440</v>
      </c>
      <c r="I92" s="15" t="n">
        <v>3</v>
      </c>
      <c r="J92" s="15" t="s">
        <v>1847</v>
      </c>
      <c r="K92" s="15" t="str">
        <f aca="false">IF(J92="","No","Yes")</f>
        <v>Yes</v>
      </c>
      <c r="L92" s="18" t="str">
        <f aca="false">IF(J92="","",IFERROR(IF(ISNUMBER(SEARCH(A92,INDEX(Pages!$J$2:$J$824,MATCH(J92,Pages!$B$2:$B$824,0)))),"Yes","No"),"Page not found"))</f>
        <v>No</v>
      </c>
      <c r="M92" s="3" t="s">
        <v>5224</v>
      </c>
      <c r="N92" s="3"/>
      <c r="O92" s="19"/>
      <c r="P92" s="17"/>
      <c r="Q92" s="17"/>
    </row>
    <row r="93" customFormat="false" ht="15" hidden="false" customHeight="false" outlineLevel="0" collapsed="false">
      <c r="A93" s="15" t="s">
        <v>1443</v>
      </c>
      <c r="B93" s="15" t="s">
        <v>74</v>
      </c>
      <c r="C93" s="15" t="s">
        <v>321</v>
      </c>
      <c r="D93" s="15" t="s">
        <v>736</v>
      </c>
      <c r="E93" s="16" t="n">
        <v>84</v>
      </c>
      <c r="F93" s="15" t="n">
        <v>34</v>
      </c>
      <c r="G93" s="15" t="s">
        <v>5159</v>
      </c>
      <c r="H93" s="15" t="s">
        <v>5440</v>
      </c>
      <c r="I93" s="15" t="n">
        <v>2</v>
      </c>
      <c r="J93" s="15" t="s">
        <v>1439</v>
      </c>
      <c r="K93" s="15" t="str">
        <f aca="false">IF(J93="","No","Yes")</f>
        <v>Yes</v>
      </c>
      <c r="L93" s="18" t="str">
        <f aca="false">IF(J93="","",IFERROR(IF(ISNUMBER(SEARCH(A93,INDEX(Pages!$J$2:$J$824,MATCH(J93,Pages!$B$2:$B$824,0)))),"Yes","No"),"Page not found"))</f>
        <v>No</v>
      </c>
      <c r="M93" s="3" t="s">
        <v>5426</v>
      </c>
      <c r="N93" s="3"/>
      <c r="O93" s="19"/>
      <c r="P93" s="17"/>
      <c r="Q93" s="17"/>
    </row>
    <row r="94" customFormat="false" ht="15" hidden="false" customHeight="false" outlineLevel="0" collapsed="false">
      <c r="A94" s="15" t="s">
        <v>1065</v>
      </c>
      <c r="B94" s="15" t="s">
        <v>77</v>
      </c>
      <c r="C94" s="15" t="s">
        <v>293</v>
      </c>
      <c r="D94" s="15" t="s">
        <v>657</v>
      </c>
      <c r="E94" s="16" t="n">
        <v>81</v>
      </c>
      <c r="F94" s="15" t="n">
        <v>32</v>
      </c>
      <c r="G94" s="15" t="s">
        <v>5159</v>
      </c>
      <c r="H94" s="15" t="s">
        <v>5254</v>
      </c>
      <c r="I94" s="15" t="n">
        <v>2</v>
      </c>
      <c r="J94" s="15" t="s">
        <v>1061</v>
      </c>
      <c r="K94" s="15" t="str">
        <f aca="false">IF(J94="","No","Yes")</f>
        <v>Yes</v>
      </c>
      <c r="L94" s="18" t="str">
        <f aca="false">IF(J94="","",IFERROR(IF(ISNUMBER(SEARCH(A94,INDEX(Pages!$J$2:$J$824,MATCH(J94,Pages!$B$2:$B$824,0)))),"Yes","No"),"Page not found"))</f>
        <v>No</v>
      </c>
      <c r="M94" s="3" t="s">
        <v>5426</v>
      </c>
      <c r="N94" s="3"/>
      <c r="O94" s="19"/>
      <c r="P94" s="17"/>
      <c r="Q94" s="17"/>
    </row>
    <row r="95" customFormat="false" ht="15" hidden="false" customHeight="false" outlineLevel="0" collapsed="false">
      <c r="A95" s="15" t="s">
        <v>684</v>
      </c>
      <c r="B95" s="15" t="s">
        <v>89</v>
      </c>
      <c r="C95" s="15" t="s">
        <v>258</v>
      </c>
      <c r="D95" s="15" t="s">
        <v>680</v>
      </c>
      <c r="E95" s="16" t="n">
        <v>80</v>
      </c>
      <c r="F95" s="15" t="n">
        <v>34</v>
      </c>
      <c r="G95" s="15" t="s">
        <v>5159</v>
      </c>
      <c r="H95" s="15" t="s">
        <v>5425</v>
      </c>
      <c r="I95" s="15" t="n">
        <v>3</v>
      </c>
      <c r="J95" s="15" t="s">
        <v>679</v>
      </c>
      <c r="K95" s="15" t="str">
        <f aca="false">IF(J95="","No","Yes")</f>
        <v>Yes</v>
      </c>
      <c r="L95" s="18" t="str">
        <f aca="false">IF(J95="","",IFERROR(IF(ISNUMBER(SEARCH(A95,INDEX(Pages!$J$2:$J$824,MATCH(J95,Pages!$B$2:$B$824,0)))),"Yes","No"),"Page not found"))</f>
        <v>No</v>
      </c>
      <c r="M95" s="3" t="s">
        <v>5426</v>
      </c>
      <c r="N95" s="3"/>
      <c r="O95" s="19"/>
      <c r="P95" s="17"/>
      <c r="Q95" s="17"/>
    </row>
    <row r="96" customFormat="false" ht="15" hidden="false" customHeight="false" outlineLevel="0" collapsed="false">
      <c r="A96" s="15" t="s">
        <v>843</v>
      </c>
      <c r="B96" s="15" t="s">
        <v>85</v>
      </c>
      <c r="C96" s="15" t="s">
        <v>272</v>
      </c>
      <c r="D96" s="15" t="s">
        <v>673</v>
      </c>
      <c r="E96" s="16" t="n">
        <v>78</v>
      </c>
      <c r="F96" s="15" t="n">
        <v>29</v>
      </c>
      <c r="G96" s="15" t="s">
        <v>5159</v>
      </c>
      <c r="H96" s="15" t="s">
        <v>5321</v>
      </c>
      <c r="I96" s="15" t="n">
        <v>4</v>
      </c>
      <c r="J96" s="15" t="s">
        <v>839</v>
      </c>
      <c r="K96" s="15" t="str">
        <f aca="false">IF(J96="","No","Yes")</f>
        <v>Yes</v>
      </c>
      <c r="L96" s="18" t="str">
        <f aca="false">IF(J96="","",IFERROR(IF(ISNUMBER(SEARCH(A96,INDEX(Pages!$J$2:$J$824,MATCH(J96,Pages!$B$2:$B$824,0)))),"Yes","No"),"Page not found"))</f>
        <v>No</v>
      </c>
      <c r="M96" s="3" t="s">
        <v>5426</v>
      </c>
      <c r="N96" s="3"/>
      <c r="O96" s="19"/>
      <c r="P96" s="17"/>
      <c r="Q96" s="17"/>
    </row>
    <row r="97" customFormat="false" ht="15" hidden="false" customHeight="false" outlineLevel="0" collapsed="false">
      <c r="A97" s="15" t="s">
        <v>993</v>
      </c>
      <c r="B97" s="15" t="s">
        <v>76</v>
      </c>
      <c r="C97" s="15" t="s">
        <v>286</v>
      </c>
      <c r="D97" s="15" t="s">
        <v>666</v>
      </c>
      <c r="E97" s="16" t="n">
        <v>77</v>
      </c>
      <c r="F97" s="15" t="n">
        <v>29</v>
      </c>
      <c r="G97" s="15" t="s">
        <v>5159</v>
      </c>
      <c r="H97" s="15" t="s">
        <v>5254</v>
      </c>
      <c r="I97" s="15" t="n">
        <v>2</v>
      </c>
      <c r="J97" s="15" t="s">
        <v>989</v>
      </c>
      <c r="K97" s="15" t="str">
        <f aca="false">IF(J97="","No","Yes")</f>
        <v>Yes</v>
      </c>
      <c r="L97" s="18" t="str">
        <f aca="false">IF(J97="","",IFERROR(IF(ISNUMBER(SEARCH(A97,INDEX(Pages!$J$2:$J$824,MATCH(J97,Pages!$B$2:$B$824,0)))),"Yes","No"),"Page not found"))</f>
        <v>No</v>
      </c>
      <c r="M97" s="3" t="s">
        <v>5426</v>
      </c>
      <c r="N97" s="3"/>
      <c r="O97" s="19"/>
      <c r="P97" s="17"/>
      <c r="Q97" s="17"/>
    </row>
    <row r="98" customFormat="false" ht="15" hidden="false" customHeight="false" outlineLevel="0" collapsed="false">
      <c r="A98" s="15" t="s">
        <v>909</v>
      </c>
      <c r="B98" s="15" t="s">
        <v>90</v>
      </c>
      <c r="C98" s="15" t="s">
        <v>279</v>
      </c>
      <c r="D98" s="15" t="s">
        <v>657</v>
      </c>
      <c r="E98" s="16" t="n">
        <v>74</v>
      </c>
      <c r="F98" s="15" t="n">
        <v>29</v>
      </c>
      <c r="G98" s="15" t="s">
        <v>5159</v>
      </c>
      <c r="H98" s="15" t="s">
        <v>5425</v>
      </c>
      <c r="I98" s="15" t="n">
        <v>3</v>
      </c>
      <c r="J98" s="15" t="s">
        <v>905</v>
      </c>
      <c r="K98" s="15" t="str">
        <f aca="false">IF(J98="","No","Yes")</f>
        <v>Yes</v>
      </c>
      <c r="L98" s="18" t="str">
        <f aca="false">IF(J98="","",IFERROR(IF(ISNUMBER(SEARCH(A98,INDEX(Pages!$J$2:$J$824,MATCH(J98,Pages!$B$2:$B$824,0)))),"Yes","No"),"Page not found"))</f>
        <v>No</v>
      </c>
      <c r="M98" s="3" t="s">
        <v>5426</v>
      </c>
      <c r="N98" s="3"/>
      <c r="O98" s="19"/>
      <c r="P98" s="17"/>
      <c r="Q98" s="17"/>
    </row>
    <row r="99" customFormat="false" ht="15" hidden="false" customHeight="false" outlineLevel="0" collapsed="false">
      <c r="A99" s="15" t="s">
        <v>1791</v>
      </c>
      <c r="B99" s="15" t="s">
        <v>86</v>
      </c>
      <c r="C99" s="15" t="s">
        <v>356</v>
      </c>
      <c r="D99" s="15" t="s">
        <v>687</v>
      </c>
      <c r="E99" s="16" t="n">
        <v>74</v>
      </c>
      <c r="F99" s="15" t="n">
        <v>32</v>
      </c>
      <c r="G99" s="15" t="s">
        <v>5159</v>
      </c>
      <c r="H99" s="15" t="s">
        <v>5321</v>
      </c>
      <c r="I99" s="15" t="n">
        <v>5</v>
      </c>
      <c r="J99" s="15" t="s">
        <v>1787</v>
      </c>
      <c r="K99" s="15" t="str">
        <f aca="false">IF(J99="","No","Yes")</f>
        <v>Yes</v>
      </c>
      <c r="L99" s="18" t="str">
        <f aca="false">IF(J99="","",IFERROR(IF(ISNUMBER(SEARCH(A99,INDEX(Pages!$J$2:$J$824,MATCH(J99,Pages!$B$2:$B$824,0)))),"Yes","No"),"Page not found"))</f>
        <v>No</v>
      </c>
      <c r="M99" s="3" t="s">
        <v>5426</v>
      </c>
      <c r="N99" s="3"/>
      <c r="O99" s="19"/>
      <c r="P99" s="17"/>
      <c r="Q99" s="17"/>
    </row>
    <row r="100" customFormat="false" ht="15" hidden="false" customHeight="false" outlineLevel="0" collapsed="false">
      <c r="A100" s="15" t="s">
        <v>1845</v>
      </c>
      <c r="B100" s="15" t="s">
        <v>74</v>
      </c>
      <c r="C100" s="15" t="s">
        <v>363</v>
      </c>
      <c r="D100" s="15" t="s">
        <v>657</v>
      </c>
      <c r="E100" s="16" t="n">
        <v>74</v>
      </c>
      <c r="F100" s="15" t="n">
        <v>38</v>
      </c>
      <c r="G100" s="15" t="s">
        <v>5159</v>
      </c>
      <c r="H100" s="15" t="s">
        <v>5440</v>
      </c>
      <c r="I100" s="15" t="n">
        <v>3</v>
      </c>
      <c r="J100" s="15" t="s">
        <v>1841</v>
      </c>
      <c r="K100" s="15" t="str">
        <f aca="false">IF(J100="","No","Yes")</f>
        <v>Yes</v>
      </c>
      <c r="L100" s="18" t="str">
        <f aca="false">IF(J100="","",IFERROR(IF(ISNUMBER(SEARCH(A100,INDEX(Pages!$J$2:$J$824,MATCH(J100,Pages!$B$2:$B$824,0)))),"Yes","No"),"Page not found"))</f>
        <v>No</v>
      </c>
      <c r="M100" s="3" t="s">
        <v>5224</v>
      </c>
      <c r="N100" s="3"/>
      <c r="O100" s="19"/>
      <c r="P100" s="17"/>
      <c r="Q100" s="17"/>
    </row>
    <row r="101" customFormat="false" ht="15" hidden="false" customHeight="false" outlineLevel="0" collapsed="false">
      <c r="A101" s="15" t="s">
        <v>1413</v>
      </c>
      <c r="B101" s="15" t="s">
        <v>74</v>
      </c>
      <c r="C101" s="15" t="s">
        <v>321</v>
      </c>
      <c r="D101" s="15" t="s">
        <v>701</v>
      </c>
      <c r="E101" s="16" t="n">
        <v>73</v>
      </c>
      <c r="F101" s="15" t="n">
        <v>34</v>
      </c>
      <c r="G101" s="15" t="s">
        <v>5159</v>
      </c>
      <c r="H101" s="15" t="s">
        <v>5440</v>
      </c>
      <c r="I101" s="15" t="n">
        <v>2</v>
      </c>
      <c r="J101" s="15" t="s">
        <v>1409</v>
      </c>
      <c r="K101" s="15" t="str">
        <f aca="false">IF(J101="","No","Yes")</f>
        <v>Yes</v>
      </c>
      <c r="L101" s="18" t="str">
        <f aca="false">IF(J101="","",IFERROR(IF(ISNUMBER(SEARCH(A101,INDEX(Pages!$J$2:$J$824,MATCH(J101,Pages!$B$2:$B$824,0)))),"Yes","No"),"Page not found"))</f>
        <v>No</v>
      </c>
      <c r="M101" s="3" t="s">
        <v>5426</v>
      </c>
      <c r="N101" s="3"/>
      <c r="O101" s="19"/>
      <c r="P101" s="17"/>
      <c r="Q101" s="17"/>
    </row>
    <row r="102" customFormat="false" ht="15" hidden="false" customHeight="false" outlineLevel="0" collapsed="false">
      <c r="A102" s="15" t="s">
        <v>897</v>
      </c>
      <c r="B102" s="15" t="s">
        <v>85</v>
      </c>
      <c r="C102" s="15" t="s">
        <v>272</v>
      </c>
      <c r="D102" s="15" t="s">
        <v>736</v>
      </c>
      <c r="E102" s="16" t="n">
        <v>67</v>
      </c>
      <c r="F102" s="15" t="n">
        <v>29</v>
      </c>
      <c r="G102" s="15" t="s">
        <v>5159</v>
      </c>
      <c r="H102" s="15" t="s">
        <v>5321</v>
      </c>
      <c r="I102" s="15" t="n">
        <v>4</v>
      </c>
      <c r="J102" s="15" t="s">
        <v>893</v>
      </c>
      <c r="K102" s="15" t="str">
        <f aca="false">IF(J102="","No","Yes")</f>
        <v>Yes</v>
      </c>
      <c r="L102" s="18" t="str">
        <f aca="false">IF(J102="","",IFERROR(IF(ISNUMBER(SEARCH(A102,INDEX(Pages!$J$2:$J$824,MATCH(J102,Pages!$B$2:$B$824,0)))),"Yes","No"),"Page not found"))</f>
        <v>No</v>
      </c>
      <c r="M102" s="3" t="s">
        <v>5426</v>
      </c>
      <c r="N102" s="3"/>
      <c r="O102" s="19"/>
      <c r="P102" s="17"/>
      <c r="Q102" s="17"/>
    </row>
    <row r="103" customFormat="false" ht="15" hidden="false" customHeight="false" outlineLevel="0" collapsed="false">
      <c r="A103" s="15" t="s">
        <v>987</v>
      </c>
      <c r="B103" s="15" t="s">
        <v>76</v>
      </c>
      <c r="C103" s="15" t="s">
        <v>286</v>
      </c>
      <c r="D103" s="15" t="s">
        <v>657</v>
      </c>
      <c r="E103" s="16" t="n">
        <v>66</v>
      </c>
      <c r="F103" s="15" t="n">
        <v>29</v>
      </c>
      <c r="G103" s="15" t="s">
        <v>5159</v>
      </c>
      <c r="H103" s="15" t="s">
        <v>5254</v>
      </c>
      <c r="I103" s="15" t="n">
        <v>2</v>
      </c>
      <c r="J103" s="15" t="s">
        <v>983</v>
      </c>
      <c r="K103" s="15" t="str">
        <f aca="false">IF(J103="","No","Yes")</f>
        <v>Yes</v>
      </c>
      <c r="L103" s="18" t="str">
        <f aca="false">IF(J103="","",IFERROR(IF(ISNUMBER(SEARCH(A103,INDEX(Pages!$J$2:$J$824,MATCH(J103,Pages!$B$2:$B$824,0)))),"Yes","No"),"Page not found"))</f>
        <v>No</v>
      </c>
      <c r="M103" s="3" t="s">
        <v>5426</v>
      </c>
      <c r="N103" s="3"/>
      <c r="O103" s="19"/>
      <c r="P103" s="17"/>
      <c r="Q103" s="17"/>
    </row>
    <row r="104" customFormat="false" ht="15" hidden="false" customHeight="false" outlineLevel="0" collapsed="false">
      <c r="A104" s="15" t="s">
        <v>1245</v>
      </c>
      <c r="B104" s="15" t="s">
        <v>78</v>
      </c>
      <c r="C104" s="15" t="s">
        <v>307</v>
      </c>
      <c r="D104" s="15" t="s">
        <v>687</v>
      </c>
      <c r="E104" s="16" t="n">
        <v>60</v>
      </c>
      <c r="F104" s="15" t="n">
        <v>39</v>
      </c>
      <c r="G104" s="15" t="s">
        <v>5159</v>
      </c>
      <c r="H104" s="15" t="s">
        <v>5418</v>
      </c>
      <c r="I104" s="15" t="n">
        <v>4</v>
      </c>
      <c r="J104" s="15" t="s">
        <v>1241</v>
      </c>
      <c r="K104" s="15" t="str">
        <f aca="false">IF(J104="","No","Yes")</f>
        <v>Yes</v>
      </c>
      <c r="L104" s="18" t="str">
        <f aca="false">IF(J104="","",IFERROR(IF(ISNUMBER(SEARCH(A104,INDEX(Pages!$J$2:$J$824,MATCH(J104,Pages!$B$2:$B$824,0)))),"Yes","No"),"Page not found"))</f>
        <v>No</v>
      </c>
      <c r="M104" s="3" t="s">
        <v>5426</v>
      </c>
      <c r="N104" s="3"/>
      <c r="O104" s="19"/>
      <c r="P104" s="17"/>
      <c r="Q104" s="17"/>
    </row>
    <row r="105" customFormat="false" ht="15" hidden="false" customHeight="false" outlineLevel="0" collapsed="false">
      <c r="A105" s="15" t="s">
        <v>1395</v>
      </c>
      <c r="B105" s="15" t="s">
        <v>74</v>
      </c>
      <c r="C105" s="15" t="s">
        <v>321</v>
      </c>
      <c r="D105" s="15" t="s">
        <v>680</v>
      </c>
      <c r="E105" s="16" t="n">
        <v>60</v>
      </c>
      <c r="F105" s="15" t="n">
        <v>34</v>
      </c>
      <c r="G105" s="15" t="s">
        <v>5159</v>
      </c>
      <c r="H105" s="15" t="s">
        <v>5440</v>
      </c>
      <c r="I105" s="15" t="n">
        <v>2</v>
      </c>
      <c r="J105" s="15" t="s">
        <v>1391</v>
      </c>
      <c r="K105" s="15" t="str">
        <f aca="false">IF(J105="","No","Yes")</f>
        <v>Yes</v>
      </c>
      <c r="L105" s="18" t="str">
        <f aca="false">IF(J105="","",IFERROR(IF(ISNUMBER(SEARCH(A105,INDEX(Pages!$J$2:$J$824,MATCH(J105,Pages!$B$2:$B$824,0)))),"Yes","No"),"Page not found"))</f>
        <v>No</v>
      </c>
      <c r="M105" s="3" t="s">
        <v>5426</v>
      </c>
      <c r="N105" s="3"/>
      <c r="O105" s="19"/>
      <c r="P105" s="17"/>
      <c r="Q105" s="17"/>
    </row>
    <row r="106" customFormat="false" ht="15" hidden="false" customHeight="false" outlineLevel="0" collapsed="false">
      <c r="A106" s="15" t="s">
        <v>1461</v>
      </c>
      <c r="B106" s="15" t="s">
        <v>75</v>
      </c>
      <c r="C106" s="15" t="s">
        <v>328</v>
      </c>
      <c r="D106" s="15" t="s">
        <v>666</v>
      </c>
      <c r="E106" s="16" t="n">
        <v>60</v>
      </c>
      <c r="F106" s="15" t="n">
        <v>29</v>
      </c>
      <c r="G106" s="15" t="s">
        <v>5159</v>
      </c>
      <c r="H106" s="15" t="s">
        <v>5324</v>
      </c>
      <c r="I106" s="15" t="n">
        <v>3</v>
      </c>
      <c r="J106" s="15" t="s">
        <v>1457</v>
      </c>
      <c r="K106" s="15" t="str">
        <f aca="false">IF(J106="","No","Yes")</f>
        <v>Yes</v>
      </c>
      <c r="L106" s="18" t="str">
        <f aca="false">IF(J106="","",IFERROR(IF(ISNUMBER(SEARCH(A106,INDEX(Pages!$J$2:$J$824,MATCH(J106,Pages!$B$2:$B$824,0)))),"Yes","No"),"Page not found"))</f>
        <v>No</v>
      </c>
      <c r="M106" s="3" t="s">
        <v>5426</v>
      </c>
      <c r="N106" s="3"/>
      <c r="O106" s="19"/>
      <c r="P106" s="17"/>
      <c r="Q106" s="17"/>
    </row>
    <row r="107" customFormat="false" ht="15" hidden="false" customHeight="false" outlineLevel="0" collapsed="false">
      <c r="A107" s="15" t="s">
        <v>1701</v>
      </c>
      <c r="B107" s="15" t="s">
        <v>81</v>
      </c>
      <c r="C107" s="15" t="s">
        <v>349</v>
      </c>
      <c r="D107" s="15" t="s">
        <v>673</v>
      </c>
      <c r="E107" s="16" t="n">
        <v>59</v>
      </c>
      <c r="F107" s="15" t="n">
        <v>24</v>
      </c>
      <c r="G107" s="15" t="s">
        <v>5159</v>
      </c>
      <c r="H107" s="15" t="s">
        <v>5235</v>
      </c>
      <c r="I107" s="15" t="n">
        <v>4</v>
      </c>
      <c r="J107" s="15" t="s">
        <v>1697</v>
      </c>
      <c r="K107" s="15" t="str">
        <f aca="false">IF(J107="","No","Yes")</f>
        <v>Yes</v>
      </c>
      <c r="L107" s="18" t="str">
        <f aca="false">IF(J107="","",IFERROR(IF(ISNUMBER(SEARCH(A107,INDEX(Pages!$J$2:$J$824,MATCH(J107,Pages!$B$2:$B$824,0)))),"Yes","No"),"Page not found"))</f>
        <v>No</v>
      </c>
      <c r="M107" s="3" t="s">
        <v>5426</v>
      </c>
      <c r="N107" s="3" t="s">
        <v>5482</v>
      </c>
      <c r="O107" s="19"/>
      <c r="P107" s="17"/>
      <c r="Q107" s="17"/>
    </row>
    <row r="108" customFormat="false" ht="15" hidden="false" customHeight="false" outlineLevel="0" collapsed="false">
      <c r="A108" s="15" t="s">
        <v>867</v>
      </c>
      <c r="B108" s="15" t="s">
        <v>85</v>
      </c>
      <c r="C108" s="15" t="s">
        <v>272</v>
      </c>
      <c r="D108" s="15" t="s">
        <v>701</v>
      </c>
      <c r="E108" s="16" t="n">
        <v>58</v>
      </c>
      <c r="F108" s="15" t="n">
        <v>33</v>
      </c>
      <c r="G108" s="15" t="s">
        <v>5159</v>
      </c>
      <c r="H108" s="15" t="s">
        <v>5321</v>
      </c>
      <c r="I108" s="15" t="n">
        <v>5</v>
      </c>
      <c r="J108" s="15" t="s">
        <v>863</v>
      </c>
      <c r="K108" s="15" t="str">
        <f aca="false">IF(J108="","No","Yes")</f>
        <v>Yes</v>
      </c>
      <c r="L108" s="18" t="str">
        <f aca="false">IF(J108="","",IFERROR(IF(ISNUMBER(SEARCH(A108,INDEX(Pages!$J$2:$J$824,MATCH(J108,Pages!$B$2:$B$824,0)))),"Yes","No"),"Page not found"))</f>
        <v>No</v>
      </c>
      <c r="M108" s="3" t="s">
        <v>5376</v>
      </c>
      <c r="N108" s="3"/>
      <c r="O108" s="19"/>
      <c r="P108" s="17"/>
      <c r="Q108" s="17"/>
    </row>
    <row r="109" customFormat="false" ht="15" hidden="false" customHeight="false" outlineLevel="0" collapsed="false">
      <c r="A109" s="15" t="s">
        <v>691</v>
      </c>
      <c r="B109" s="15" t="s">
        <v>89</v>
      </c>
      <c r="C109" s="15" t="s">
        <v>258</v>
      </c>
      <c r="D109" s="15" t="s">
        <v>687</v>
      </c>
      <c r="E109" s="16" t="n">
        <v>55</v>
      </c>
      <c r="F109" s="15" t="n">
        <v>34</v>
      </c>
      <c r="G109" s="15" t="s">
        <v>5159</v>
      </c>
      <c r="H109" s="15" t="s">
        <v>5425</v>
      </c>
      <c r="I109" s="15" t="n">
        <v>3</v>
      </c>
      <c r="J109" s="15" t="s">
        <v>686</v>
      </c>
      <c r="K109" s="15" t="str">
        <f aca="false">IF(J109="","No","Yes")</f>
        <v>Yes</v>
      </c>
      <c r="L109" s="18" t="str">
        <f aca="false">IF(J109="","",IFERROR(IF(ISNUMBER(SEARCH(A109,INDEX(Pages!$J$2:$J$824,MATCH(J109,Pages!$B$2:$B$824,0)))),"Yes","No"),"Page not found"))</f>
        <v>No</v>
      </c>
      <c r="M109" s="3" t="s">
        <v>5426</v>
      </c>
      <c r="N109" s="3"/>
      <c r="O109" s="19"/>
      <c r="P109" s="17"/>
      <c r="Q109" s="17"/>
    </row>
    <row r="110" customFormat="false" ht="15" hidden="false" customHeight="false" outlineLevel="0" collapsed="false">
      <c r="A110" s="15" t="s">
        <v>1455</v>
      </c>
      <c r="B110" s="15" t="s">
        <v>75</v>
      </c>
      <c r="C110" s="15" t="s">
        <v>328</v>
      </c>
      <c r="D110" s="15" t="s">
        <v>657</v>
      </c>
      <c r="E110" s="16" t="n">
        <v>52</v>
      </c>
      <c r="F110" s="15" t="n">
        <v>29</v>
      </c>
      <c r="G110" s="15" t="s">
        <v>5159</v>
      </c>
      <c r="H110" s="15" t="s">
        <v>5324</v>
      </c>
      <c r="I110" s="15" t="n">
        <v>3</v>
      </c>
      <c r="J110" s="15" t="s">
        <v>1451</v>
      </c>
      <c r="K110" s="15" t="str">
        <f aca="false">IF(J110="","No","Yes")</f>
        <v>Yes</v>
      </c>
      <c r="L110" s="18" t="str">
        <f aca="false">IF(J110="","",IFERROR(IF(ISNUMBER(SEARCH(A110,INDEX(Pages!$J$2:$J$824,MATCH(J110,Pages!$B$2:$B$824,0)))),"Yes","No"),"Page not found"))</f>
        <v>No</v>
      </c>
      <c r="M110" s="3" t="s">
        <v>5426</v>
      </c>
      <c r="N110" s="3"/>
      <c r="O110" s="19"/>
      <c r="P110" s="17"/>
      <c r="Q110" s="17"/>
    </row>
    <row r="111" customFormat="false" ht="15" hidden="false" customHeight="false" outlineLevel="0" collapsed="false">
      <c r="A111" s="15" t="s">
        <v>1149</v>
      </c>
      <c r="B111" s="15" t="s">
        <v>79</v>
      </c>
      <c r="C111" s="15" t="s">
        <v>300</v>
      </c>
      <c r="D111" s="15" t="s">
        <v>666</v>
      </c>
      <c r="E111" s="16" t="n">
        <v>51</v>
      </c>
      <c r="F111" s="15" t="n">
        <v>33</v>
      </c>
      <c r="G111" s="15" t="s">
        <v>5159</v>
      </c>
      <c r="H111" s="15" t="s">
        <v>5384</v>
      </c>
      <c r="I111" s="15" t="n">
        <v>2</v>
      </c>
      <c r="J111" s="15" t="s">
        <v>1145</v>
      </c>
      <c r="K111" s="15" t="str">
        <f aca="false">IF(J111="","No","Yes")</f>
        <v>Yes</v>
      </c>
      <c r="L111" s="18" t="str">
        <f aca="false">IF(J111="","",IFERROR(IF(ISNUMBER(SEARCH(A111,INDEX(Pages!$J$2:$J$824,MATCH(J111,Pages!$B$2:$B$824,0)))),"Yes","No"),"Page not found"))</f>
        <v>No</v>
      </c>
      <c r="M111" s="3" t="s">
        <v>5224</v>
      </c>
      <c r="N111" s="3"/>
      <c r="O111" s="19"/>
      <c r="P111" s="17"/>
      <c r="Q111" s="17"/>
    </row>
    <row r="112" customFormat="false" ht="15" hidden="false" customHeight="false" outlineLevel="0" collapsed="false">
      <c r="A112" s="15" t="s">
        <v>1755</v>
      </c>
      <c r="B112" s="15" t="s">
        <v>81</v>
      </c>
      <c r="C112" s="15" t="s">
        <v>349</v>
      </c>
      <c r="D112" s="15" t="s">
        <v>736</v>
      </c>
      <c r="E112" s="16" t="n">
        <v>50</v>
      </c>
      <c r="F112" s="15" t="n">
        <v>24</v>
      </c>
      <c r="G112" s="15" t="s">
        <v>5159</v>
      </c>
      <c r="H112" s="15" t="s">
        <v>5235</v>
      </c>
      <c r="I112" s="15" t="n">
        <v>4</v>
      </c>
      <c r="J112" s="15" t="s">
        <v>1751</v>
      </c>
      <c r="K112" s="15" t="str">
        <f aca="false">IF(J112="","No","Yes")</f>
        <v>Yes</v>
      </c>
      <c r="L112" s="18" t="str">
        <f aca="false">IF(J112="","",IFERROR(IF(ISNUMBER(SEARCH(A112,INDEX(Pages!$J$2:$J$824,MATCH(J112,Pages!$B$2:$B$824,0)))),"Yes","No"),"Page not found"))</f>
        <v>No</v>
      </c>
      <c r="M112" s="3" t="s">
        <v>5426</v>
      </c>
      <c r="N112" s="3" t="s">
        <v>5482</v>
      </c>
      <c r="O112" s="19"/>
      <c r="P112" s="17"/>
      <c r="Q112" s="17"/>
    </row>
    <row r="113" customFormat="false" ht="15" hidden="false" customHeight="false" outlineLevel="0" collapsed="false">
      <c r="A113" s="15" t="s">
        <v>849</v>
      </c>
      <c r="B113" s="15" t="s">
        <v>85</v>
      </c>
      <c r="C113" s="15" t="s">
        <v>272</v>
      </c>
      <c r="D113" s="15" t="s">
        <v>680</v>
      </c>
      <c r="E113" s="16" t="n">
        <v>48</v>
      </c>
      <c r="F113" s="15" t="n">
        <v>33</v>
      </c>
      <c r="G113" s="15" t="s">
        <v>5159</v>
      </c>
      <c r="H113" s="15" t="s">
        <v>5321</v>
      </c>
      <c r="I113" s="15" t="n">
        <v>5</v>
      </c>
      <c r="J113" s="15" t="s">
        <v>845</v>
      </c>
      <c r="K113" s="15" t="str">
        <f aca="false">IF(J113="","No","Yes")</f>
        <v>Yes</v>
      </c>
      <c r="L113" s="18" t="str">
        <f aca="false">IF(J113="","",IFERROR(IF(ISNUMBER(SEARCH(A113,INDEX(Pages!$J$2:$J$824,MATCH(J113,Pages!$B$2:$B$824,0)))),"Yes","No"),"Page not found"))</f>
        <v>No</v>
      </c>
      <c r="M113" s="3" t="s">
        <v>5408</v>
      </c>
      <c r="N113" s="3"/>
      <c r="O113" s="19"/>
      <c r="P113" s="17"/>
      <c r="Q113" s="17"/>
    </row>
    <row r="114" customFormat="false" ht="15" hidden="false" customHeight="false" outlineLevel="0" collapsed="false">
      <c r="A114" s="15" t="s">
        <v>1125</v>
      </c>
      <c r="B114" s="15" t="s">
        <v>77</v>
      </c>
      <c r="C114" s="15" t="s">
        <v>293</v>
      </c>
      <c r="D114" s="15" t="s">
        <v>729</v>
      </c>
      <c r="E114" s="16" t="n">
        <v>47</v>
      </c>
      <c r="F114" s="15" t="n">
        <v>32</v>
      </c>
      <c r="G114" s="15" t="s">
        <v>5159</v>
      </c>
      <c r="H114" s="15" t="s">
        <v>5254</v>
      </c>
      <c r="I114" s="15" t="n">
        <v>4</v>
      </c>
      <c r="J114" s="15" t="s">
        <v>1121</v>
      </c>
      <c r="K114" s="15" t="str">
        <f aca="false">IF(J114="","No","Yes")</f>
        <v>Yes</v>
      </c>
      <c r="L114" s="18" t="str">
        <f aca="false">IF(J114="","",IFERROR(IF(ISNUMBER(SEARCH(A114,INDEX(Pages!$J$2:$J$824,MATCH(J114,Pages!$B$2:$B$824,0)))),"Yes","No"),"Page not found"))</f>
        <v>No</v>
      </c>
      <c r="M114" s="3" t="s">
        <v>5426</v>
      </c>
      <c r="N114" s="3" t="s">
        <v>5378</v>
      </c>
      <c r="O114" s="19"/>
      <c r="P114" s="17"/>
      <c r="Q114" s="17"/>
    </row>
    <row r="115" customFormat="false" ht="15" hidden="false" customHeight="false" outlineLevel="0" collapsed="false">
      <c r="A115" s="15" t="s">
        <v>1353</v>
      </c>
      <c r="B115" s="15" t="s">
        <v>84</v>
      </c>
      <c r="C115" s="15" t="s">
        <v>314</v>
      </c>
      <c r="D115" s="15" t="s">
        <v>722</v>
      </c>
      <c r="E115" s="16" t="n">
        <v>46</v>
      </c>
      <c r="F115" s="15" t="n">
        <v>39</v>
      </c>
      <c r="G115" s="15" t="s">
        <v>5159</v>
      </c>
      <c r="H115" s="15" t="s">
        <v>5321</v>
      </c>
      <c r="I115" s="15" t="n">
        <v>4</v>
      </c>
      <c r="J115" s="15" t="s">
        <v>1349</v>
      </c>
      <c r="K115" s="15" t="str">
        <f aca="false">IF(J115="","No","Yes")</f>
        <v>Yes</v>
      </c>
      <c r="L115" s="18" t="str">
        <f aca="false">IF(J115="","",IFERROR(IF(ISNUMBER(SEARCH(A115,INDEX(Pages!$J$2:$J$824,MATCH(J115,Pages!$B$2:$B$824,0)))),"Yes","No"),"Page not found"))</f>
        <v>No</v>
      </c>
      <c r="M115" s="3" t="s">
        <v>5426</v>
      </c>
      <c r="N115" s="3"/>
      <c r="O115" s="19"/>
      <c r="P115" s="17"/>
      <c r="Q115" s="17"/>
    </row>
    <row r="116" customFormat="false" ht="15" hidden="false" customHeight="false" outlineLevel="0" collapsed="false">
      <c r="A116" s="15" t="s">
        <v>1143</v>
      </c>
      <c r="B116" s="15" t="s">
        <v>79</v>
      </c>
      <c r="C116" s="15" t="s">
        <v>300</v>
      </c>
      <c r="D116" s="15" t="s">
        <v>657</v>
      </c>
      <c r="E116" s="16" t="n">
        <v>44</v>
      </c>
      <c r="F116" s="15" t="n">
        <v>33</v>
      </c>
      <c r="G116" s="15" t="s">
        <v>5159</v>
      </c>
      <c r="H116" s="15" t="s">
        <v>5384</v>
      </c>
      <c r="I116" s="15" t="n">
        <v>2</v>
      </c>
      <c r="J116" s="15" t="s">
        <v>1139</v>
      </c>
      <c r="K116" s="15" t="str">
        <f aca="false">IF(J116="","No","Yes")</f>
        <v>Yes</v>
      </c>
      <c r="L116" s="18" t="str">
        <f aca="false">IF(J116="","",IFERROR(IF(ISNUMBER(SEARCH(A116,INDEX(Pages!$J$2:$J$824,MATCH(J116,Pages!$B$2:$B$824,0)))),"Yes","No"),"Page not found"))</f>
        <v>No</v>
      </c>
      <c r="M116" s="3" t="s">
        <v>5224</v>
      </c>
      <c r="N116" s="3"/>
      <c r="O116" s="19"/>
      <c r="P116" s="17"/>
      <c r="Q116" s="17"/>
    </row>
    <row r="117" customFormat="false" ht="15" hidden="false" customHeight="false" outlineLevel="0" collapsed="false">
      <c r="A117" s="15" t="s">
        <v>1725</v>
      </c>
      <c r="B117" s="15" t="s">
        <v>81</v>
      </c>
      <c r="C117" s="15" t="s">
        <v>349</v>
      </c>
      <c r="D117" s="15" t="s">
        <v>701</v>
      </c>
      <c r="E117" s="16" t="n">
        <v>44</v>
      </c>
      <c r="F117" s="15" t="n">
        <v>24</v>
      </c>
      <c r="G117" s="15" t="s">
        <v>5159</v>
      </c>
      <c r="H117" s="15" t="s">
        <v>5235</v>
      </c>
      <c r="I117" s="15" t="n">
        <v>4</v>
      </c>
      <c r="J117" s="15" t="s">
        <v>1721</v>
      </c>
      <c r="K117" s="15" t="str">
        <f aca="false">IF(J117="","No","Yes")</f>
        <v>Yes</v>
      </c>
      <c r="L117" s="18" t="str">
        <f aca="false">IF(J117="","",IFERROR(IF(ISNUMBER(SEARCH(A117,INDEX(Pages!$J$2:$J$824,MATCH(J117,Pages!$B$2:$B$824,0)))),"Yes","No"),"Page not found"))</f>
        <v>No</v>
      </c>
      <c r="M117" s="3" t="s">
        <v>5426</v>
      </c>
      <c r="N117" s="3" t="s">
        <v>5482</v>
      </c>
      <c r="O117" s="19"/>
      <c r="P117" s="17"/>
      <c r="Q117" s="17"/>
    </row>
    <row r="118" customFormat="false" ht="15" hidden="false" customHeight="false" outlineLevel="0" collapsed="false">
      <c r="A118" s="15" t="s">
        <v>969</v>
      </c>
      <c r="B118" s="15" t="s">
        <v>90</v>
      </c>
      <c r="C118" s="15" t="s">
        <v>279</v>
      </c>
      <c r="D118" s="15" t="s">
        <v>729</v>
      </c>
      <c r="E118" s="16" t="n">
        <v>43</v>
      </c>
      <c r="F118" s="15" t="n">
        <v>29</v>
      </c>
      <c r="G118" s="15" t="s">
        <v>5159</v>
      </c>
      <c r="H118" s="15" t="s">
        <v>5425</v>
      </c>
      <c r="I118" s="15" t="n">
        <v>5</v>
      </c>
      <c r="J118" s="15" t="s">
        <v>965</v>
      </c>
      <c r="K118" s="15" t="str">
        <f aca="false">IF(J118="","No","Yes")</f>
        <v>Yes</v>
      </c>
      <c r="L118" s="18" t="str">
        <f aca="false">IF(J118="","",IFERROR(IF(ISNUMBER(SEARCH(A118,INDEX(Pages!$J$2:$J$824,MATCH(J118,Pages!$B$2:$B$824,0)))),"Yes","No"),"Page not found"))</f>
        <v>No</v>
      </c>
      <c r="M118" s="3" t="s">
        <v>5426</v>
      </c>
      <c r="N118" s="3" t="s">
        <v>5378</v>
      </c>
      <c r="O118" s="19"/>
      <c r="P118" s="17"/>
      <c r="Q118" s="17"/>
    </row>
    <row r="119" customFormat="false" ht="15" hidden="false" customHeight="false" outlineLevel="0" collapsed="false">
      <c r="A119" s="15" t="s">
        <v>1905</v>
      </c>
      <c r="B119" s="15" t="s">
        <v>74</v>
      </c>
      <c r="C119" s="15" t="s">
        <v>363</v>
      </c>
      <c r="D119" s="15" t="s">
        <v>729</v>
      </c>
      <c r="E119" s="16" t="n">
        <v>43</v>
      </c>
      <c r="F119" s="15" t="n">
        <v>34</v>
      </c>
      <c r="G119" s="15" t="s">
        <v>5159</v>
      </c>
      <c r="H119" s="15" t="s">
        <v>5440</v>
      </c>
      <c r="I119" s="15" t="n">
        <v>4</v>
      </c>
      <c r="J119" s="15" t="s">
        <v>1901</v>
      </c>
      <c r="K119" s="15" t="str">
        <f aca="false">IF(J119="","No","Yes")</f>
        <v>Yes</v>
      </c>
      <c r="L119" s="18" t="str">
        <f aca="false">IF(J119="","",IFERROR(IF(ISNUMBER(SEARCH(A119,INDEX(Pages!$J$2:$J$824,MATCH(J119,Pages!$B$2:$B$824,0)))),"Yes","No"),"Page not found"))</f>
        <v>No</v>
      </c>
      <c r="M119" s="3" t="s">
        <v>5426</v>
      </c>
      <c r="N119" s="3" t="s">
        <v>5378</v>
      </c>
      <c r="O119" s="19"/>
      <c r="P119" s="17"/>
      <c r="Q119" s="17"/>
    </row>
    <row r="120" customFormat="false" ht="15" hidden="false" customHeight="false" outlineLevel="0" collapsed="false">
      <c r="A120" s="15" t="s">
        <v>1401</v>
      </c>
      <c r="B120" s="15" t="s">
        <v>74</v>
      </c>
      <c r="C120" s="15" t="s">
        <v>321</v>
      </c>
      <c r="D120" s="15" t="s">
        <v>687</v>
      </c>
      <c r="E120" s="16" t="n">
        <v>41</v>
      </c>
      <c r="F120" s="15" t="n">
        <v>34</v>
      </c>
      <c r="G120" s="15" t="s">
        <v>5159</v>
      </c>
      <c r="H120" s="15" t="s">
        <v>5440</v>
      </c>
      <c r="I120" s="15" t="n">
        <v>3</v>
      </c>
      <c r="J120" s="15" t="s">
        <v>1397</v>
      </c>
      <c r="K120" s="15" t="str">
        <f aca="false">IF(J120="","No","Yes")</f>
        <v>Yes</v>
      </c>
      <c r="L120" s="18" t="str">
        <f aca="false">IF(J120="","",IFERROR(IF(ISNUMBER(SEARCH(A120,INDEX(Pages!$J$2:$J$824,MATCH(J120,Pages!$B$2:$B$824,0)))),"Yes","No"),"Page not found"))</f>
        <v>No</v>
      </c>
      <c r="M120" s="3" t="s">
        <v>5426</v>
      </c>
      <c r="N120" s="3"/>
      <c r="O120" s="19"/>
      <c r="P120" s="17"/>
      <c r="Q120" s="17"/>
    </row>
    <row r="121" customFormat="false" ht="15" hidden="false" customHeight="false" outlineLevel="0" collapsed="false">
      <c r="A121" s="15" t="s">
        <v>1047</v>
      </c>
      <c r="B121" s="15" t="s">
        <v>76</v>
      </c>
      <c r="C121" s="15" t="s">
        <v>286</v>
      </c>
      <c r="D121" s="15" t="s">
        <v>729</v>
      </c>
      <c r="E121" s="16" t="n">
        <v>39</v>
      </c>
      <c r="F121" s="15" t="n">
        <v>29</v>
      </c>
      <c r="G121" s="15" t="s">
        <v>5159</v>
      </c>
      <c r="H121" s="15" t="s">
        <v>5254</v>
      </c>
      <c r="I121" s="15" t="n">
        <v>4</v>
      </c>
      <c r="J121" s="15" t="s">
        <v>1043</v>
      </c>
      <c r="K121" s="15" t="str">
        <f aca="false">IF(J121="","No","Yes")</f>
        <v>Yes</v>
      </c>
      <c r="L121" s="18" t="str">
        <f aca="false">IF(J121="","",IFERROR(IF(ISNUMBER(SEARCH(A121,INDEX(Pages!$J$2:$J$824,MATCH(J121,Pages!$B$2:$B$824,0)))),"Yes","No"),"Page not found"))</f>
        <v>No</v>
      </c>
      <c r="M121" s="3" t="s">
        <v>5426</v>
      </c>
      <c r="N121" s="3" t="s">
        <v>5378</v>
      </c>
      <c r="O121" s="19"/>
      <c r="P121" s="17"/>
      <c r="Q121" s="17"/>
    </row>
    <row r="122" customFormat="false" ht="15" hidden="false" customHeight="false" outlineLevel="0" collapsed="false">
      <c r="A122" s="15" t="s">
        <v>1707</v>
      </c>
      <c r="B122" s="15" t="s">
        <v>81</v>
      </c>
      <c r="C122" s="15" t="s">
        <v>349</v>
      </c>
      <c r="D122" s="15" t="s">
        <v>680</v>
      </c>
      <c r="E122" s="16" t="n">
        <v>36</v>
      </c>
      <c r="F122" s="15" t="n">
        <v>24</v>
      </c>
      <c r="G122" s="15" t="s">
        <v>5159</v>
      </c>
      <c r="H122" s="15" t="s">
        <v>5235</v>
      </c>
      <c r="I122" s="15" t="n">
        <v>4</v>
      </c>
      <c r="J122" s="15" t="s">
        <v>1703</v>
      </c>
      <c r="K122" s="15" t="str">
        <f aca="false">IF(J122="","No","Yes")</f>
        <v>Yes</v>
      </c>
      <c r="L122" s="18" t="str">
        <f aca="false">IF(J122="","",IFERROR(IF(ISNUMBER(SEARCH(A122,INDEX(Pages!$J$2:$J$824,MATCH(J122,Pages!$B$2:$B$824,0)))),"Yes","No"),"Page not found"))</f>
        <v>No</v>
      </c>
      <c r="M122" s="3" t="s">
        <v>5426</v>
      </c>
      <c r="N122" s="3" t="s">
        <v>5482</v>
      </c>
      <c r="O122" s="19"/>
      <c r="P122" s="17"/>
      <c r="Q122" s="17"/>
    </row>
    <row r="123" customFormat="false" ht="15" hidden="false" customHeight="false" outlineLevel="0" collapsed="false">
      <c r="A123" s="15" t="s">
        <v>855</v>
      </c>
      <c r="B123" s="15" t="s">
        <v>85</v>
      </c>
      <c r="C123" s="15" t="s">
        <v>272</v>
      </c>
      <c r="D123" s="15" t="s">
        <v>687</v>
      </c>
      <c r="E123" s="16" t="n">
        <v>33</v>
      </c>
      <c r="F123" s="15" t="n">
        <v>29</v>
      </c>
      <c r="G123" s="15" t="s">
        <v>5159</v>
      </c>
      <c r="H123" s="15" t="s">
        <v>5321</v>
      </c>
      <c r="I123" s="15" t="n">
        <v>5</v>
      </c>
      <c r="J123" s="15" t="s">
        <v>851</v>
      </c>
      <c r="K123" s="15" t="str">
        <f aca="false">IF(J123="","No","Yes")</f>
        <v>Yes</v>
      </c>
      <c r="L123" s="18" t="str">
        <f aca="false">IF(J123="","",IFERROR(IF(ISNUMBER(SEARCH(A123,INDEX(Pages!$J$2:$J$824,MATCH(J123,Pages!$B$2:$B$824,0)))),"Yes","No"),"Page not found"))</f>
        <v>No</v>
      </c>
      <c r="M123" s="3" t="s">
        <v>5426</v>
      </c>
      <c r="N123" s="3"/>
      <c r="O123" s="19"/>
      <c r="P123" s="17"/>
      <c r="Q123" s="17"/>
    </row>
    <row r="124" customFormat="false" ht="15" hidden="false" customHeight="false" outlineLevel="0" collapsed="false">
      <c r="A124" s="15" t="s">
        <v>1515</v>
      </c>
      <c r="B124" s="15" t="s">
        <v>75</v>
      </c>
      <c r="C124" s="15" t="s">
        <v>328</v>
      </c>
      <c r="D124" s="15" t="s">
        <v>729</v>
      </c>
      <c r="E124" s="16" t="n">
        <v>30</v>
      </c>
      <c r="F124" s="15" t="n">
        <v>29</v>
      </c>
      <c r="G124" s="15" t="s">
        <v>5159</v>
      </c>
      <c r="H124" s="15" t="s">
        <v>5324</v>
      </c>
      <c r="I124" s="15" t="n">
        <v>5</v>
      </c>
      <c r="J124" s="15" t="s">
        <v>1511</v>
      </c>
      <c r="K124" s="15" t="str">
        <f aca="false">IF(J124="","No","Yes")</f>
        <v>Yes</v>
      </c>
      <c r="L124" s="18" t="str">
        <f aca="false">IF(J124="","",IFERROR(IF(ISNUMBER(SEARCH(A124,INDEX(Pages!$J$2:$J$824,MATCH(J124,Pages!$B$2:$B$824,0)))),"Yes","No"),"Page not found"))</f>
        <v>No</v>
      </c>
      <c r="M124" s="3" t="s">
        <v>5426</v>
      </c>
      <c r="N124" s="3" t="s">
        <v>5378</v>
      </c>
      <c r="O124" s="19"/>
      <c r="P124" s="17"/>
      <c r="Q124" s="17"/>
    </row>
    <row r="125" customFormat="false" ht="15" hidden="false" customHeight="false" outlineLevel="0" collapsed="false">
      <c r="A125" s="15" t="s">
        <v>1077</v>
      </c>
      <c r="B125" s="15" t="s">
        <v>77</v>
      </c>
      <c r="C125" s="15" t="s">
        <v>293</v>
      </c>
      <c r="D125" s="15" t="s">
        <v>673</v>
      </c>
      <c r="E125" s="16" t="n">
        <v>29</v>
      </c>
      <c r="F125" s="15" t="n">
        <v>22</v>
      </c>
      <c r="G125" s="15" t="s">
        <v>5159</v>
      </c>
      <c r="H125" s="15" t="s">
        <v>5254</v>
      </c>
      <c r="I125" s="15" t="n">
        <v>3</v>
      </c>
      <c r="J125" s="15" t="s">
        <v>1073</v>
      </c>
      <c r="K125" s="15" t="str">
        <f aca="false">IF(J125="","No","Yes")</f>
        <v>Yes</v>
      </c>
      <c r="L125" s="18" t="str">
        <f aca="false">IF(J125="","",IFERROR(IF(ISNUMBER(SEARCH(A125,INDEX(Pages!$J$2:$J$824,MATCH(J125,Pages!$B$2:$B$824,0)))),"Yes","No"),"Page not found"))</f>
        <v>No</v>
      </c>
      <c r="M125" s="3" t="s">
        <v>5426</v>
      </c>
      <c r="N125" s="3"/>
      <c r="O125" s="19"/>
      <c r="P125" s="17"/>
      <c r="Q125" s="17"/>
    </row>
    <row r="126" customFormat="false" ht="15" hidden="false" customHeight="false" outlineLevel="0" collapsed="false">
      <c r="A126" s="15" t="s">
        <v>921</v>
      </c>
      <c r="B126" s="15" t="s">
        <v>90</v>
      </c>
      <c r="C126" s="15" t="s">
        <v>279</v>
      </c>
      <c r="D126" s="15" t="s">
        <v>673</v>
      </c>
      <c r="E126" s="16" t="n">
        <v>26</v>
      </c>
      <c r="F126" s="15" t="n">
        <v>19</v>
      </c>
      <c r="G126" s="15" t="s">
        <v>5159</v>
      </c>
      <c r="H126" s="15" t="s">
        <v>5425</v>
      </c>
      <c r="I126" s="15" t="n">
        <v>3</v>
      </c>
      <c r="J126" s="15" t="s">
        <v>917</v>
      </c>
      <c r="K126" s="15" t="str">
        <f aca="false">IF(J126="","No","Yes")</f>
        <v>Yes</v>
      </c>
      <c r="L126" s="18" t="str">
        <f aca="false">IF(J126="","",IFERROR(IF(ISNUMBER(SEARCH(A126,INDEX(Pages!$J$2:$J$824,MATCH(J126,Pages!$B$2:$B$824,0)))),"Yes","No"),"Page not found"))</f>
        <v>No</v>
      </c>
      <c r="M126" s="3" t="s">
        <v>5426</v>
      </c>
      <c r="N126" s="3"/>
      <c r="O126" s="19"/>
      <c r="P126" s="17"/>
      <c r="Q126" s="17"/>
    </row>
    <row r="127" customFormat="false" ht="15" hidden="false" customHeight="false" outlineLevel="0" collapsed="false">
      <c r="A127" s="15" t="s">
        <v>1203</v>
      </c>
      <c r="B127" s="15" t="s">
        <v>79</v>
      </c>
      <c r="C127" s="15" t="s">
        <v>300</v>
      </c>
      <c r="D127" s="15" t="s">
        <v>729</v>
      </c>
      <c r="E127" s="16" t="n">
        <v>26</v>
      </c>
      <c r="F127" s="15" t="n">
        <v>29</v>
      </c>
      <c r="G127" s="15" t="s">
        <v>5159</v>
      </c>
      <c r="H127" s="15" t="s">
        <v>5384</v>
      </c>
      <c r="I127" s="15" t="n">
        <v>4</v>
      </c>
      <c r="J127" s="15" t="s">
        <v>1199</v>
      </c>
      <c r="K127" s="15" t="str">
        <f aca="false">IF(J127="","No","Yes")</f>
        <v>Yes</v>
      </c>
      <c r="L127" s="18" t="str">
        <f aca="false">IF(J127="","",IFERROR(IF(ISNUMBER(SEARCH(A127,INDEX(Pages!$J$2:$J$824,MATCH(J127,Pages!$B$2:$B$824,0)))),"Yes","No"),"Page not found"))</f>
        <v>No</v>
      </c>
      <c r="M127" s="3" t="s">
        <v>5426</v>
      </c>
      <c r="N127" s="3" t="s">
        <v>5378</v>
      </c>
      <c r="O127" s="19"/>
      <c r="P127" s="17"/>
      <c r="Q127" s="17"/>
    </row>
    <row r="128" customFormat="false" ht="15" hidden="false" customHeight="false" outlineLevel="0" collapsed="false">
      <c r="A128" s="15" t="s">
        <v>1857</v>
      </c>
      <c r="B128" s="15" t="s">
        <v>74</v>
      </c>
      <c r="C128" s="15" t="s">
        <v>363</v>
      </c>
      <c r="D128" s="15" t="s">
        <v>673</v>
      </c>
      <c r="E128" s="16" t="n">
        <v>26</v>
      </c>
      <c r="F128" s="15" t="n">
        <v>28</v>
      </c>
      <c r="G128" s="15" t="s">
        <v>5159</v>
      </c>
      <c r="H128" s="15" t="s">
        <v>5440</v>
      </c>
      <c r="I128" s="15" t="n">
        <v>4</v>
      </c>
      <c r="J128" s="15" t="s">
        <v>1853</v>
      </c>
      <c r="K128" s="15" t="str">
        <f aca="false">IF(J128="","No","Yes")</f>
        <v>Yes</v>
      </c>
      <c r="L128" s="18" t="str">
        <f aca="false">IF(J128="","",IFERROR(IF(ISNUMBER(SEARCH(A128,INDEX(Pages!$J$2:$J$824,MATCH(J128,Pages!$B$2:$B$824,0)))),"Yes","No"),"Page not found"))</f>
        <v>No</v>
      </c>
      <c r="M128" s="3" t="s">
        <v>5224</v>
      </c>
      <c r="N128" s="3"/>
      <c r="O128" s="19"/>
      <c r="P128" s="17"/>
      <c r="Q128" s="17"/>
    </row>
    <row r="129" customFormat="false" ht="15" hidden="false" customHeight="false" outlineLevel="0" collapsed="false">
      <c r="A129" s="15" t="s">
        <v>1131</v>
      </c>
      <c r="B129" s="15" t="s">
        <v>77</v>
      </c>
      <c r="C129" s="15" t="s">
        <v>293</v>
      </c>
      <c r="D129" s="15" t="s">
        <v>736</v>
      </c>
      <c r="E129" s="16" t="n">
        <v>25</v>
      </c>
      <c r="F129" s="15" t="n">
        <v>22</v>
      </c>
      <c r="G129" s="15" t="s">
        <v>5159</v>
      </c>
      <c r="H129" s="15" t="s">
        <v>5254</v>
      </c>
      <c r="I129" s="15" t="n">
        <v>3</v>
      </c>
      <c r="J129" s="15" t="s">
        <v>1127</v>
      </c>
      <c r="K129" s="15" t="str">
        <f aca="false">IF(J129="","No","Yes")</f>
        <v>Yes</v>
      </c>
      <c r="L129" s="18" t="str">
        <f aca="false">IF(J129="","",IFERROR(IF(ISNUMBER(SEARCH(A129,INDEX(Pages!$J$2:$J$824,MATCH(J129,Pages!$B$2:$B$824,0)))),"Yes","No"),"Page not found"))</f>
        <v>No</v>
      </c>
      <c r="M129" s="3" t="s">
        <v>5426</v>
      </c>
      <c r="N129" s="3"/>
      <c r="O129" s="19"/>
      <c r="P129" s="17"/>
      <c r="Q129" s="17"/>
    </row>
    <row r="130" customFormat="false" ht="15" hidden="false" customHeight="false" outlineLevel="0" collapsed="false">
      <c r="A130" s="15" t="s">
        <v>1713</v>
      </c>
      <c r="B130" s="15" t="s">
        <v>81</v>
      </c>
      <c r="C130" s="15" t="s">
        <v>349</v>
      </c>
      <c r="D130" s="15" t="s">
        <v>687</v>
      </c>
      <c r="E130" s="16" t="n">
        <v>25</v>
      </c>
      <c r="F130" s="15" t="n">
        <v>24</v>
      </c>
      <c r="G130" s="15" t="s">
        <v>5159</v>
      </c>
      <c r="H130" s="15" t="s">
        <v>5235</v>
      </c>
      <c r="I130" s="15" t="n">
        <v>5</v>
      </c>
      <c r="J130" s="15" t="s">
        <v>1709</v>
      </c>
      <c r="K130" s="15" t="str">
        <f aca="false">IF(J130="","No","Yes")</f>
        <v>Yes</v>
      </c>
      <c r="L130" s="18" t="str">
        <f aca="false">IF(J130="","",IFERROR(IF(ISNUMBER(SEARCH(A130,INDEX(Pages!$J$2:$J$824,MATCH(J130,Pages!$B$2:$B$824,0)))),"Yes","No"),"Page not found"))</f>
        <v>No</v>
      </c>
      <c r="M130" s="3" t="s">
        <v>5426</v>
      </c>
      <c r="N130" s="3" t="s">
        <v>5482</v>
      </c>
      <c r="O130" s="19"/>
      <c r="P130" s="17"/>
      <c r="Q130" s="17"/>
    </row>
    <row r="131" customFormat="false" ht="15" hidden="false" customHeight="false" outlineLevel="0" collapsed="false">
      <c r="A131" s="15" t="s">
        <v>1821</v>
      </c>
      <c r="B131" s="15" t="s">
        <v>86</v>
      </c>
      <c r="C131" s="15" t="s">
        <v>356</v>
      </c>
      <c r="D131" s="15" t="s">
        <v>722</v>
      </c>
      <c r="E131" s="16" t="n">
        <v>25</v>
      </c>
      <c r="F131" s="15" t="n">
        <v>32</v>
      </c>
      <c r="G131" s="15" t="s">
        <v>5159</v>
      </c>
      <c r="H131" s="15" t="s">
        <v>5321</v>
      </c>
      <c r="I131" s="15" t="n">
        <v>5</v>
      </c>
      <c r="J131" s="15" t="s">
        <v>1817</v>
      </c>
      <c r="K131" s="15" t="str">
        <f aca="false">IF(J131="","No","Yes")</f>
        <v>Yes</v>
      </c>
      <c r="L131" s="18" t="str">
        <f aca="false">IF(J131="","",IFERROR(IF(ISNUMBER(SEARCH(A131,INDEX(Pages!$J$2:$J$824,MATCH(J131,Pages!$B$2:$B$824,0)))),"Yes","No"),"Page not found"))</f>
        <v>No</v>
      </c>
      <c r="M131" s="3" t="s">
        <v>5426</v>
      </c>
      <c r="N131" s="3"/>
      <c r="O131" s="19"/>
      <c r="P131" s="17"/>
      <c r="Q131" s="17"/>
    </row>
    <row r="132" customFormat="false" ht="15" hidden="false" customHeight="false" outlineLevel="0" collapsed="false">
      <c r="A132" s="15" t="s">
        <v>999</v>
      </c>
      <c r="B132" s="15" t="s">
        <v>76</v>
      </c>
      <c r="C132" s="15" t="s">
        <v>286</v>
      </c>
      <c r="D132" s="15" t="s">
        <v>673</v>
      </c>
      <c r="E132" s="16" t="n">
        <v>23</v>
      </c>
      <c r="F132" s="15" t="n">
        <v>19</v>
      </c>
      <c r="G132" s="15" t="s">
        <v>5159</v>
      </c>
      <c r="H132" s="15" t="s">
        <v>5254</v>
      </c>
      <c r="I132" s="15" t="n">
        <v>3</v>
      </c>
      <c r="J132" s="15" t="s">
        <v>995</v>
      </c>
      <c r="K132" s="15" t="str">
        <f aca="false">IF(J132="","No","Yes")</f>
        <v>Yes</v>
      </c>
      <c r="L132" s="18" t="str">
        <f aca="false">IF(J132="","",IFERROR(IF(ISNUMBER(SEARCH(A132,INDEX(Pages!$J$2:$J$824,MATCH(J132,Pages!$B$2:$B$824,0)))),"Yes","No"),"Page not found"))</f>
        <v>No</v>
      </c>
      <c r="M132" s="3" t="s">
        <v>5426</v>
      </c>
      <c r="N132" s="3"/>
      <c r="O132" s="19"/>
      <c r="P132" s="17"/>
      <c r="Q132" s="17"/>
    </row>
    <row r="133" customFormat="false" ht="15" hidden="false" customHeight="false" outlineLevel="0" collapsed="false">
      <c r="A133" s="15" t="s">
        <v>975</v>
      </c>
      <c r="B133" s="15" t="s">
        <v>90</v>
      </c>
      <c r="C133" s="15" t="s">
        <v>279</v>
      </c>
      <c r="D133" s="15" t="s">
        <v>736</v>
      </c>
      <c r="E133" s="16" t="n">
        <v>22</v>
      </c>
      <c r="F133" s="15" t="n">
        <v>19</v>
      </c>
      <c r="G133" s="15" t="s">
        <v>5159</v>
      </c>
      <c r="H133" s="15" t="s">
        <v>5425</v>
      </c>
      <c r="I133" s="15" t="n">
        <v>3</v>
      </c>
      <c r="J133" s="15" t="s">
        <v>971</v>
      </c>
      <c r="K133" s="15" t="str">
        <f aca="false">IF(J133="","No","Yes")</f>
        <v>Yes</v>
      </c>
      <c r="L133" s="18" t="str">
        <f aca="false">IF(J133="","",IFERROR(IF(ISNUMBER(SEARCH(A133,INDEX(Pages!$J$2:$J$824,MATCH(J133,Pages!$B$2:$B$824,0)))),"Yes","No"),"Page not found"))</f>
        <v>No</v>
      </c>
      <c r="M133" s="3" t="s">
        <v>5426</v>
      </c>
      <c r="N133" s="3"/>
      <c r="O133" s="19"/>
      <c r="P133" s="17"/>
      <c r="Q133" s="17"/>
    </row>
    <row r="134" customFormat="false" ht="15" hidden="false" customHeight="false" outlineLevel="0" collapsed="false">
      <c r="A134" s="15" t="s">
        <v>1911</v>
      </c>
      <c r="B134" s="15" t="s">
        <v>74</v>
      </c>
      <c r="C134" s="15" t="s">
        <v>363</v>
      </c>
      <c r="D134" s="15" t="s">
        <v>736</v>
      </c>
      <c r="E134" s="16" t="n">
        <v>22</v>
      </c>
      <c r="F134" s="15" t="n">
        <v>24</v>
      </c>
      <c r="G134" s="15" t="s">
        <v>5159</v>
      </c>
      <c r="H134" s="15" t="s">
        <v>5440</v>
      </c>
      <c r="I134" s="15" t="n">
        <v>3</v>
      </c>
      <c r="J134" s="15" t="s">
        <v>1907</v>
      </c>
      <c r="K134" s="15" t="str">
        <f aca="false">IF(J134="","No","Yes")</f>
        <v>Yes</v>
      </c>
      <c r="L134" s="18" t="str">
        <f aca="false">IF(J134="","",IFERROR(IF(ISNUMBER(SEARCH(A134,INDEX(Pages!$J$2:$J$824,MATCH(J134,Pages!$B$2:$B$824,0)))),"Yes","No"),"Page not found"))</f>
        <v>No</v>
      </c>
      <c r="M134" s="3" t="s">
        <v>5426</v>
      </c>
      <c r="N134" s="3"/>
      <c r="O134" s="19"/>
      <c r="P134" s="17"/>
      <c r="Q134" s="17"/>
    </row>
    <row r="135" customFormat="false" ht="15" hidden="false" customHeight="false" outlineLevel="0" collapsed="false">
      <c r="A135" s="15" t="s">
        <v>1101</v>
      </c>
      <c r="B135" s="15" t="s">
        <v>77</v>
      </c>
      <c r="C135" s="15" t="s">
        <v>293</v>
      </c>
      <c r="D135" s="15" t="s">
        <v>701</v>
      </c>
      <c r="E135" s="16" t="n">
        <v>21</v>
      </c>
      <c r="F135" s="15" t="n">
        <v>22</v>
      </c>
      <c r="G135" s="15" t="s">
        <v>5159</v>
      </c>
      <c r="H135" s="15" t="s">
        <v>5254</v>
      </c>
      <c r="I135" s="15" t="n">
        <v>3</v>
      </c>
      <c r="J135" s="15" t="s">
        <v>1097</v>
      </c>
      <c r="K135" s="15" t="str">
        <f aca="false">IF(J135="","No","Yes")</f>
        <v>Yes</v>
      </c>
      <c r="L135" s="18" t="str">
        <f aca="false">IF(J135="","",IFERROR(IF(ISNUMBER(SEARCH(A135,INDEX(Pages!$J$2:$J$824,MATCH(J135,Pages!$B$2:$B$824,0)))),"Yes","No"),"Page not found"))</f>
        <v>No</v>
      </c>
      <c r="M135" s="3" t="s">
        <v>5426</v>
      </c>
      <c r="N135" s="3"/>
      <c r="O135" s="19"/>
      <c r="P135" s="17"/>
      <c r="Q135" s="17"/>
    </row>
    <row r="136" customFormat="false" ht="15" hidden="false" customHeight="false" outlineLevel="0" collapsed="false">
      <c r="A136" s="15" t="s">
        <v>1053</v>
      </c>
      <c r="B136" s="15" t="s">
        <v>76</v>
      </c>
      <c r="C136" s="15" t="s">
        <v>286</v>
      </c>
      <c r="D136" s="15" t="s">
        <v>736</v>
      </c>
      <c r="E136" s="16" t="n">
        <v>20</v>
      </c>
      <c r="F136" s="15" t="n">
        <v>19</v>
      </c>
      <c r="G136" s="15" t="s">
        <v>5159</v>
      </c>
      <c r="H136" s="15" t="s">
        <v>5254</v>
      </c>
      <c r="I136" s="15" t="n">
        <v>3</v>
      </c>
      <c r="J136" s="15" t="s">
        <v>1049</v>
      </c>
      <c r="K136" s="15" t="str">
        <f aca="false">IF(J136="","No","Yes")</f>
        <v>Yes</v>
      </c>
      <c r="L136" s="18" t="str">
        <f aca="false">IF(J136="","",IFERROR(IF(ISNUMBER(SEARCH(A136,INDEX(Pages!$J$2:$J$824,MATCH(J136,Pages!$B$2:$B$824,0)))),"Yes","No"),"Page not found"))</f>
        <v>No</v>
      </c>
      <c r="M136" s="3" t="s">
        <v>5426</v>
      </c>
      <c r="N136" s="3"/>
      <c r="O136" s="19"/>
      <c r="P136" s="17"/>
      <c r="Q136" s="17"/>
    </row>
    <row r="137" customFormat="false" ht="15" hidden="false" customHeight="false" outlineLevel="0" collapsed="false">
      <c r="A137" s="15" t="s">
        <v>1275</v>
      </c>
      <c r="B137" s="15" t="s">
        <v>78</v>
      </c>
      <c r="C137" s="15" t="s">
        <v>307</v>
      </c>
      <c r="D137" s="15" t="s">
        <v>722</v>
      </c>
      <c r="E137" s="16" t="n">
        <v>20</v>
      </c>
      <c r="F137" s="15" t="n">
        <v>39</v>
      </c>
      <c r="G137" s="15" t="s">
        <v>5159</v>
      </c>
      <c r="H137" s="15" t="s">
        <v>5418</v>
      </c>
      <c r="I137" s="15" t="n">
        <v>5</v>
      </c>
      <c r="J137" s="15" t="s">
        <v>1271</v>
      </c>
      <c r="K137" s="15" t="str">
        <f aca="false">IF(J137="","No","Yes")</f>
        <v>Yes</v>
      </c>
      <c r="L137" s="18" t="str">
        <f aca="false">IF(J137="","",IFERROR(IF(ISNUMBER(SEARCH(A137,INDEX(Pages!$J$2:$J$824,MATCH(J137,Pages!$B$2:$B$824,0)))),"Yes","No"),"Page not found"))</f>
        <v>No</v>
      </c>
      <c r="M137" s="3" t="s">
        <v>5426</v>
      </c>
      <c r="N137" s="3"/>
      <c r="O137" s="19"/>
      <c r="P137" s="17"/>
      <c r="Q137" s="17"/>
    </row>
  </sheetData>
  <autoFilter ref="A1:Q1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R4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6"/>
    <col collapsed="false" customWidth="true" hidden="false" outlineLevel="0" max="5" min="5" style="0" width="15"/>
    <col collapsed="false" customWidth="true" hidden="false" outlineLevel="0" max="6" min="6" style="0" width="12"/>
    <col collapsed="false" customWidth="true" hidden="false" outlineLevel="0" max="7" min="7" style="0" width="10"/>
    <col collapsed="false" customWidth="true" hidden="false" outlineLevel="0" max="8" min="8" style="0" width="13"/>
    <col collapsed="false" customWidth="true" hidden="false" outlineLevel="0" max="9" min="9" style="0" width="18"/>
    <col collapsed="false" customWidth="true" hidden="false" outlineLevel="0" max="10" min="10" style="0" width="9"/>
    <col collapsed="false" customWidth="true" hidden="false" outlineLevel="0" max="11" min="11" style="0" width="50"/>
    <col collapsed="false" customWidth="true" hidden="false" outlineLevel="0" max="12" min="12" style="0" width="9"/>
    <col collapsed="false" customWidth="true" hidden="false" outlineLevel="0" max="13" min="13" style="0" width="11"/>
    <col collapsed="false" customWidth="true" hidden="false" outlineLevel="0" max="14" min="14" style="0" width="40"/>
    <col collapsed="false" customWidth="true" hidden="false" outlineLevel="0" max="15" min="15" style="0" width="60"/>
    <col collapsed="false" customWidth="true" hidden="false" outlineLevel="0" max="16" min="16" style="0" width="14"/>
    <col collapsed="false" customWidth="true" hidden="false" outlineLevel="0" max="17" min="17" style="0" width="11"/>
    <col collapsed="false" customWidth="true" hidden="false" outlineLevel="0" max="18" min="18" style="0" width="12"/>
  </cols>
  <sheetData>
    <row r="1" customFormat="false" ht="31.5" hidden="false" customHeight="true" outlineLevel="0" collapsed="false">
      <c r="A1" s="9" t="s">
        <v>5149</v>
      </c>
      <c r="B1" s="9" t="s">
        <v>63</v>
      </c>
      <c r="C1" s="9" t="s">
        <v>101</v>
      </c>
      <c r="D1" s="9" t="s">
        <v>103</v>
      </c>
      <c r="E1" s="9" t="s">
        <v>104</v>
      </c>
      <c r="F1" s="9" t="s">
        <v>5151</v>
      </c>
      <c r="G1" s="9" t="s">
        <v>5152</v>
      </c>
      <c r="H1" s="9" t="s">
        <v>5153</v>
      </c>
      <c r="I1" s="9" t="s">
        <v>5154</v>
      </c>
      <c r="J1" s="9" t="s">
        <v>5155</v>
      </c>
      <c r="K1" s="9" t="s">
        <v>5500</v>
      </c>
      <c r="L1" s="9" t="s">
        <v>5501</v>
      </c>
      <c r="M1" s="9" t="s">
        <v>5502</v>
      </c>
      <c r="N1" s="9" t="s">
        <v>5158</v>
      </c>
      <c r="O1" s="9" t="s">
        <v>5503</v>
      </c>
      <c r="P1" s="9" t="s">
        <v>5504</v>
      </c>
      <c r="Q1" s="9" t="s">
        <v>5505</v>
      </c>
      <c r="R1" s="9" t="s">
        <v>5506</v>
      </c>
    </row>
    <row r="2" customFormat="false" ht="23.85" hidden="false" customHeight="false" outlineLevel="0" collapsed="false">
      <c r="A2" s="15" t="s">
        <v>2745</v>
      </c>
      <c r="B2" s="15" t="s">
        <v>82</v>
      </c>
      <c r="C2" s="15" t="s">
        <v>265</v>
      </c>
      <c r="D2" s="15" t="s">
        <v>715</v>
      </c>
      <c r="E2" s="15" t="s">
        <v>2379</v>
      </c>
      <c r="F2" s="16" t="n">
        <v>6600</v>
      </c>
      <c r="G2" s="15" t="n">
        <v>84</v>
      </c>
      <c r="H2" s="15" t="s">
        <v>5227</v>
      </c>
      <c r="I2" s="15" t="s">
        <v>5228</v>
      </c>
      <c r="J2" s="15" t="n">
        <v>1</v>
      </c>
      <c r="K2" s="15" t="s">
        <v>2741</v>
      </c>
      <c r="L2" s="15" t="str">
        <f aca="false">IF(K2="","No","Yes")</f>
        <v>Yes</v>
      </c>
      <c r="M2" s="18" t="str">
        <f aca="false">IF(K2="","",IFERROR(IF(ISNUMBER(SEARCH(A2,INDEX(Pages!$J$2:$J$824,MATCH(K2,Pages!$B$2:$B$824,0)))),"Yes","No"),"Page not found"))</f>
        <v>Yes</v>
      </c>
      <c r="N2" s="3" t="s">
        <v>5229</v>
      </c>
      <c r="O2" s="3" t="s">
        <v>5230</v>
      </c>
      <c r="P2" s="19"/>
      <c r="Q2" s="17"/>
      <c r="R2" s="17"/>
    </row>
    <row r="3" customFormat="false" ht="23.85" hidden="false" customHeight="false" outlineLevel="0" collapsed="false">
      <c r="A3" s="15" t="s">
        <v>2631</v>
      </c>
      <c r="B3" s="15" t="s">
        <v>82</v>
      </c>
      <c r="C3" s="15" t="s">
        <v>265</v>
      </c>
      <c r="D3" s="15" t="s">
        <v>715</v>
      </c>
      <c r="E3" s="15" t="s">
        <v>2246</v>
      </c>
      <c r="F3" s="16" t="n">
        <v>2900</v>
      </c>
      <c r="G3" s="15" t="n">
        <v>76</v>
      </c>
      <c r="H3" s="15" t="s">
        <v>5227</v>
      </c>
      <c r="I3" s="15" t="s">
        <v>5228</v>
      </c>
      <c r="J3" s="15" t="n">
        <v>1</v>
      </c>
      <c r="K3" s="15" t="s">
        <v>2627</v>
      </c>
      <c r="L3" s="15" t="str">
        <f aca="false">IF(K3="","No","Yes")</f>
        <v>Yes</v>
      </c>
      <c r="M3" s="18" t="str">
        <f aca="false">IF(K3="","",IFERROR(IF(ISNUMBER(SEARCH(A3,INDEX(Pages!$J$2:$J$824,MATCH(K3,Pages!$B$2:$B$824,0)))),"Yes","No"),"Page not found"))</f>
        <v>Yes</v>
      </c>
      <c r="N3" s="3" t="s">
        <v>5297</v>
      </c>
      <c r="O3" s="3" t="s">
        <v>5230</v>
      </c>
      <c r="P3" s="19"/>
      <c r="Q3" s="17"/>
      <c r="R3" s="17"/>
    </row>
    <row r="4" customFormat="false" ht="15" hidden="false" customHeight="false" outlineLevel="0" collapsed="false">
      <c r="A4" s="15" t="s">
        <v>2493</v>
      </c>
      <c r="B4" s="15" t="s">
        <v>82</v>
      </c>
      <c r="C4" s="15" t="s">
        <v>265</v>
      </c>
      <c r="D4" s="15" t="s">
        <v>657</v>
      </c>
      <c r="E4" s="15" t="s">
        <v>2084</v>
      </c>
      <c r="F4" s="16" t="n">
        <v>2800</v>
      </c>
      <c r="G4" s="15" t="n">
        <v>76</v>
      </c>
      <c r="H4" s="15" t="s">
        <v>5227</v>
      </c>
      <c r="I4" s="15" t="s">
        <v>5228</v>
      </c>
      <c r="J4" s="15" t="n">
        <v>1</v>
      </c>
      <c r="K4" s="15" t="s">
        <v>2489</v>
      </c>
      <c r="L4" s="15" t="str">
        <f aca="false">IF(K4="","No","Yes")</f>
        <v>Yes</v>
      </c>
      <c r="M4" s="18" t="str">
        <f aca="false">IF(K4="","",IFERROR(IF(ISNUMBER(SEARCH(A4,INDEX(Pages!$J$2:$J$824,MATCH(K4,Pages!$B$2:$B$824,0)))),"Yes","No"),"Page not found"))</f>
        <v>Yes</v>
      </c>
      <c r="N4" s="3" t="s">
        <v>5182</v>
      </c>
      <c r="O4" s="3"/>
      <c r="P4" s="19"/>
      <c r="Q4" s="17"/>
      <c r="R4" s="17"/>
    </row>
    <row r="5" customFormat="false" ht="23.85" hidden="false" customHeight="false" outlineLevel="0" collapsed="false">
      <c r="A5" s="15" t="s">
        <v>2691</v>
      </c>
      <c r="B5" s="15" t="s">
        <v>82</v>
      </c>
      <c r="C5" s="15" t="s">
        <v>265</v>
      </c>
      <c r="D5" s="15" t="s">
        <v>715</v>
      </c>
      <c r="E5" s="15" t="s">
        <v>2316</v>
      </c>
      <c r="F5" s="16" t="n">
        <v>2400</v>
      </c>
      <c r="G5" s="15" t="n">
        <v>84</v>
      </c>
      <c r="H5" s="15" t="s">
        <v>5227</v>
      </c>
      <c r="I5" s="15" t="s">
        <v>5228</v>
      </c>
      <c r="J5" s="15" t="n">
        <v>1</v>
      </c>
      <c r="K5" s="15" t="s">
        <v>2687</v>
      </c>
      <c r="L5" s="15" t="str">
        <f aca="false">IF(K5="","No","Yes")</f>
        <v>Yes</v>
      </c>
      <c r="M5" s="18" t="str">
        <f aca="false">IF(K5="","",IFERROR(IF(ISNUMBER(SEARCH(A5,INDEX(Pages!$J$2:$J$824,MATCH(K5,Pages!$B$2:$B$824,0)))),"Yes","No"),"Page not found"))</f>
        <v>Yes</v>
      </c>
      <c r="N5" s="3" t="s">
        <v>5229</v>
      </c>
      <c r="O5" s="3" t="s">
        <v>5230</v>
      </c>
      <c r="P5" s="19"/>
      <c r="Q5" s="17"/>
      <c r="R5" s="17"/>
    </row>
    <row r="6" customFormat="false" ht="15" hidden="false" customHeight="false" outlineLevel="0" collapsed="false">
      <c r="A6" s="15" t="s">
        <v>5231</v>
      </c>
      <c r="B6" s="15" t="s">
        <v>82</v>
      </c>
      <c r="C6" s="15" t="s">
        <v>265</v>
      </c>
      <c r="D6" s="15" t="s">
        <v>715</v>
      </c>
      <c r="E6" s="15" t="s">
        <v>2379</v>
      </c>
      <c r="F6" s="16" t="n">
        <v>2300</v>
      </c>
      <c r="G6" s="15" t="n">
        <v>79</v>
      </c>
      <c r="H6" s="15" t="s">
        <v>5169</v>
      </c>
      <c r="I6" s="15" t="s">
        <v>5228</v>
      </c>
      <c r="J6" s="15" t="n">
        <v>1</v>
      </c>
      <c r="K6" s="15" t="s">
        <v>2741</v>
      </c>
      <c r="L6" s="15" t="str">
        <f aca="false">IF(K6="","No","Yes")</f>
        <v>Yes</v>
      </c>
      <c r="M6" s="18" t="str">
        <f aca="false">IF(K6="","",IFERROR(IF(ISNUMBER(SEARCH(A6,INDEX(Pages!$J$2:$J$824,MATCH(K6,Pages!$B$2:$B$824,0)))),"Yes","No"),"Page not found"))</f>
        <v>No</v>
      </c>
      <c r="N6" s="3" t="s">
        <v>5229</v>
      </c>
      <c r="O6" s="3" t="s">
        <v>5232</v>
      </c>
      <c r="P6" s="19"/>
      <c r="Q6" s="17"/>
      <c r="R6" s="17"/>
    </row>
    <row r="7" customFormat="false" ht="15" hidden="false" customHeight="false" outlineLevel="0" collapsed="false">
      <c r="A7" s="15" t="s">
        <v>2499</v>
      </c>
      <c r="B7" s="15" t="s">
        <v>82</v>
      </c>
      <c r="C7" s="15" t="s">
        <v>265</v>
      </c>
      <c r="D7" s="15" t="s">
        <v>657</v>
      </c>
      <c r="E7" s="15" t="s">
        <v>2092</v>
      </c>
      <c r="F7" s="16" t="n">
        <v>2100</v>
      </c>
      <c r="G7" s="15" t="n">
        <v>76</v>
      </c>
      <c r="H7" s="15" t="s">
        <v>5227</v>
      </c>
      <c r="I7" s="15" t="s">
        <v>5228</v>
      </c>
      <c r="J7" s="15" t="n">
        <v>1</v>
      </c>
      <c r="K7" s="15" t="s">
        <v>2495</v>
      </c>
      <c r="L7" s="15" t="str">
        <f aca="false">IF(K7="","No","Yes")</f>
        <v>Yes</v>
      </c>
      <c r="M7" s="18" t="str">
        <f aca="false">IF(K7="","",IFERROR(IF(ISNUMBER(SEARCH(A7,INDEX(Pages!$J$2:$J$824,MATCH(K7,Pages!$B$2:$B$824,0)))),"Yes","No"),"Page not found"))</f>
        <v>Yes</v>
      </c>
      <c r="N7" s="3" t="s">
        <v>5182</v>
      </c>
      <c r="O7" s="3"/>
      <c r="P7" s="19"/>
      <c r="Q7" s="17"/>
      <c r="R7" s="17"/>
    </row>
    <row r="8" customFormat="false" ht="15" hidden="false" customHeight="false" outlineLevel="0" collapsed="false">
      <c r="A8" s="15" t="s">
        <v>3441</v>
      </c>
      <c r="B8" s="15" t="s">
        <v>84</v>
      </c>
      <c r="C8" s="15" t="s">
        <v>314</v>
      </c>
      <c r="D8" s="15" t="s">
        <v>715</v>
      </c>
      <c r="E8" s="15" t="s">
        <v>2379</v>
      </c>
      <c r="F8" s="16" t="n">
        <v>1900</v>
      </c>
      <c r="G8" s="15" t="n">
        <v>68</v>
      </c>
      <c r="H8" s="15" t="s">
        <v>5227</v>
      </c>
      <c r="I8" s="15" t="s">
        <v>5392</v>
      </c>
      <c r="J8" s="15" t="n">
        <v>1</v>
      </c>
      <c r="K8" s="15" t="s">
        <v>3437</v>
      </c>
      <c r="L8" s="15" t="str">
        <f aca="false">IF(K8="","No","Yes")</f>
        <v>Yes</v>
      </c>
      <c r="M8" s="18" t="str">
        <f aca="false">IF(K8="","",IFERROR(IF(ISNUMBER(SEARCH(A8,INDEX(Pages!$J$2:$J$824,MATCH(K8,Pages!$B$2:$B$824,0)))),"Yes","No"),"Page not found"))</f>
        <v>Yes</v>
      </c>
      <c r="N8" s="3" t="s">
        <v>5393</v>
      </c>
      <c r="O8" s="3"/>
      <c r="P8" s="19"/>
      <c r="Q8" s="17"/>
      <c r="R8" s="17"/>
    </row>
    <row r="9" customFormat="false" ht="15" hidden="false" customHeight="false" outlineLevel="0" collapsed="false">
      <c r="A9" s="15" t="s">
        <v>5598</v>
      </c>
      <c r="B9" s="15" t="s">
        <v>82</v>
      </c>
      <c r="C9" s="15" t="s">
        <v>265</v>
      </c>
      <c r="D9" s="15" t="s">
        <v>729</v>
      </c>
      <c r="E9" s="15" t="s">
        <v>2442</v>
      </c>
      <c r="F9" s="16" t="n">
        <v>1600</v>
      </c>
      <c r="G9" s="15" t="n">
        <v>55</v>
      </c>
      <c r="H9" s="15" t="s">
        <v>5227</v>
      </c>
      <c r="I9" s="15" t="s">
        <v>5568</v>
      </c>
      <c r="J9" s="15" t="n">
        <v>3</v>
      </c>
      <c r="K9" s="15"/>
      <c r="L9" s="15" t="str">
        <f aca="false">IF(K9="","No","Yes")</f>
        <v>No</v>
      </c>
      <c r="M9" s="18" t="str">
        <f aca="false">IF(K9="","",IFERROR(IF(ISNUMBER(SEARCH(A9,INDEX(Pages!$J$2:$J$824,MATCH(K9,Pages!$B$2:$B$824,0)))),"Yes","No"),"Page not found"))</f>
        <v/>
      </c>
      <c r="N9" s="3" t="s">
        <v>5599</v>
      </c>
      <c r="O9" s="3" t="s">
        <v>5600</v>
      </c>
      <c r="P9" s="19"/>
      <c r="Q9" s="17"/>
      <c r="R9" s="17"/>
    </row>
    <row r="10" customFormat="false" ht="23.85" hidden="false" customHeight="false" outlineLevel="0" collapsed="false">
      <c r="A10" s="15" t="s">
        <v>2709</v>
      </c>
      <c r="B10" s="15" t="s">
        <v>82</v>
      </c>
      <c r="C10" s="15" t="s">
        <v>265</v>
      </c>
      <c r="D10" s="15" t="s">
        <v>715</v>
      </c>
      <c r="E10" s="15" t="s">
        <v>2337</v>
      </c>
      <c r="F10" s="16" t="n">
        <v>1600</v>
      </c>
      <c r="G10" s="15" t="n">
        <v>84</v>
      </c>
      <c r="H10" s="15" t="s">
        <v>5227</v>
      </c>
      <c r="I10" s="15" t="s">
        <v>5228</v>
      </c>
      <c r="J10" s="15" t="n">
        <v>1</v>
      </c>
      <c r="K10" s="15" t="s">
        <v>2705</v>
      </c>
      <c r="L10" s="15" t="str">
        <f aca="false">IF(K10="","No","Yes")</f>
        <v>Yes</v>
      </c>
      <c r="M10" s="18" t="str">
        <f aca="false">IF(K10="","",IFERROR(IF(ISNUMBER(SEARCH(A10,INDEX(Pages!$J$2:$J$824,MATCH(K10,Pages!$B$2:$B$824,0)))),"Yes","No"),"Page not found"))</f>
        <v>Yes</v>
      </c>
      <c r="N10" s="3" t="s">
        <v>5229</v>
      </c>
      <c r="O10" s="3" t="s">
        <v>5230</v>
      </c>
      <c r="P10" s="19"/>
      <c r="Q10" s="17"/>
      <c r="R10" s="17"/>
    </row>
    <row r="11" customFormat="false" ht="23.85" hidden="false" customHeight="false" outlineLevel="0" collapsed="false">
      <c r="A11" s="15" t="s">
        <v>5601</v>
      </c>
      <c r="B11" s="15" t="s">
        <v>82</v>
      </c>
      <c r="C11" s="15" t="s">
        <v>265</v>
      </c>
      <c r="D11" s="15" t="s">
        <v>715</v>
      </c>
      <c r="E11" s="15" t="s">
        <v>2379</v>
      </c>
      <c r="F11" s="16" t="n">
        <v>1600</v>
      </c>
      <c r="G11" s="15" t="n">
        <v>50</v>
      </c>
      <c r="H11" s="15" t="s">
        <v>5227</v>
      </c>
      <c r="I11" s="15" t="s">
        <v>5228</v>
      </c>
      <c r="J11" s="15" t="n">
        <v>1</v>
      </c>
      <c r="K11" s="15"/>
      <c r="L11" s="15" t="str">
        <f aca="false">IF(K11="","No","Yes")</f>
        <v>No</v>
      </c>
      <c r="M11" s="18" t="str">
        <f aca="false">IF(K11="","",IFERROR(IF(ISNUMBER(SEARCH(A11,INDEX(Pages!$J$2:$J$824,MATCH(K11,Pages!$B$2:$B$824,0)))),"Yes","No"),"Page not found"))</f>
        <v/>
      </c>
      <c r="N11" s="3" t="s">
        <v>5602</v>
      </c>
      <c r="O11" s="3" t="s">
        <v>5603</v>
      </c>
      <c r="P11" s="19"/>
      <c r="Q11" s="17"/>
      <c r="R11" s="17"/>
    </row>
    <row r="12" customFormat="false" ht="23.85" hidden="false" customHeight="false" outlineLevel="0" collapsed="false">
      <c r="A12" s="15" t="s">
        <v>2655</v>
      </c>
      <c r="B12" s="15" t="s">
        <v>82</v>
      </c>
      <c r="C12" s="15" t="s">
        <v>265</v>
      </c>
      <c r="D12" s="15" t="s">
        <v>715</v>
      </c>
      <c r="E12" s="15" t="s">
        <v>2274</v>
      </c>
      <c r="F12" s="16" t="n">
        <v>1500</v>
      </c>
      <c r="G12" s="15" t="n">
        <v>70</v>
      </c>
      <c r="H12" s="15" t="s">
        <v>5227</v>
      </c>
      <c r="I12" s="15" t="s">
        <v>5228</v>
      </c>
      <c r="J12" s="15" t="n">
        <v>1</v>
      </c>
      <c r="K12" s="15" t="s">
        <v>2651</v>
      </c>
      <c r="L12" s="15" t="str">
        <f aca="false">IF(K12="","No","Yes")</f>
        <v>Yes</v>
      </c>
      <c r="M12" s="18" t="str">
        <f aca="false">IF(K12="","",IFERROR(IF(ISNUMBER(SEARCH(A12,INDEX(Pages!$J$2:$J$824,MATCH(K12,Pages!$B$2:$B$824,0)))),"Yes","No"),"Page not found"))</f>
        <v>Yes</v>
      </c>
      <c r="N12" s="3" t="s">
        <v>5229</v>
      </c>
      <c r="O12" s="3" t="s">
        <v>5230</v>
      </c>
      <c r="P12" s="19"/>
      <c r="Q12" s="17"/>
      <c r="R12" s="17"/>
    </row>
    <row r="13" customFormat="false" ht="15" hidden="false" customHeight="false" outlineLevel="0" collapsed="false">
      <c r="A13" s="15" t="s">
        <v>2751</v>
      </c>
      <c r="B13" s="15" t="s">
        <v>82</v>
      </c>
      <c r="C13" s="15" t="s">
        <v>265</v>
      </c>
      <c r="D13" s="15" t="s">
        <v>715</v>
      </c>
      <c r="E13" s="15" t="s">
        <v>2386</v>
      </c>
      <c r="F13" s="16" t="n">
        <v>1300</v>
      </c>
      <c r="G13" s="15" t="n">
        <v>72</v>
      </c>
      <c r="H13" s="15" t="s">
        <v>5227</v>
      </c>
      <c r="I13" s="15" t="s">
        <v>5228</v>
      </c>
      <c r="J13" s="15" t="n">
        <v>2</v>
      </c>
      <c r="K13" s="15" t="s">
        <v>2747</v>
      </c>
      <c r="L13" s="15" t="str">
        <f aca="false">IF(K13="","No","Yes")</f>
        <v>Yes</v>
      </c>
      <c r="M13" s="18" t="str">
        <f aca="false">IF(K13="","",IFERROR(IF(ISNUMBER(SEARCH(A13,INDEX(Pages!$J$2:$J$824,MATCH(K13,Pages!$B$2:$B$824,0)))),"Yes","No"),"Page not found"))</f>
        <v>Yes</v>
      </c>
      <c r="N13" s="3" t="s">
        <v>5212</v>
      </c>
      <c r="O13" s="3"/>
      <c r="P13" s="19"/>
      <c r="Q13" s="17"/>
      <c r="R13" s="17"/>
    </row>
    <row r="14" customFormat="false" ht="23.85" hidden="false" customHeight="false" outlineLevel="0" collapsed="false">
      <c r="A14" s="15" t="s">
        <v>5233</v>
      </c>
      <c r="B14" s="15" t="s">
        <v>82</v>
      </c>
      <c r="C14" s="15" t="s">
        <v>265</v>
      </c>
      <c r="D14" s="15" t="s">
        <v>715</v>
      </c>
      <c r="E14" s="15" t="s">
        <v>2379</v>
      </c>
      <c r="F14" s="16" t="n">
        <v>1300</v>
      </c>
      <c r="G14" s="15" t="n">
        <v>79</v>
      </c>
      <c r="H14" s="15" t="s">
        <v>5177</v>
      </c>
      <c r="I14" s="15" t="s">
        <v>5228</v>
      </c>
      <c r="J14" s="15" t="n">
        <v>2</v>
      </c>
      <c r="K14" s="15" t="s">
        <v>2741</v>
      </c>
      <c r="L14" s="15" t="str">
        <f aca="false">IF(K14="","No","Yes")</f>
        <v>Yes</v>
      </c>
      <c r="M14" s="18" t="str">
        <f aca="false">IF(K14="","",IFERROR(IF(ISNUMBER(SEARCH(A14,INDEX(Pages!$J$2:$J$824,MATCH(K14,Pages!$B$2:$B$824,0)))),"Yes","No"),"Page not found"))</f>
        <v>No</v>
      </c>
      <c r="N14" s="3" t="s">
        <v>5229</v>
      </c>
      <c r="O14" s="3" t="s">
        <v>5234</v>
      </c>
      <c r="P14" s="19"/>
      <c r="Q14" s="17"/>
      <c r="R14" s="17"/>
    </row>
    <row r="15" customFormat="false" ht="15" hidden="false" customHeight="false" outlineLevel="0" collapsed="false">
      <c r="A15" s="15" t="s">
        <v>4485</v>
      </c>
      <c r="B15" s="15" t="s">
        <v>86</v>
      </c>
      <c r="C15" s="15" t="s">
        <v>356</v>
      </c>
      <c r="D15" s="15" t="s">
        <v>715</v>
      </c>
      <c r="E15" s="15" t="s">
        <v>2379</v>
      </c>
      <c r="F15" s="16" t="n">
        <v>1300</v>
      </c>
      <c r="G15" s="15" t="n">
        <v>60</v>
      </c>
      <c r="H15" s="15" t="s">
        <v>5227</v>
      </c>
      <c r="I15" s="15" t="s">
        <v>5392</v>
      </c>
      <c r="J15" s="15" t="n">
        <v>3</v>
      </c>
      <c r="K15" s="15" t="s">
        <v>4481</v>
      </c>
      <c r="L15" s="15" t="str">
        <f aca="false">IF(K15="","No","Yes")</f>
        <v>Yes</v>
      </c>
      <c r="M15" s="18" t="str">
        <f aca="false">IF(K15="","",IFERROR(IF(ISNUMBER(SEARCH(A15,INDEX(Pages!$J$2:$J$824,MATCH(K15,Pages!$B$2:$B$824,0)))),"Yes","No"),"Page not found"))</f>
        <v>Yes</v>
      </c>
      <c r="N15" s="3" t="s">
        <v>5226</v>
      </c>
      <c r="O15" s="3"/>
      <c r="P15" s="19"/>
      <c r="Q15" s="17"/>
      <c r="R15" s="17"/>
    </row>
    <row r="16" customFormat="false" ht="15" hidden="false" customHeight="false" outlineLevel="0" collapsed="false">
      <c r="A16" s="15" t="s">
        <v>2613</v>
      </c>
      <c r="B16" s="15" t="s">
        <v>82</v>
      </c>
      <c r="C16" s="15" t="s">
        <v>265</v>
      </c>
      <c r="D16" s="15" t="s">
        <v>701</v>
      </c>
      <c r="E16" s="15" t="s">
        <v>2225</v>
      </c>
      <c r="F16" s="16" t="n">
        <v>1200</v>
      </c>
      <c r="G16" s="15" t="n">
        <v>64</v>
      </c>
      <c r="H16" s="15" t="s">
        <v>5227</v>
      </c>
      <c r="I16" s="15" t="s">
        <v>5228</v>
      </c>
      <c r="J16" s="15" t="n">
        <v>2</v>
      </c>
      <c r="K16" s="15" t="s">
        <v>2609</v>
      </c>
      <c r="L16" s="15" t="str">
        <f aca="false">IF(K16="","No","Yes")</f>
        <v>Yes</v>
      </c>
      <c r="M16" s="18" t="str">
        <f aca="false">IF(K16="","",IFERROR(IF(ISNUMBER(SEARCH(A16,INDEX(Pages!$J$2:$J$824,MATCH(K16,Pages!$B$2:$B$824,0)))),"Yes","No"),"Page not found"))</f>
        <v>Yes</v>
      </c>
      <c r="N16" s="3" t="s">
        <v>5376</v>
      </c>
      <c r="O16" s="3"/>
      <c r="P16" s="19"/>
      <c r="Q16" s="17"/>
      <c r="R16" s="17"/>
    </row>
    <row r="17" customFormat="false" ht="15" hidden="false" customHeight="false" outlineLevel="0" collapsed="false">
      <c r="A17" s="15" t="s">
        <v>2679</v>
      </c>
      <c r="B17" s="15" t="s">
        <v>82</v>
      </c>
      <c r="C17" s="15" t="s">
        <v>265</v>
      </c>
      <c r="D17" s="15" t="s">
        <v>715</v>
      </c>
      <c r="E17" s="15" t="s">
        <v>2302</v>
      </c>
      <c r="F17" s="16" t="n">
        <v>1200</v>
      </c>
      <c r="G17" s="15" t="n">
        <v>76</v>
      </c>
      <c r="H17" s="15" t="s">
        <v>5227</v>
      </c>
      <c r="I17" s="15" t="s">
        <v>5228</v>
      </c>
      <c r="J17" s="15" t="n">
        <v>2</v>
      </c>
      <c r="K17" s="15" t="s">
        <v>2675</v>
      </c>
      <c r="L17" s="15" t="str">
        <f aca="false">IF(K17="","No","Yes")</f>
        <v>Yes</v>
      </c>
      <c r="M17" s="18" t="str">
        <f aca="false">IF(K17="","",IFERROR(IF(ISNUMBER(SEARCH(A17,INDEX(Pages!$J$2:$J$824,MATCH(K17,Pages!$B$2:$B$824,0)))),"Yes","No"),"Page not found"))</f>
        <v>Yes</v>
      </c>
      <c r="N17" s="3" t="s">
        <v>5182</v>
      </c>
      <c r="O17" s="3"/>
      <c r="P17" s="19"/>
      <c r="Q17" s="17"/>
      <c r="R17" s="17"/>
    </row>
    <row r="18" customFormat="false" ht="15" hidden="false" customHeight="false" outlineLevel="0" collapsed="false">
      <c r="A18" s="15" t="s">
        <v>2799</v>
      </c>
      <c r="B18" s="15" t="s">
        <v>82</v>
      </c>
      <c r="C18" s="15" t="s">
        <v>265</v>
      </c>
      <c r="D18" s="15" t="s">
        <v>729</v>
      </c>
      <c r="E18" s="15" t="s">
        <v>2442</v>
      </c>
      <c r="F18" s="16" t="n">
        <v>1200</v>
      </c>
      <c r="G18" s="15" t="n">
        <v>68</v>
      </c>
      <c r="H18" s="15" t="s">
        <v>5227</v>
      </c>
      <c r="I18" s="15" t="s">
        <v>5228</v>
      </c>
      <c r="J18" s="15" t="n">
        <v>3</v>
      </c>
      <c r="K18" s="15" t="s">
        <v>2795</v>
      </c>
      <c r="L18" s="15" t="str">
        <f aca="false">IF(K18="","No","Yes")</f>
        <v>Yes</v>
      </c>
      <c r="M18" s="18" t="str">
        <f aca="false">IF(K18="","",IFERROR(IF(ISNUMBER(SEARCH(A18,INDEX(Pages!$J$2:$J$824,MATCH(K18,Pages!$B$2:$B$824,0)))),"Yes","No"),"Page not found"))</f>
        <v>Yes</v>
      </c>
      <c r="N18" s="3" t="s">
        <v>5192</v>
      </c>
      <c r="O18" s="3" t="s">
        <v>5427</v>
      </c>
      <c r="P18" s="19"/>
      <c r="Q18" s="17"/>
      <c r="R18" s="17"/>
    </row>
    <row r="19" customFormat="false" ht="15" hidden="false" customHeight="false" outlineLevel="0" collapsed="false">
      <c r="A19" s="15" t="s">
        <v>5604</v>
      </c>
      <c r="B19" s="15" t="s">
        <v>84</v>
      </c>
      <c r="C19" s="15" t="s">
        <v>314</v>
      </c>
      <c r="D19" s="15" t="s">
        <v>729</v>
      </c>
      <c r="E19" s="15" t="s">
        <v>2442</v>
      </c>
      <c r="F19" s="16" t="n">
        <v>1000</v>
      </c>
      <c r="G19" s="15" t="n">
        <v>50</v>
      </c>
      <c r="H19" s="15" t="s">
        <v>5227</v>
      </c>
      <c r="I19" s="15" t="s">
        <v>5568</v>
      </c>
      <c r="J19" s="15" t="n">
        <v>3</v>
      </c>
      <c r="K19" s="15"/>
      <c r="L19" s="15" t="str">
        <f aca="false">IF(K19="","No","Yes")</f>
        <v>No</v>
      </c>
      <c r="M19" s="18" t="str">
        <f aca="false">IF(K19="","",IFERROR(IF(ISNUMBER(SEARCH(A19,INDEX(Pages!$J$2:$J$824,MATCH(K19,Pages!$B$2:$B$824,0)))),"Yes","No"),"Page not found"))</f>
        <v/>
      </c>
      <c r="N19" s="3" t="s">
        <v>5408</v>
      </c>
      <c r="O19" s="3" t="s">
        <v>5605</v>
      </c>
      <c r="P19" s="19"/>
      <c r="Q19" s="17"/>
      <c r="R19" s="17"/>
    </row>
    <row r="20" customFormat="false" ht="15" hidden="false" customHeight="false" outlineLevel="0" collapsed="false">
      <c r="A20" s="15" t="s">
        <v>5606</v>
      </c>
      <c r="B20" s="15" t="s">
        <v>82</v>
      </c>
      <c r="C20" s="15" t="s">
        <v>265</v>
      </c>
      <c r="D20" s="15" t="s">
        <v>715</v>
      </c>
      <c r="E20" s="15" t="s">
        <v>2379</v>
      </c>
      <c r="F20" s="16" t="n">
        <v>1000</v>
      </c>
      <c r="G20" s="15" t="n">
        <v>45</v>
      </c>
      <c r="H20" s="15" t="s">
        <v>5227</v>
      </c>
      <c r="I20" s="15" t="s">
        <v>5228</v>
      </c>
      <c r="J20" s="15" t="n">
        <v>1</v>
      </c>
      <c r="K20" s="15"/>
      <c r="L20" s="15" t="str">
        <f aca="false">IF(K20="","No","Yes")</f>
        <v>No</v>
      </c>
      <c r="M20" s="18" t="str">
        <f aca="false">IF(K20="","",IFERROR(IF(ISNUMBER(SEARCH(A20,INDEX(Pages!$J$2:$J$824,MATCH(K20,Pages!$B$2:$B$824,0)))),"Yes","No"),"Page not found"))</f>
        <v/>
      </c>
      <c r="N20" s="3" t="s">
        <v>5607</v>
      </c>
      <c r="O20" s="3" t="s">
        <v>5608</v>
      </c>
      <c r="P20" s="19"/>
      <c r="Q20" s="17"/>
      <c r="R20" s="17"/>
    </row>
    <row r="21" customFormat="false" ht="15" hidden="false" customHeight="false" outlineLevel="0" collapsed="false">
      <c r="A21" s="15" t="s">
        <v>5298</v>
      </c>
      <c r="B21" s="15" t="s">
        <v>82</v>
      </c>
      <c r="C21" s="15" t="s">
        <v>265</v>
      </c>
      <c r="D21" s="15" t="s">
        <v>715</v>
      </c>
      <c r="E21" s="15" t="s">
        <v>2246</v>
      </c>
      <c r="F21" s="16" t="n">
        <v>1000</v>
      </c>
      <c r="G21" s="15" t="n">
        <v>71</v>
      </c>
      <c r="H21" s="15" t="s">
        <v>5169</v>
      </c>
      <c r="I21" s="15" t="s">
        <v>5228</v>
      </c>
      <c r="J21" s="15" t="n">
        <v>2</v>
      </c>
      <c r="K21" s="15" t="s">
        <v>2627</v>
      </c>
      <c r="L21" s="15" t="str">
        <f aca="false">IF(K21="","No","Yes")</f>
        <v>Yes</v>
      </c>
      <c r="M21" s="18" t="str">
        <f aca="false">IF(K21="","",IFERROR(IF(ISNUMBER(SEARCH(A21,INDEX(Pages!$J$2:$J$824,MATCH(K21,Pages!$B$2:$B$824,0)))),"Yes","No"),"Page not found"))</f>
        <v>No</v>
      </c>
      <c r="N21" s="3" t="s">
        <v>5297</v>
      </c>
      <c r="O21" s="3" t="s">
        <v>5232</v>
      </c>
      <c r="P21" s="19"/>
      <c r="Q21" s="17"/>
      <c r="R21" s="17"/>
    </row>
    <row r="22" customFormat="false" ht="15" hidden="false" customHeight="false" outlineLevel="0" collapsed="false">
      <c r="A22" s="15" t="s">
        <v>3189</v>
      </c>
      <c r="B22" s="15" t="s">
        <v>84</v>
      </c>
      <c r="C22" s="15" t="s">
        <v>314</v>
      </c>
      <c r="D22" s="15" t="s">
        <v>657</v>
      </c>
      <c r="E22" s="15" t="s">
        <v>2084</v>
      </c>
      <c r="F22" s="16" t="n">
        <v>1000</v>
      </c>
      <c r="G22" s="15" t="n">
        <v>68</v>
      </c>
      <c r="H22" s="15" t="s">
        <v>5227</v>
      </c>
      <c r="I22" s="15" t="s">
        <v>5392</v>
      </c>
      <c r="J22" s="15" t="n">
        <v>2</v>
      </c>
      <c r="K22" s="15" t="s">
        <v>3185</v>
      </c>
      <c r="L22" s="15" t="str">
        <f aca="false">IF(K22="","No","Yes")</f>
        <v>Yes</v>
      </c>
      <c r="M22" s="18" t="str">
        <f aca="false">IF(K22="","",IFERROR(IF(ISNUMBER(SEARCH(A22,INDEX(Pages!$J$2:$J$824,MATCH(K22,Pages!$B$2:$B$824,0)))),"Yes","No"),"Page not found"))</f>
        <v>Yes</v>
      </c>
      <c r="N22" s="3" t="s">
        <v>5226</v>
      </c>
      <c r="O22" s="3"/>
      <c r="P22" s="19"/>
      <c r="Q22" s="17"/>
      <c r="R22" s="17"/>
    </row>
    <row r="23" customFormat="false" ht="15" hidden="false" customHeight="false" outlineLevel="0" collapsed="false">
      <c r="A23" s="15" t="s">
        <v>5306</v>
      </c>
      <c r="B23" s="15" t="s">
        <v>82</v>
      </c>
      <c r="C23" s="15" t="s">
        <v>265</v>
      </c>
      <c r="D23" s="15" t="s">
        <v>657</v>
      </c>
      <c r="E23" s="15" t="s">
        <v>2084</v>
      </c>
      <c r="F23" s="16" t="n">
        <v>970</v>
      </c>
      <c r="G23" s="15" t="n">
        <v>71</v>
      </c>
      <c r="H23" s="15" t="s">
        <v>5169</v>
      </c>
      <c r="I23" s="15" t="s">
        <v>5228</v>
      </c>
      <c r="J23" s="15" t="n">
        <v>2</v>
      </c>
      <c r="K23" s="15" t="s">
        <v>2489</v>
      </c>
      <c r="L23" s="15" t="str">
        <f aca="false">IF(K23="","No","Yes")</f>
        <v>Yes</v>
      </c>
      <c r="M23" s="18" t="str">
        <f aca="false">IF(K23="","",IFERROR(IF(ISNUMBER(SEARCH(A23,INDEX(Pages!$J$2:$J$824,MATCH(K23,Pages!$B$2:$B$824,0)))),"Yes","No"),"Page not found"))</f>
        <v>No</v>
      </c>
      <c r="N23" s="3" t="s">
        <v>5182</v>
      </c>
      <c r="O23" s="3" t="s">
        <v>5232</v>
      </c>
      <c r="P23" s="19"/>
      <c r="Q23" s="17"/>
      <c r="R23" s="17"/>
    </row>
    <row r="24" customFormat="false" ht="15" hidden="false" customHeight="false" outlineLevel="0" collapsed="false">
      <c r="A24" s="15" t="s">
        <v>5609</v>
      </c>
      <c r="B24" s="15" t="s">
        <v>82</v>
      </c>
      <c r="C24" s="15" t="s">
        <v>265</v>
      </c>
      <c r="D24" s="15" t="s">
        <v>729</v>
      </c>
      <c r="E24" s="15" t="s">
        <v>2449</v>
      </c>
      <c r="F24" s="16" t="n">
        <v>880</v>
      </c>
      <c r="G24" s="15" t="n">
        <v>50</v>
      </c>
      <c r="H24" s="15" t="s">
        <v>5227</v>
      </c>
      <c r="I24" s="15" t="s">
        <v>5568</v>
      </c>
      <c r="J24" s="15" t="n">
        <v>3</v>
      </c>
      <c r="K24" s="15"/>
      <c r="L24" s="15" t="str">
        <f aca="false">IF(K24="","No","Yes")</f>
        <v>No</v>
      </c>
      <c r="M24" s="18" t="str">
        <f aca="false">IF(K24="","",IFERROR(IF(ISNUMBER(SEARCH(A24,INDEX(Pages!$J$2:$J$824,MATCH(K24,Pages!$B$2:$B$824,0)))),"Yes","No"),"Page not found"))</f>
        <v/>
      </c>
      <c r="N24" s="3" t="s">
        <v>5408</v>
      </c>
      <c r="O24" s="3" t="s">
        <v>5610</v>
      </c>
      <c r="P24" s="19"/>
      <c r="Q24" s="17"/>
      <c r="R24" s="17"/>
    </row>
    <row r="25" customFormat="false" ht="15" hidden="false" customHeight="false" outlineLevel="0" collapsed="false">
      <c r="A25" s="15" t="s">
        <v>5611</v>
      </c>
      <c r="B25" s="15" t="s">
        <v>82</v>
      </c>
      <c r="C25" s="15" t="s">
        <v>265</v>
      </c>
      <c r="D25" s="15" t="s">
        <v>715</v>
      </c>
      <c r="E25" s="15" t="s">
        <v>2379</v>
      </c>
      <c r="F25" s="16" t="n">
        <v>880</v>
      </c>
      <c r="G25" s="15" t="n">
        <v>45</v>
      </c>
      <c r="H25" s="15" t="s">
        <v>5227</v>
      </c>
      <c r="I25" s="15" t="s">
        <v>5228</v>
      </c>
      <c r="J25" s="15" t="n">
        <v>2</v>
      </c>
      <c r="K25" s="15"/>
      <c r="L25" s="15" t="str">
        <f aca="false">IF(K25="","No","Yes")</f>
        <v>No</v>
      </c>
      <c r="M25" s="18" t="str">
        <f aca="false">IF(K25="","",IFERROR(IF(ISNUMBER(SEARCH(A25,INDEX(Pages!$J$2:$J$824,MATCH(K25,Pages!$B$2:$B$824,0)))),"Yes","No"),"Page not found"))</f>
        <v/>
      </c>
      <c r="N25" s="3" t="s">
        <v>5212</v>
      </c>
      <c r="O25" s="3" t="s">
        <v>5612</v>
      </c>
      <c r="P25" s="19"/>
      <c r="Q25" s="17"/>
      <c r="R25" s="17"/>
    </row>
    <row r="26" customFormat="false" ht="23.85" hidden="false" customHeight="false" outlineLevel="0" collapsed="false">
      <c r="A26" s="15" t="s">
        <v>3789</v>
      </c>
      <c r="B26" s="15" t="s">
        <v>74</v>
      </c>
      <c r="C26" s="15" t="s">
        <v>321</v>
      </c>
      <c r="D26" s="15" t="s">
        <v>715</v>
      </c>
      <c r="E26" s="15" t="s">
        <v>2379</v>
      </c>
      <c r="F26" s="16" t="n">
        <v>880</v>
      </c>
      <c r="G26" s="15" t="n">
        <v>51</v>
      </c>
      <c r="H26" s="15" t="s">
        <v>5227</v>
      </c>
      <c r="I26" s="15" t="s">
        <v>5444</v>
      </c>
      <c r="J26" s="15" t="n">
        <v>1</v>
      </c>
      <c r="K26" s="15" t="s">
        <v>3785</v>
      </c>
      <c r="L26" s="15" t="str">
        <f aca="false">IF(K26="","No","Yes")</f>
        <v>Yes</v>
      </c>
      <c r="M26" s="18" t="str">
        <f aca="false">IF(K26="","",IFERROR(IF(ISNUMBER(SEARCH(A26,INDEX(Pages!$J$2:$J$824,MATCH(K26,Pages!$B$2:$B$824,0)))),"Yes","No"),"Page not found"))</f>
        <v>Yes</v>
      </c>
      <c r="N26" s="3" t="s">
        <v>5445</v>
      </c>
      <c r="O26" s="3" t="s">
        <v>5230</v>
      </c>
      <c r="P26" s="19"/>
      <c r="Q26" s="17"/>
      <c r="R26" s="17"/>
    </row>
    <row r="27" customFormat="false" ht="15" hidden="false" customHeight="false" outlineLevel="0" collapsed="false">
      <c r="A27" s="15" t="s">
        <v>2559</v>
      </c>
      <c r="B27" s="15" t="s">
        <v>82</v>
      </c>
      <c r="C27" s="15" t="s">
        <v>265</v>
      </c>
      <c r="D27" s="15" t="s">
        <v>666</v>
      </c>
      <c r="E27" s="15" t="s">
        <v>2162</v>
      </c>
      <c r="F27" s="16" t="n">
        <v>860</v>
      </c>
      <c r="G27" s="15" t="n">
        <v>76</v>
      </c>
      <c r="H27" s="15" t="s">
        <v>5227</v>
      </c>
      <c r="I27" s="15" t="s">
        <v>5228</v>
      </c>
      <c r="J27" s="15" t="n">
        <v>4</v>
      </c>
      <c r="K27" s="15" t="s">
        <v>2555</v>
      </c>
      <c r="L27" s="15" t="str">
        <f aca="false">IF(K27="","No","Yes")</f>
        <v>Yes</v>
      </c>
      <c r="M27" s="18" t="str">
        <f aca="false">IF(K27="","",IFERROR(IF(ISNUMBER(SEARCH(A27,INDEX(Pages!$J$2:$J$824,MATCH(K27,Pages!$B$2:$B$824,0)))),"Yes","No"),"Page not found"))</f>
        <v>Yes</v>
      </c>
      <c r="N27" s="3" t="s">
        <v>5182</v>
      </c>
      <c r="O27" s="3" t="s">
        <v>5377</v>
      </c>
      <c r="P27" s="19"/>
      <c r="Q27" s="17"/>
      <c r="R27" s="17"/>
    </row>
    <row r="28" customFormat="false" ht="15" hidden="false" customHeight="false" outlineLevel="0" collapsed="false">
      <c r="A28" s="15" t="s">
        <v>2721</v>
      </c>
      <c r="B28" s="15" t="s">
        <v>82</v>
      </c>
      <c r="C28" s="15" t="s">
        <v>265</v>
      </c>
      <c r="D28" s="15" t="s">
        <v>715</v>
      </c>
      <c r="E28" s="15" t="s">
        <v>2351</v>
      </c>
      <c r="F28" s="16" t="n">
        <v>850</v>
      </c>
      <c r="G28" s="15" t="n">
        <v>64</v>
      </c>
      <c r="H28" s="15" t="s">
        <v>5227</v>
      </c>
      <c r="I28" s="15" t="s">
        <v>5228</v>
      </c>
      <c r="J28" s="15" t="n">
        <v>2</v>
      </c>
      <c r="K28" s="15" t="s">
        <v>2717</v>
      </c>
      <c r="L28" s="15" t="str">
        <f aca="false">IF(K28="","No","Yes")</f>
        <v>Yes</v>
      </c>
      <c r="M28" s="18" t="str">
        <f aca="false">IF(K28="","",IFERROR(IF(ISNUMBER(SEARCH(A28,INDEX(Pages!$J$2:$J$824,MATCH(K28,Pages!$B$2:$B$824,0)))),"Yes","No"),"Page not found"))</f>
        <v>Yes</v>
      </c>
      <c r="N28" s="3" t="s">
        <v>5212</v>
      </c>
      <c r="O28" s="3"/>
      <c r="P28" s="19"/>
      <c r="Q28" s="17"/>
      <c r="R28" s="17"/>
    </row>
    <row r="29" customFormat="false" ht="15" hidden="false" customHeight="false" outlineLevel="0" collapsed="false">
      <c r="A29" s="15" t="s">
        <v>3405</v>
      </c>
      <c r="B29" s="15" t="s">
        <v>84</v>
      </c>
      <c r="C29" s="15" t="s">
        <v>314</v>
      </c>
      <c r="D29" s="15" t="s">
        <v>715</v>
      </c>
      <c r="E29" s="15" t="s">
        <v>2337</v>
      </c>
      <c r="F29" s="16" t="n">
        <v>850</v>
      </c>
      <c r="G29" s="15" t="n">
        <v>56</v>
      </c>
      <c r="H29" s="15" t="s">
        <v>5227</v>
      </c>
      <c r="I29" s="15" t="s">
        <v>5392</v>
      </c>
      <c r="J29" s="15" t="n">
        <v>2</v>
      </c>
      <c r="K29" s="15" t="s">
        <v>3401</v>
      </c>
      <c r="L29" s="15" t="str">
        <f aca="false">IF(K29="","No","Yes")</f>
        <v>Yes</v>
      </c>
      <c r="M29" s="18" t="str">
        <f aca="false">IF(K29="","",IFERROR(IF(ISNUMBER(SEARCH(A29,INDEX(Pages!$J$2:$J$824,MATCH(K29,Pages!$B$2:$B$824,0)))),"Yes","No"),"Page not found"))</f>
        <v>Yes</v>
      </c>
      <c r="N29" s="3" t="s">
        <v>5456</v>
      </c>
      <c r="O29" s="3"/>
      <c r="P29" s="19"/>
      <c r="Q29" s="17"/>
      <c r="R29" s="17"/>
    </row>
    <row r="30" customFormat="false" ht="15" hidden="false" customHeight="false" outlineLevel="0" collapsed="false">
      <c r="A30" s="15" t="s">
        <v>5319</v>
      </c>
      <c r="B30" s="15" t="s">
        <v>82</v>
      </c>
      <c r="C30" s="15" t="s">
        <v>265</v>
      </c>
      <c r="D30" s="15" t="s">
        <v>715</v>
      </c>
      <c r="E30" s="15" t="s">
        <v>2316</v>
      </c>
      <c r="F30" s="16" t="n">
        <v>840</v>
      </c>
      <c r="G30" s="15" t="n">
        <v>79</v>
      </c>
      <c r="H30" s="15" t="s">
        <v>5169</v>
      </c>
      <c r="I30" s="15" t="s">
        <v>5228</v>
      </c>
      <c r="J30" s="15" t="n">
        <v>2</v>
      </c>
      <c r="K30" s="15" t="s">
        <v>2687</v>
      </c>
      <c r="L30" s="15" t="str">
        <f aca="false">IF(K30="","No","Yes")</f>
        <v>Yes</v>
      </c>
      <c r="M30" s="18" t="str">
        <f aca="false">IF(K30="","",IFERROR(IF(ISNUMBER(SEARCH(A30,INDEX(Pages!$J$2:$J$824,MATCH(K30,Pages!$B$2:$B$824,0)))),"Yes","No"),"Page not found"))</f>
        <v>No</v>
      </c>
      <c r="N30" s="3" t="s">
        <v>5229</v>
      </c>
      <c r="O30" s="3" t="s">
        <v>5232</v>
      </c>
      <c r="P30" s="19"/>
      <c r="Q30" s="17"/>
      <c r="R30" s="17"/>
    </row>
    <row r="31" customFormat="false" ht="15" hidden="false" customHeight="false" outlineLevel="0" collapsed="false">
      <c r="A31" s="15" t="s">
        <v>3195</v>
      </c>
      <c r="B31" s="15" t="s">
        <v>84</v>
      </c>
      <c r="C31" s="15" t="s">
        <v>314</v>
      </c>
      <c r="D31" s="15" t="s">
        <v>657</v>
      </c>
      <c r="E31" s="15" t="s">
        <v>2092</v>
      </c>
      <c r="F31" s="16" t="n">
        <v>840</v>
      </c>
      <c r="G31" s="15" t="n">
        <v>68</v>
      </c>
      <c r="H31" s="15" t="s">
        <v>5227</v>
      </c>
      <c r="I31" s="15" t="s">
        <v>5392</v>
      </c>
      <c r="J31" s="15" t="n">
        <v>2</v>
      </c>
      <c r="K31" s="15" t="s">
        <v>3191</v>
      </c>
      <c r="L31" s="15" t="str">
        <f aca="false">IF(K31="","No","Yes")</f>
        <v>Yes</v>
      </c>
      <c r="M31" s="18" t="str">
        <f aca="false">IF(K31="","",IFERROR(IF(ISNUMBER(SEARCH(A31,INDEX(Pages!$J$2:$J$824,MATCH(K31,Pages!$B$2:$B$824,0)))),"Yes","No"),"Page not found"))</f>
        <v>Yes</v>
      </c>
      <c r="N31" s="3" t="s">
        <v>5226</v>
      </c>
      <c r="O31" s="3"/>
      <c r="P31" s="19"/>
      <c r="Q31" s="17"/>
      <c r="R31" s="17"/>
    </row>
    <row r="32" customFormat="false" ht="15" hidden="false" customHeight="false" outlineLevel="0" collapsed="false">
      <c r="A32" s="15" t="s">
        <v>2673</v>
      </c>
      <c r="B32" s="15" t="s">
        <v>82</v>
      </c>
      <c r="C32" s="15" t="s">
        <v>265</v>
      </c>
      <c r="D32" s="15" t="s">
        <v>715</v>
      </c>
      <c r="E32" s="15" t="s">
        <v>2295</v>
      </c>
      <c r="F32" s="16" t="n">
        <v>830</v>
      </c>
      <c r="G32" s="15" t="n">
        <v>76</v>
      </c>
      <c r="H32" s="15" t="s">
        <v>5227</v>
      </c>
      <c r="I32" s="15" t="s">
        <v>5228</v>
      </c>
      <c r="J32" s="15" t="n">
        <v>2</v>
      </c>
      <c r="K32" s="15" t="s">
        <v>2669</v>
      </c>
      <c r="L32" s="15" t="str">
        <f aca="false">IF(K32="","No","Yes")</f>
        <v>Yes</v>
      </c>
      <c r="M32" s="18" t="str">
        <f aca="false">IF(K32="","",IFERROR(IF(ISNUMBER(SEARCH(A32,INDEX(Pages!$J$2:$J$824,MATCH(K32,Pages!$B$2:$B$824,0)))),"Yes","No"),"Page not found"))</f>
        <v>No</v>
      </c>
      <c r="N32" s="3" t="s">
        <v>5182</v>
      </c>
      <c r="O32" s="3"/>
      <c r="P32" s="19"/>
      <c r="Q32" s="17"/>
      <c r="R32" s="17"/>
    </row>
    <row r="33" customFormat="false" ht="15" hidden="false" customHeight="false" outlineLevel="0" collapsed="false">
      <c r="A33" s="15" t="s">
        <v>2577</v>
      </c>
      <c r="B33" s="15" t="s">
        <v>82</v>
      </c>
      <c r="C33" s="15" t="s">
        <v>265</v>
      </c>
      <c r="D33" s="15" t="s">
        <v>673</v>
      </c>
      <c r="E33" s="15" t="s">
        <v>2183</v>
      </c>
      <c r="F33" s="16" t="n">
        <v>820</v>
      </c>
      <c r="G33" s="15" t="n">
        <v>64</v>
      </c>
      <c r="H33" s="15" t="s">
        <v>5227</v>
      </c>
      <c r="I33" s="15" t="s">
        <v>5228</v>
      </c>
      <c r="J33" s="15" t="n">
        <v>3</v>
      </c>
      <c r="K33" s="15" t="s">
        <v>2573</v>
      </c>
      <c r="L33" s="15" t="str">
        <f aca="false">IF(K33="","No","Yes")</f>
        <v>Yes</v>
      </c>
      <c r="M33" s="18" t="str">
        <f aca="false">IF(K33="","",IFERROR(IF(ISNUMBER(SEARCH(A33,INDEX(Pages!$J$2:$J$824,MATCH(K33,Pages!$B$2:$B$824,0)))),"Yes","No"),"Page not found"))</f>
        <v>Yes</v>
      </c>
      <c r="N33" s="3" t="s">
        <v>5376</v>
      </c>
      <c r="O33" s="3" t="s">
        <v>5457</v>
      </c>
      <c r="P33" s="19"/>
      <c r="Q33" s="17"/>
      <c r="R33" s="17"/>
    </row>
    <row r="34" customFormat="false" ht="15" hidden="false" customHeight="false" outlineLevel="0" collapsed="false">
      <c r="A34" s="15" t="s">
        <v>5329</v>
      </c>
      <c r="B34" s="15" t="s">
        <v>82</v>
      </c>
      <c r="C34" s="15" t="s">
        <v>265</v>
      </c>
      <c r="D34" s="15" t="s">
        <v>657</v>
      </c>
      <c r="E34" s="15" t="s">
        <v>2092</v>
      </c>
      <c r="F34" s="16" t="n">
        <v>730</v>
      </c>
      <c r="G34" s="15" t="n">
        <v>71</v>
      </c>
      <c r="H34" s="15" t="s">
        <v>5169</v>
      </c>
      <c r="I34" s="15" t="s">
        <v>5228</v>
      </c>
      <c r="J34" s="15" t="n">
        <v>2</v>
      </c>
      <c r="K34" s="15" t="s">
        <v>2495</v>
      </c>
      <c r="L34" s="15" t="str">
        <f aca="false">IF(K34="","No","Yes")</f>
        <v>Yes</v>
      </c>
      <c r="M34" s="18" t="str">
        <f aca="false">IF(K34="","",IFERROR(IF(ISNUMBER(SEARCH(A34,INDEX(Pages!$J$2:$J$824,MATCH(K34,Pages!$B$2:$B$824,0)))),"Yes","No"),"Page not found"))</f>
        <v>No</v>
      </c>
      <c r="N34" s="3" t="s">
        <v>5182</v>
      </c>
      <c r="O34" s="3" t="s">
        <v>5232</v>
      </c>
      <c r="P34" s="19"/>
      <c r="Q34" s="17"/>
      <c r="R34" s="17"/>
    </row>
    <row r="35" customFormat="false" ht="15" hidden="false" customHeight="false" outlineLevel="0" collapsed="false">
      <c r="A35" s="15" t="s">
        <v>2553</v>
      </c>
      <c r="B35" s="15" t="s">
        <v>82</v>
      </c>
      <c r="C35" s="15" t="s">
        <v>265</v>
      </c>
      <c r="D35" s="15" t="s">
        <v>666</v>
      </c>
      <c r="E35" s="15" t="s">
        <v>2155</v>
      </c>
      <c r="F35" s="16" t="n">
        <v>710</v>
      </c>
      <c r="G35" s="15" t="n">
        <v>60</v>
      </c>
      <c r="H35" s="15" t="s">
        <v>5227</v>
      </c>
      <c r="I35" s="15" t="s">
        <v>5228</v>
      </c>
      <c r="J35" s="15" t="n">
        <v>3</v>
      </c>
      <c r="K35" s="15" t="s">
        <v>2549</v>
      </c>
      <c r="L35" s="15" t="str">
        <f aca="false">IF(K35="","No","Yes")</f>
        <v>Yes</v>
      </c>
      <c r="M35" s="18" t="str">
        <f aca="false">IF(K35="","",IFERROR(IF(ISNUMBER(SEARCH(A35,INDEX(Pages!$J$2:$J$824,MATCH(K35,Pages!$B$2:$B$824,0)))),"Yes","No"),"Page not found"))</f>
        <v>Yes</v>
      </c>
      <c r="N35" s="3" t="s">
        <v>5426</v>
      </c>
      <c r="O35" s="3" t="s">
        <v>5377</v>
      </c>
      <c r="P35" s="19"/>
      <c r="Q35" s="17"/>
      <c r="R35" s="17"/>
    </row>
    <row r="36" customFormat="false" ht="15" hidden="false" customHeight="false" outlineLevel="0" collapsed="false">
      <c r="A36" s="15" t="s">
        <v>4233</v>
      </c>
      <c r="B36" s="15" t="s">
        <v>86</v>
      </c>
      <c r="C36" s="15" t="s">
        <v>356</v>
      </c>
      <c r="D36" s="15" t="s">
        <v>657</v>
      </c>
      <c r="E36" s="15" t="s">
        <v>2084</v>
      </c>
      <c r="F36" s="16" t="n">
        <v>710</v>
      </c>
      <c r="G36" s="15" t="n">
        <v>60</v>
      </c>
      <c r="H36" s="15" t="s">
        <v>5227</v>
      </c>
      <c r="I36" s="15" t="s">
        <v>5392</v>
      </c>
      <c r="J36" s="15" t="n">
        <v>4</v>
      </c>
      <c r="K36" s="15" t="s">
        <v>4229</v>
      </c>
      <c r="L36" s="15" t="str">
        <f aca="false">IF(K36="","No","Yes")</f>
        <v>Yes</v>
      </c>
      <c r="M36" s="18" t="str">
        <f aca="false">IF(K36="","",IFERROR(IF(ISNUMBER(SEARCH(A36,INDEX(Pages!$J$2:$J$824,MATCH(K36,Pages!$B$2:$B$824,0)))),"Yes","No"),"Page not found"))</f>
        <v>Yes</v>
      </c>
      <c r="N36" s="3" t="s">
        <v>5226</v>
      </c>
      <c r="O36" s="3"/>
      <c r="P36" s="19"/>
      <c r="Q36" s="17"/>
      <c r="R36" s="17"/>
    </row>
    <row r="37" customFormat="false" ht="15" hidden="false" customHeight="false" outlineLevel="0" collapsed="false">
      <c r="A37" s="15" t="s">
        <v>4889</v>
      </c>
      <c r="B37" s="15" t="s">
        <v>94</v>
      </c>
      <c r="C37" s="15"/>
      <c r="D37" s="15" t="s">
        <v>715</v>
      </c>
      <c r="E37" s="15" t="s">
        <v>2379</v>
      </c>
      <c r="F37" s="16" t="n">
        <v>680</v>
      </c>
      <c r="G37" s="15" t="n">
        <v>30</v>
      </c>
      <c r="H37" s="15" t="s">
        <v>5227</v>
      </c>
      <c r="I37" s="15" t="s">
        <v>5243</v>
      </c>
      <c r="J37" s="15" t="n">
        <v>1</v>
      </c>
      <c r="K37" s="15" t="s">
        <v>4885</v>
      </c>
      <c r="L37" s="15" t="str">
        <f aca="false">IF(K37="","No","Yes")</f>
        <v>Yes</v>
      </c>
      <c r="M37" s="18" t="str">
        <f aca="false">IF(K37="","",IFERROR(IF(ISNUMBER(SEARCH(A37,INDEX(Pages!$J$2:$J$824,MATCH(K37,Pages!$B$2:$B$824,0)))),"Yes","No"),"Page not found"))</f>
        <v>No</v>
      </c>
      <c r="N37" s="3" t="s">
        <v>5471</v>
      </c>
      <c r="O37" s="3" t="s">
        <v>5472</v>
      </c>
      <c r="P37" s="19"/>
      <c r="Q37" s="17"/>
      <c r="R37" s="17"/>
    </row>
    <row r="38" customFormat="false" ht="15" hidden="false" customHeight="false" outlineLevel="0" collapsed="false">
      <c r="A38" s="15" t="s">
        <v>3273</v>
      </c>
      <c r="B38" s="15" t="s">
        <v>84</v>
      </c>
      <c r="C38" s="15" t="s">
        <v>314</v>
      </c>
      <c r="D38" s="15" t="s">
        <v>673</v>
      </c>
      <c r="E38" s="15" t="s">
        <v>2183</v>
      </c>
      <c r="F38" s="16" t="n">
        <v>660</v>
      </c>
      <c r="G38" s="15" t="n">
        <v>52</v>
      </c>
      <c r="H38" s="15" t="s">
        <v>5227</v>
      </c>
      <c r="I38" s="15" t="s">
        <v>5392</v>
      </c>
      <c r="J38" s="15" t="n">
        <v>2</v>
      </c>
      <c r="K38" s="15" t="s">
        <v>3269</v>
      </c>
      <c r="L38" s="15" t="str">
        <f aca="false">IF(K38="","No","Yes")</f>
        <v>Yes</v>
      </c>
      <c r="M38" s="18" t="str">
        <f aca="false">IF(K38="","",IFERROR(IF(ISNUMBER(SEARCH(A38,INDEX(Pages!$J$2:$J$824,MATCH(K38,Pages!$B$2:$B$824,0)))),"Yes","No"),"Page not found"))</f>
        <v>Yes</v>
      </c>
      <c r="N38" s="3" t="s">
        <v>5376</v>
      </c>
      <c r="O38" s="3"/>
      <c r="P38" s="19"/>
      <c r="Q38" s="17"/>
      <c r="R38" s="17"/>
    </row>
    <row r="39" customFormat="false" ht="15" hidden="false" customHeight="false" outlineLevel="0" collapsed="false">
      <c r="A39" s="15" t="s">
        <v>2697</v>
      </c>
      <c r="B39" s="15" t="s">
        <v>82</v>
      </c>
      <c r="C39" s="15" t="s">
        <v>265</v>
      </c>
      <c r="D39" s="15" t="s">
        <v>715</v>
      </c>
      <c r="E39" s="15" t="s">
        <v>2323</v>
      </c>
      <c r="F39" s="16" t="n">
        <v>650</v>
      </c>
      <c r="G39" s="15" t="n">
        <v>68</v>
      </c>
      <c r="H39" s="15" t="s">
        <v>5227</v>
      </c>
      <c r="I39" s="15" t="s">
        <v>5228</v>
      </c>
      <c r="J39" s="15" t="n">
        <v>2</v>
      </c>
      <c r="K39" s="15" t="s">
        <v>2693</v>
      </c>
      <c r="L39" s="15" t="str">
        <f aca="false">IF(K39="","No","Yes")</f>
        <v>Yes</v>
      </c>
      <c r="M39" s="18" t="str">
        <f aca="false">IF(K39="","",IFERROR(IF(ISNUMBER(SEARCH(A39,INDEX(Pages!$J$2:$J$824,MATCH(K39,Pages!$B$2:$B$824,0)))),"Yes","No"),"Page not found"))</f>
        <v>Yes</v>
      </c>
      <c r="N39" s="3" t="s">
        <v>5182</v>
      </c>
      <c r="O39" s="3"/>
      <c r="P39" s="19"/>
      <c r="Q39" s="17"/>
      <c r="R39" s="17"/>
    </row>
    <row r="40" customFormat="false" ht="15" hidden="false" customHeight="false" outlineLevel="0" collapsed="false">
      <c r="A40" s="15" t="s">
        <v>2769</v>
      </c>
      <c r="B40" s="15" t="s">
        <v>82</v>
      </c>
      <c r="C40" s="15" t="s">
        <v>265</v>
      </c>
      <c r="D40" s="15" t="s">
        <v>715</v>
      </c>
      <c r="E40" s="15" t="s">
        <v>2407</v>
      </c>
      <c r="F40" s="16" t="n">
        <v>640</v>
      </c>
      <c r="G40" s="15" t="n">
        <v>76</v>
      </c>
      <c r="H40" s="15" t="s">
        <v>5227</v>
      </c>
      <c r="I40" s="15" t="s">
        <v>5228</v>
      </c>
      <c r="J40" s="15" t="n">
        <v>3</v>
      </c>
      <c r="K40" s="15" t="s">
        <v>2765</v>
      </c>
      <c r="L40" s="15" t="str">
        <f aca="false">IF(K40="","No","Yes")</f>
        <v>Yes</v>
      </c>
      <c r="M40" s="18" t="str">
        <f aca="false">IF(K40="","",IFERROR(IF(ISNUMBER(SEARCH(A40,INDEX(Pages!$J$2:$J$824,MATCH(K40,Pages!$B$2:$B$824,0)))),"Yes","No"),"Page not found"))</f>
        <v>Yes</v>
      </c>
      <c r="N40" s="3" t="s">
        <v>5182</v>
      </c>
      <c r="O40" s="3"/>
      <c r="P40" s="19"/>
      <c r="Q40" s="17"/>
      <c r="R40" s="17"/>
    </row>
    <row r="41" customFormat="false" ht="15" hidden="false" customHeight="false" outlineLevel="0" collapsed="false">
      <c r="A41" s="15" t="s">
        <v>3387</v>
      </c>
      <c r="B41" s="15" t="s">
        <v>84</v>
      </c>
      <c r="C41" s="15" t="s">
        <v>314</v>
      </c>
      <c r="D41" s="15" t="s">
        <v>715</v>
      </c>
      <c r="E41" s="15" t="s">
        <v>2316</v>
      </c>
      <c r="F41" s="16" t="n">
        <v>640</v>
      </c>
      <c r="G41" s="15" t="n">
        <v>64</v>
      </c>
      <c r="H41" s="15" t="s">
        <v>5227</v>
      </c>
      <c r="I41" s="15" t="s">
        <v>5392</v>
      </c>
      <c r="J41" s="15" t="n">
        <v>2</v>
      </c>
      <c r="K41" s="15" t="s">
        <v>3383</v>
      </c>
      <c r="L41" s="15" t="str">
        <f aca="false">IF(K41="","No","Yes")</f>
        <v>Yes</v>
      </c>
      <c r="M41" s="18" t="str">
        <f aca="false">IF(K41="","",IFERROR(IF(ISNUMBER(SEARCH(A41,INDEX(Pages!$J$2:$J$824,MATCH(K41,Pages!$B$2:$B$824,0)))),"Yes","No"),"Page not found"))</f>
        <v>Yes</v>
      </c>
      <c r="N41" s="3" t="s">
        <v>5182</v>
      </c>
      <c r="O41" s="3"/>
      <c r="P41" s="19"/>
      <c r="Q41" s="17"/>
      <c r="R41" s="17"/>
    </row>
    <row r="42" customFormat="false" ht="15" hidden="false" customHeight="false" outlineLevel="0" collapsed="false">
      <c r="A42" s="15" t="s">
        <v>2703</v>
      </c>
      <c r="B42" s="15" t="s">
        <v>82</v>
      </c>
      <c r="C42" s="15" t="s">
        <v>265</v>
      </c>
      <c r="D42" s="15" t="s">
        <v>715</v>
      </c>
      <c r="E42" s="15" t="s">
        <v>2330</v>
      </c>
      <c r="F42" s="16" t="n">
        <v>610</v>
      </c>
      <c r="G42" s="15" t="n">
        <v>68</v>
      </c>
      <c r="H42" s="15" t="s">
        <v>5227</v>
      </c>
      <c r="I42" s="15" t="s">
        <v>5228</v>
      </c>
      <c r="J42" s="15" t="n">
        <v>3</v>
      </c>
      <c r="K42" s="15" t="s">
        <v>2699</v>
      </c>
      <c r="L42" s="15" t="str">
        <f aca="false">IF(K42="","No","Yes")</f>
        <v>Yes</v>
      </c>
      <c r="M42" s="18" t="str">
        <f aca="false">IF(K42="","",IFERROR(IF(ISNUMBER(SEARCH(A42,INDEX(Pages!$J$2:$J$824,MATCH(K42,Pages!$B$2:$B$824,0)))),"Yes","No"),"Page not found"))</f>
        <v>Yes</v>
      </c>
      <c r="N42" s="3" t="s">
        <v>5182</v>
      </c>
      <c r="O42" s="3"/>
      <c r="P42" s="19"/>
      <c r="Q42" s="17"/>
      <c r="R42" s="17"/>
    </row>
    <row r="43" customFormat="false" ht="15" hidden="false" customHeight="false" outlineLevel="0" collapsed="false">
      <c r="A43" s="15" t="s">
        <v>3327</v>
      </c>
      <c r="B43" s="15" t="s">
        <v>84</v>
      </c>
      <c r="C43" s="15" t="s">
        <v>314</v>
      </c>
      <c r="D43" s="15" t="s">
        <v>715</v>
      </c>
      <c r="E43" s="15" t="s">
        <v>2246</v>
      </c>
      <c r="F43" s="16" t="n">
        <v>600</v>
      </c>
      <c r="G43" s="15" t="n">
        <v>56</v>
      </c>
      <c r="H43" s="15" t="s">
        <v>5227</v>
      </c>
      <c r="I43" s="15" t="s">
        <v>5392</v>
      </c>
      <c r="J43" s="15" t="n">
        <v>2</v>
      </c>
      <c r="K43" s="15" t="s">
        <v>3323</v>
      </c>
      <c r="L43" s="15" t="str">
        <f aca="false">IF(K43="","No","Yes")</f>
        <v>Yes</v>
      </c>
      <c r="M43" s="18" t="str">
        <f aca="false">IF(K43="","",IFERROR(IF(ISNUMBER(SEARCH(A43,INDEX(Pages!$J$2:$J$824,MATCH(K43,Pages!$B$2:$B$824,0)))),"Yes","No"),"Page not found"))</f>
        <v>Yes</v>
      </c>
      <c r="N43" s="3" t="s">
        <v>5393</v>
      </c>
      <c r="O43" s="3"/>
      <c r="P43" s="19"/>
      <c r="Q43" s="17"/>
      <c r="R43" s="17"/>
    </row>
    <row r="44" customFormat="false" ht="15" hidden="false" customHeight="false" outlineLevel="0" collapsed="false">
      <c r="A44" s="15" t="s">
        <v>3255</v>
      </c>
      <c r="B44" s="15" t="s">
        <v>84</v>
      </c>
      <c r="C44" s="15" t="s">
        <v>314</v>
      </c>
      <c r="D44" s="15" t="s">
        <v>666</v>
      </c>
      <c r="E44" s="15" t="s">
        <v>2162</v>
      </c>
      <c r="F44" s="16" t="n">
        <v>600</v>
      </c>
      <c r="G44" s="15" t="n">
        <v>64</v>
      </c>
      <c r="H44" s="15" t="s">
        <v>5227</v>
      </c>
      <c r="I44" s="15" t="s">
        <v>5392</v>
      </c>
      <c r="J44" s="15" t="n">
        <v>2</v>
      </c>
      <c r="K44" s="15" t="s">
        <v>3251</v>
      </c>
      <c r="L44" s="15" t="str">
        <f aca="false">IF(K44="","No","Yes")</f>
        <v>Yes</v>
      </c>
      <c r="M44" s="18" t="str">
        <f aca="false">IF(K44="","",IFERROR(IF(ISNUMBER(SEARCH(A44,INDEX(Pages!$J$2:$J$824,MATCH(K44,Pages!$B$2:$B$824,0)))),"Yes","No"),"Page not found"))</f>
        <v>Yes</v>
      </c>
      <c r="N44" s="3" t="s">
        <v>5192</v>
      </c>
      <c r="O44" s="3"/>
      <c r="P44" s="19"/>
      <c r="Q44" s="17"/>
      <c r="R44" s="17"/>
    </row>
    <row r="45" customFormat="false" ht="15" hidden="false" customHeight="false" outlineLevel="0" collapsed="false">
      <c r="A45" s="15" t="s">
        <v>2383</v>
      </c>
      <c r="B45" s="15" t="s">
        <v>89</v>
      </c>
      <c r="C45" s="15" t="s">
        <v>258</v>
      </c>
      <c r="D45" s="15" t="s">
        <v>715</v>
      </c>
      <c r="E45" s="15" t="s">
        <v>2379</v>
      </c>
      <c r="F45" s="16" t="n">
        <v>590</v>
      </c>
      <c r="G45" s="15" t="n">
        <v>41</v>
      </c>
      <c r="H45" s="15" t="s">
        <v>5227</v>
      </c>
      <c r="I45" s="15" t="s">
        <v>5473</v>
      </c>
      <c r="J45" s="15" t="n">
        <v>1</v>
      </c>
      <c r="K45" s="15" t="s">
        <v>2378</v>
      </c>
      <c r="L45" s="15" t="str">
        <f aca="false">IF(K45="","No","Yes")</f>
        <v>Yes</v>
      </c>
      <c r="M45" s="18" t="str">
        <f aca="false">IF(K45="","",IFERROR(IF(ISNUMBER(SEARCH(A45,INDEX(Pages!$J$2:$J$824,MATCH(K45,Pages!$B$2:$B$824,0)))),"Yes","No"),"Page not found"))</f>
        <v>Yes</v>
      </c>
      <c r="N45" s="3" t="s">
        <v>5426</v>
      </c>
      <c r="O45" s="3"/>
      <c r="P45" s="19"/>
      <c r="Q45" s="17"/>
      <c r="R45" s="17"/>
    </row>
    <row r="46" customFormat="false" ht="15" hidden="false" customHeight="false" outlineLevel="0" collapsed="false">
      <c r="A46" s="15" t="s">
        <v>3093</v>
      </c>
      <c r="B46" s="15" t="s">
        <v>85</v>
      </c>
      <c r="C46" s="15" t="s">
        <v>272</v>
      </c>
      <c r="D46" s="15" t="s">
        <v>715</v>
      </c>
      <c r="E46" s="15" t="s">
        <v>2379</v>
      </c>
      <c r="F46" s="16" t="n">
        <v>590</v>
      </c>
      <c r="G46" s="15" t="n">
        <v>56</v>
      </c>
      <c r="H46" s="15" t="s">
        <v>5227</v>
      </c>
      <c r="I46" s="15" t="s">
        <v>5392</v>
      </c>
      <c r="J46" s="15" t="n">
        <v>3</v>
      </c>
      <c r="K46" s="15" t="s">
        <v>3089</v>
      </c>
      <c r="L46" s="15" t="str">
        <f aca="false">IF(K46="","No","Yes")</f>
        <v>Yes</v>
      </c>
      <c r="M46" s="18" t="str">
        <f aca="false">IF(K46="","",IFERROR(IF(ISNUMBER(SEARCH(A46,INDEX(Pages!$J$2:$J$824,MATCH(K46,Pages!$B$2:$B$824,0)))),"Yes","No"),"Page not found"))</f>
        <v>Yes</v>
      </c>
      <c r="N46" s="3" t="s">
        <v>5476</v>
      </c>
      <c r="O46" s="3"/>
      <c r="P46" s="19"/>
      <c r="Q46" s="17"/>
      <c r="R46" s="17"/>
    </row>
    <row r="47" customFormat="false" ht="15" hidden="false" customHeight="false" outlineLevel="0" collapsed="false">
      <c r="A47" s="15" t="s">
        <v>5359</v>
      </c>
      <c r="B47" s="15" t="s">
        <v>82</v>
      </c>
      <c r="C47" s="15" t="s">
        <v>265</v>
      </c>
      <c r="D47" s="15" t="s">
        <v>715</v>
      </c>
      <c r="E47" s="15" t="s">
        <v>2337</v>
      </c>
      <c r="F47" s="16" t="n">
        <v>580</v>
      </c>
      <c r="G47" s="15" t="n">
        <v>79</v>
      </c>
      <c r="H47" s="15" t="s">
        <v>5169</v>
      </c>
      <c r="I47" s="15" t="s">
        <v>5228</v>
      </c>
      <c r="J47" s="15" t="n">
        <v>3</v>
      </c>
      <c r="K47" s="15" t="s">
        <v>2705</v>
      </c>
      <c r="L47" s="15" t="str">
        <f aca="false">IF(K47="","No","Yes")</f>
        <v>Yes</v>
      </c>
      <c r="M47" s="18" t="str">
        <f aca="false">IF(K47="","",IFERROR(IF(ISNUMBER(SEARCH(A47,INDEX(Pages!$J$2:$J$824,MATCH(K47,Pages!$B$2:$B$824,0)))),"Yes","No"),"Page not found"))</f>
        <v>No</v>
      </c>
      <c r="N47" s="3" t="s">
        <v>5229</v>
      </c>
      <c r="O47" s="3" t="s">
        <v>5232</v>
      </c>
      <c r="P47" s="19"/>
      <c r="Q47" s="17"/>
      <c r="R47" s="17"/>
    </row>
    <row r="48" customFormat="false" ht="15" hidden="false" customHeight="false" outlineLevel="0" collapsed="false">
      <c r="A48" s="15" t="s">
        <v>4449</v>
      </c>
      <c r="B48" s="15" t="s">
        <v>86</v>
      </c>
      <c r="C48" s="15" t="s">
        <v>356</v>
      </c>
      <c r="D48" s="15" t="s">
        <v>715</v>
      </c>
      <c r="E48" s="15" t="s">
        <v>2337</v>
      </c>
      <c r="F48" s="16" t="n">
        <v>580</v>
      </c>
      <c r="G48" s="15" t="n">
        <v>52</v>
      </c>
      <c r="H48" s="15" t="s">
        <v>5227</v>
      </c>
      <c r="I48" s="15" t="s">
        <v>5392</v>
      </c>
      <c r="J48" s="15" t="n">
        <v>3</v>
      </c>
      <c r="K48" s="15" t="s">
        <v>4445</v>
      </c>
      <c r="L48" s="15" t="str">
        <f aca="false">IF(K48="","No","Yes")</f>
        <v>Yes</v>
      </c>
      <c r="M48" s="18" t="str">
        <f aca="false">IF(K48="","",IFERROR(IF(ISNUMBER(SEARCH(A48,INDEX(Pages!$J$2:$J$824,MATCH(K48,Pages!$B$2:$B$824,0)))),"Yes","No"),"Page not found"))</f>
        <v>Yes</v>
      </c>
      <c r="N48" s="3" t="s">
        <v>5408</v>
      </c>
      <c r="O48" s="3"/>
      <c r="P48" s="19"/>
      <c r="Q48" s="17"/>
      <c r="R48" s="17"/>
    </row>
    <row r="49" customFormat="false" ht="23.85" hidden="false" customHeight="false" outlineLevel="0" collapsed="false">
      <c r="A49" s="15" t="s">
        <v>5299</v>
      </c>
      <c r="B49" s="15" t="s">
        <v>82</v>
      </c>
      <c r="C49" s="15" t="s">
        <v>265</v>
      </c>
      <c r="D49" s="15" t="s">
        <v>715</v>
      </c>
      <c r="E49" s="15" t="s">
        <v>2246</v>
      </c>
      <c r="F49" s="16" t="n">
        <v>570</v>
      </c>
      <c r="G49" s="15" t="n">
        <v>71</v>
      </c>
      <c r="H49" s="15" t="s">
        <v>5177</v>
      </c>
      <c r="I49" s="15" t="s">
        <v>5228</v>
      </c>
      <c r="J49" s="15" t="n">
        <v>2</v>
      </c>
      <c r="K49" s="15" t="s">
        <v>2627</v>
      </c>
      <c r="L49" s="15" t="str">
        <f aca="false">IF(K49="","No","Yes")</f>
        <v>Yes</v>
      </c>
      <c r="M49" s="18" t="str">
        <f aca="false">IF(K49="","",IFERROR(IF(ISNUMBER(SEARCH(A49,INDEX(Pages!$J$2:$J$824,MATCH(K49,Pages!$B$2:$B$824,0)))),"Yes","No"),"Page not found"))</f>
        <v>No</v>
      </c>
      <c r="N49" s="3" t="s">
        <v>5297</v>
      </c>
      <c r="O49" s="3" t="s">
        <v>5234</v>
      </c>
      <c r="P49" s="19"/>
      <c r="Q49" s="17"/>
      <c r="R49" s="17"/>
    </row>
    <row r="50" customFormat="false" ht="15" hidden="false" customHeight="false" outlineLevel="0" collapsed="false">
      <c r="A50" s="15" t="s">
        <v>4239</v>
      </c>
      <c r="B50" s="15" t="s">
        <v>86</v>
      </c>
      <c r="C50" s="15" t="s">
        <v>356</v>
      </c>
      <c r="D50" s="15" t="s">
        <v>657</v>
      </c>
      <c r="E50" s="15" t="s">
        <v>2092</v>
      </c>
      <c r="F50" s="16" t="n">
        <v>570</v>
      </c>
      <c r="G50" s="15" t="n">
        <v>60</v>
      </c>
      <c r="H50" s="15" t="s">
        <v>5227</v>
      </c>
      <c r="I50" s="15" t="s">
        <v>5392</v>
      </c>
      <c r="J50" s="15" t="n">
        <v>4</v>
      </c>
      <c r="K50" s="15" t="s">
        <v>4235</v>
      </c>
      <c r="L50" s="15" t="str">
        <f aca="false">IF(K50="","No","Yes")</f>
        <v>Yes</v>
      </c>
      <c r="M50" s="18" t="str">
        <f aca="false">IF(K50="","",IFERROR(IF(ISNUMBER(SEARCH(A50,INDEX(Pages!$J$2:$J$824,MATCH(K50,Pages!$B$2:$B$824,0)))),"Yes","No"),"Page not found"))</f>
        <v>Yes</v>
      </c>
      <c r="N50" s="3" t="s">
        <v>5226</v>
      </c>
      <c r="O50" s="3"/>
      <c r="P50" s="19"/>
      <c r="Q50" s="17"/>
      <c r="R50" s="17"/>
    </row>
    <row r="51" customFormat="false" ht="15" hidden="false" customHeight="false" outlineLevel="0" collapsed="false">
      <c r="A51" s="15" t="s">
        <v>2667</v>
      </c>
      <c r="B51" s="15" t="s">
        <v>82</v>
      </c>
      <c r="C51" s="15" t="s">
        <v>265</v>
      </c>
      <c r="D51" s="15" t="s">
        <v>715</v>
      </c>
      <c r="E51" s="15" t="s">
        <v>2288</v>
      </c>
      <c r="F51" s="16" t="n">
        <v>560</v>
      </c>
      <c r="G51" s="15" t="n">
        <v>76</v>
      </c>
      <c r="H51" s="15" t="s">
        <v>5227</v>
      </c>
      <c r="I51" s="15" t="s">
        <v>5228</v>
      </c>
      <c r="J51" s="15" t="n">
        <v>3</v>
      </c>
      <c r="K51" s="15" t="s">
        <v>2663</v>
      </c>
      <c r="L51" s="15" t="str">
        <f aca="false">IF(K51="","No","Yes")</f>
        <v>Yes</v>
      </c>
      <c r="M51" s="18" t="str">
        <f aca="false">IF(K51="","",IFERROR(IF(ISNUMBER(SEARCH(A51,INDEX(Pages!$J$2:$J$824,MATCH(K51,Pages!$B$2:$B$824,0)))),"Yes","No"),"Page not found"))</f>
        <v>Yes</v>
      </c>
      <c r="N51" s="3" t="s">
        <v>5182</v>
      </c>
      <c r="O51" s="3"/>
      <c r="P51" s="19"/>
      <c r="Q51" s="17"/>
      <c r="R51" s="17"/>
    </row>
    <row r="52" customFormat="false" ht="23.85" hidden="false" customHeight="false" outlineLevel="0" collapsed="false">
      <c r="A52" s="15" t="s">
        <v>5307</v>
      </c>
      <c r="B52" s="15" t="s">
        <v>82</v>
      </c>
      <c r="C52" s="15" t="s">
        <v>265</v>
      </c>
      <c r="D52" s="15" t="s">
        <v>657</v>
      </c>
      <c r="E52" s="15" t="s">
        <v>2084</v>
      </c>
      <c r="F52" s="16" t="n">
        <v>550</v>
      </c>
      <c r="G52" s="15" t="n">
        <v>71</v>
      </c>
      <c r="H52" s="15" t="s">
        <v>5177</v>
      </c>
      <c r="I52" s="15" t="s">
        <v>5228</v>
      </c>
      <c r="J52" s="15" t="n">
        <v>3</v>
      </c>
      <c r="K52" s="15" t="s">
        <v>2489</v>
      </c>
      <c r="L52" s="15" t="str">
        <f aca="false">IF(K52="","No","Yes")</f>
        <v>Yes</v>
      </c>
      <c r="M52" s="18" t="str">
        <f aca="false">IF(K52="","",IFERROR(IF(ISNUMBER(SEARCH(A52,INDEX(Pages!$J$2:$J$824,MATCH(K52,Pages!$B$2:$B$824,0)))),"Yes","No"),"Page not found"))</f>
        <v>No</v>
      </c>
      <c r="N52" s="3" t="s">
        <v>5182</v>
      </c>
      <c r="O52" s="3" t="s">
        <v>5234</v>
      </c>
      <c r="P52" s="19"/>
      <c r="Q52" s="17"/>
      <c r="R52" s="17"/>
    </row>
    <row r="53" customFormat="false" ht="15" hidden="false" customHeight="false" outlineLevel="0" collapsed="false">
      <c r="A53" s="15" t="s">
        <v>3351</v>
      </c>
      <c r="B53" s="15" t="s">
        <v>84</v>
      </c>
      <c r="C53" s="15" t="s">
        <v>314</v>
      </c>
      <c r="D53" s="15" t="s">
        <v>715</v>
      </c>
      <c r="E53" s="15" t="s">
        <v>2274</v>
      </c>
      <c r="F53" s="16" t="n">
        <v>530</v>
      </c>
      <c r="G53" s="15" t="n">
        <v>56</v>
      </c>
      <c r="H53" s="15" t="s">
        <v>5227</v>
      </c>
      <c r="I53" s="15" t="s">
        <v>5392</v>
      </c>
      <c r="J53" s="15" t="n">
        <v>2</v>
      </c>
      <c r="K53" s="15" t="s">
        <v>3347</v>
      </c>
      <c r="L53" s="15" t="str">
        <f aca="false">IF(K53="","No","Yes")</f>
        <v>Yes</v>
      </c>
      <c r="M53" s="18" t="str">
        <f aca="false">IF(K53="","",IFERROR(IF(ISNUMBER(SEARCH(A53,INDEX(Pages!$J$2:$J$824,MATCH(K53,Pages!$B$2:$B$824,0)))),"Yes","No"),"Page not found"))</f>
        <v>Yes</v>
      </c>
      <c r="N53" s="3" t="s">
        <v>5182</v>
      </c>
      <c r="O53" s="3"/>
      <c r="P53" s="19"/>
      <c r="Q53" s="17"/>
      <c r="R53" s="17"/>
    </row>
    <row r="54" customFormat="false" ht="15" hidden="false" customHeight="false" outlineLevel="0" collapsed="false">
      <c r="A54" s="15" t="s">
        <v>3249</v>
      </c>
      <c r="B54" s="15" t="s">
        <v>84</v>
      </c>
      <c r="C54" s="15" t="s">
        <v>314</v>
      </c>
      <c r="D54" s="15" t="s">
        <v>666</v>
      </c>
      <c r="E54" s="15" t="s">
        <v>2155</v>
      </c>
      <c r="F54" s="16" t="n">
        <v>530</v>
      </c>
      <c r="G54" s="15" t="n">
        <v>48</v>
      </c>
      <c r="H54" s="15" t="s">
        <v>5227</v>
      </c>
      <c r="I54" s="15" t="s">
        <v>5392</v>
      </c>
      <c r="J54" s="15" t="n">
        <v>2</v>
      </c>
      <c r="K54" s="15" t="s">
        <v>3245</v>
      </c>
      <c r="L54" s="15" t="str">
        <f aca="false">IF(K54="","No","Yes")</f>
        <v>Yes</v>
      </c>
      <c r="M54" s="18" t="str">
        <f aca="false">IF(K54="","",IFERROR(IF(ISNUMBER(SEARCH(A54,INDEX(Pages!$J$2:$J$824,MATCH(K54,Pages!$B$2:$B$824,0)))),"Yes","No"),"Page not found"))</f>
        <v>Yes</v>
      </c>
      <c r="N54" s="3" t="s">
        <v>5426</v>
      </c>
      <c r="O54" s="3"/>
      <c r="P54" s="19"/>
      <c r="Q54" s="17"/>
      <c r="R54" s="17"/>
    </row>
    <row r="55" customFormat="false" ht="15" hidden="false" customHeight="false" outlineLevel="0" collapsed="false">
      <c r="A55" s="15" t="s">
        <v>5374</v>
      </c>
      <c r="B55" s="15" t="s">
        <v>82</v>
      </c>
      <c r="C55" s="15" t="s">
        <v>265</v>
      </c>
      <c r="D55" s="15" t="s">
        <v>715</v>
      </c>
      <c r="E55" s="15" t="s">
        <v>2274</v>
      </c>
      <c r="F55" s="16" t="n">
        <v>520</v>
      </c>
      <c r="G55" s="15" t="n">
        <v>65</v>
      </c>
      <c r="H55" s="15" t="s">
        <v>5169</v>
      </c>
      <c r="I55" s="15" t="s">
        <v>5228</v>
      </c>
      <c r="J55" s="15" t="n">
        <v>2</v>
      </c>
      <c r="K55" s="15" t="s">
        <v>2651</v>
      </c>
      <c r="L55" s="15" t="str">
        <f aca="false">IF(K55="","No","Yes")</f>
        <v>Yes</v>
      </c>
      <c r="M55" s="18" t="str">
        <f aca="false">IF(K55="","",IFERROR(IF(ISNUMBER(SEARCH(A55,INDEX(Pages!$J$2:$J$824,MATCH(K55,Pages!$B$2:$B$824,0)))),"Yes","No"),"Page not found"))</f>
        <v>No</v>
      </c>
      <c r="N55" s="3" t="s">
        <v>5229</v>
      </c>
      <c r="O55" s="3" t="s">
        <v>5232</v>
      </c>
      <c r="P55" s="19"/>
      <c r="Q55" s="17"/>
      <c r="R55" s="17"/>
    </row>
    <row r="56" customFormat="false" ht="15" hidden="false" customHeight="false" outlineLevel="0" collapsed="false">
      <c r="A56" s="15" t="s">
        <v>2637</v>
      </c>
      <c r="B56" s="15" t="s">
        <v>82</v>
      </c>
      <c r="C56" s="15" t="s">
        <v>265</v>
      </c>
      <c r="D56" s="15" t="s">
        <v>715</v>
      </c>
      <c r="E56" s="15" t="s">
        <v>2253</v>
      </c>
      <c r="F56" s="16" t="n">
        <v>500</v>
      </c>
      <c r="G56" s="15" t="n">
        <v>68</v>
      </c>
      <c r="H56" s="15" t="s">
        <v>5227</v>
      </c>
      <c r="I56" s="15" t="s">
        <v>5228</v>
      </c>
      <c r="J56" s="15" t="n">
        <v>3</v>
      </c>
      <c r="K56" s="15" t="s">
        <v>2633</v>
      </c>
      <c r="L56" s="15" t="str">
        <f aca="false">IF(K56="","No","Yes")</f>
        <v>Yes</v>
      </c>
      <c r="M56" s="18" t="str">
        <f aca="false">IF(K56="","",IFERROR(IF(ISNUMBER(SEARCH(A56,INDEX(Pages!$J$2:$J$824,MATCH(K56,Pages!$B$2:$B$824,0)))),"Yes","No"),"Page not found"))</f>
        <v>Yes</v>
      </c>
      <c r="N56" s="3" t="s">
        <v>5182</v>
      </c>
      <c r="O56" s="3"/>
      <c r="P56" s="19"/>
      <c r="Q56" s="17"/>
      <c r="R56" s="17"/>
    </row>
    <row r="57" customFormat="false" ht="23.85" hidden="false" customHeight="false" outlineLevel="0" collapsed="false">
      <c r="A57" s="15" t="s">
        <v>2619</v>
      </c>
      <c r="B57" s="15" t="s">
        <v>82</v>
      </c>
      <c r="C57" s="15" t="s">
        <v>265</v>
      </c>
      <c r="D57" s="15" t="s">
        <v>715</v>
      </c>
      <c r="E57" s="15" t="s">
        <v>2232</v>
      </c>
      <c r="F57" s="16" t="n">
        <v>490</v>
      </c>
      <c r="G57" s="15" t="n">
        <v>56</v>
      </c>
      <c r="H57" s="15" t="s">
        <v>5227</v>
      </c>
      <c r="I57" s="15" t="s">
        <v>5228</v>
      </c>
      <c r="J57" s="15" t="n">
        <v>3</v>
      </c>
      <c r="K57" s="15" t="s">
        <v>2615</v>
      </c>
      <c r="L57" s="15" t="str">
        <f aca="false">IF(K57="","No","Yes")</f>
        <v>Yes</v>
      </c>
      <c r="M57" s="18" t="str">
        <f aca="false">IF(K57="","",IFERROR(IF(ISNUMBER(SEARCH(A57,INDEX(Pages!$J$2:$J$824,MATCH(K57,Pages!$B$2:$B$824,0)))),"Yes","No"),"Page not found"))</f>
        <v>Yes</v>
      </c>
      <c r="N57" s="3" t="s">
        <v>5212</v>
      </c>
      <c r="O57" s="3" t="s">
        <v>5483</v>
      </c>
      <c r="P57" s="19"/>
      <c r="Q57" s="17"/>
      <c r="R57" s="17"/>
    </row>
    <row r="58" customFormat="false" ht="23.85" hidden="false" customHeight="false" outlineLevel="0" collapsed="false">
      <c r="A58" s="15" t="s">
        <v>2763</v>
      </c>
      <c r="B58" s="15" t="s">
        <v>82</v>
      </c>
      <c r="C58" s="15" t="s">
        <v>265</v>
      </c>
      <c r="D58" s="15" t="s">
        <v>715</v>
      </c>
      <c r="E58" s="15" t="s">
        <v>2400</v>
      </c>
      <c r="F58" s="16" t="n">
        <v>490</v>
      </c>
      <c r="G58" s="15" t="n">
        <v>56</v>
      </c>
      <c r="H58" s="15" t="s">
        <v>5227</v>
      </c>
      <c r="I58" s="15" t="s">
        <v>5228</v>
      </c>
      <c r="J58" s="15" t="n">
        <v>3</v>
      </c>
      <c r="K58" s="15" t="s">
        <v>2759</v>
      </c>
      <c r="L58" s="15" t="str">
        <f aca="false">IF(K58="","No","Yes")</f>
        <v>Yes</v>
      </c>
      <c r="M58" s="18" t="str">
        <f aca="false">IF(K58="","",IFERROR(IF(ISNUMBER(SEARCH(A58,INDEX(Pages!$J$2:$J$824,MATCH(K58,Pages!$B$2:$B$824,0)))),"Yes","No"),"Page not found"))</f>
        <v>Yes</v>
      </c>
      <c r="N58" s="3" t="s">
        <v>5212</v>
      </c>
      <c r="O58" s="3" t="s">
        <v>5483</v>
      </c>
      <c r="P58" s="19"/>
      <c r="Q58" s="17"/>
      <c r="R58" s="17"/>
    </row>
    <row r="59" customFormat="false" ht="15" hidden="false" customHeight="false" outlineLevel="0" collapsed="false">
      <c r="A59" s="15" t="s">
        <v>5613</v>
      </c>
      <c r="B59" s="15" t="s">
        <v>82</v>
      </c>
      <c r="C59" s="15" t="s">
        <v>265</v>
      </c>
      <c r="D59" s="15" t="s">
        <v>729</v>
      </c>
      <c r="E59" s="15" t="s">
        <v>2428</v>
      </c>
      <c r="F59" s="16" t="n">
        <v>480</v>
      </c>
      <c r="G59" s="15" t="n">
        <v>45</v>
      </c>
      <c r="H59" s="15" t="s">
        <v>5227</v>
      </c>
      <c r="I59" s="15" t="s">
        <v>5568</v>
      </c>
      <c r="J59" s="15" t="n">
        <v>3</v>
      </c>
      <c r="K59" s="15"/>
      <c r="L59" s="15" t="str">
        <f aca="false">IF(K59="","No","Yes")</f>
        <v>No</v>
      </c>
      <c r="M59" s="18" t="str">
        <f aca="false">IF(K59="","",IFERROR(IF(ISNUMBER(SEARCH(A59,INDEX(Pages!$J$2:$J$824,MATCH(K59,Pages!$B$2:$B$824,0)))),"Yes","No"),"Page not found"))</f>
        <v/>
      </c>
      <c r="N59" s="3" t="s">
        <v>5408</v>
      </c>
      <c r="O59" s="3" t="s">
        <v>5614</v>
      </c>
      <c r="P59" s="19"/>
      <c r="Q59" s="17"/>
      <c r="R59" s="17"/>
    </row>
    <row r="60" customFormat="false" ht="23.85" hidden="false" customHeight="false" outlineLevel="0" collapsed="false">
      <c r="A60" s="15" t="s">
        <v>5320</v>
      </c>
      <c r="B60" s="15" t="s">
        <v>82</v>
      </c>
      <c r="C60" s="15" t="s">
        <v>265</v>
      </c>
      <c r="D60" s="15" t="s">
        <v>715</v>
      </c>
      <c r="E60" s="15" t="s">
        <v>2316</v>
      </c>
      <c r="F60" s="16" t="n">
        <v>480</v>
      </c>
      <c r="G60" s="15" t="n">
        <v>79</v>
      </c>
      <c r="H60" s="15" t="s">
        <v>5177</v>
      </c>
      <c r="I60" s="15" t="s">
        <v>5228</v>
      </c>
      <c r="J60" s="15" t="n">
        <v>3</v>
      </c>
      <c r="K60" s="15" t="s">
        <v>2687</v>
      </c>
      <c r="L60" s="15" t="str">
        <f aca="false">IF(K60="","No","Yes")</f>
        <v>Yes</v>
      </c>
      <c r="M60" s="18" t="str">
        <f aca="false">IF(K60="","",IFERROR(IF(ISNUMBER(SEARCH(A60,INDEX(Pages!$J$2:$J$824,MATCH(K60,Pages!$B$2:$B$824,0)))),"Yes","No"),"Page not found"))</f>
        <v>No</v>
      </c>
      <c r="N60" s="3" t="s">
        <v>5229</v>
      </c>
      <c r="O60" s="3" t="s">
        <v>5234</v>
      </c>
      <c r="P60" s="19"/>
      <c r="Q60" s="17"/>
      <c r="R60" s="17"/>
    </row>
    <row r="61" customFormat="false" ht="23.85" hidden="false" customHeight="false" outlineLevel="0" collapsed="false">
      <c r="A61" s="15" t="s">
        <v>3537</v>
      </c>
      <c r="B61" s="15" t="s">
        <v>74</v>
      </c>
      <c r="C61" s="15" t="s">
        <v>321</v>
      </c>
      <c r="D61" s="15" t="s">
        <v>657</v>
      </c>
      <c r="E61" s="15" t="s">
        <v>2084</v>
      </c>
      <c r="F61" s="16" t="n">
        <v>480</v>
      </c>
      <c r="G61" s="15" t="n">
        <v>47</v>
      </c>
      <c r="H61" s="15" t="s">
        <v>5227</v>
      </c>
      <c r="I61" s="15" t="s">
        <v>5444</v>
      </c>
      <c r="J61" s="15" t="n">
        <v>1</v>
      </c>
      <c r="K61" s="15" t="s">
        <v>3533</v>
      </c>
      <c r="L61" s="15" t="str">
        <f aca="false">IF(K61="","No","Yes")</f>
        <v>Yes</v>
      </c>
      <c r="M61" s="18" t="str">
        <f aca="false">IF(K61="","",IFERROR(IF(ISNUMBER(SEARCH(A61,INDEX(Pages!$J$2:$J$824,MATCH(K61,Pages!$B$2:$B$824,0)))),"Yes","No"),"Page not found"))</f>
        <v>Yes</v>
      </c>
      <c r="N61" s="3" t="s">
        <v>5486</v>
      </c>
      <c r="O61" s="3" t="s">
        <v>5230</v>
      </c>
      <c r="P61" s="19"/>
      <c r="Q61" s="17"/>
      <c r="R61" s="17"/>
    </row>
    <row r="62" customFormat="false" ht="15" hidden="false" customHeight="false" outlineLevel="0" collapsed="false">
      <c r="A62" s="15" t="s">
        <v>5382</v>
      </c>
      <c r="B62" s="15" t="s">
        <v>82</v>
      </c>
      <c r="C62" s="15" t="s">
        <v>265</v>
      </c>
      <c r="D62" s="15" t="s">
        <v>715</v>
      </c>
      <c r="E62" s="15" t="s">
        <v>2386</v>
      </c>
      <c r="F62" s="16" t="n">
        <v>460</v>
      </c>
      <c r="G62" s="15" t="n">
        <v>67</v>
      </c>
      <c r="H62" s="15" t="s">
        <v>5169</v>
      </c>
      <c r="I62" s="15" t="s">
        <v>5228</v>
      </c>
      <c r="J62" s="15" t="n">
        <v>3</v>
      </c>
      <c r="K62" s="15" t="s">
        <v>2747</v>
      </c>
      <c r="L62" s="15" t="str">
        <f aca="false">IF(K62="","No","Yes")</f>
        <v>Yes</v>
      </c>
      <c r="M62" s="18" t="str">
        <f aca="false">IF(K62="","",IFERROR(IF(ISNUMBER(SEARCH(A62,INDEX(Pages!$J$2:$J$824,MATCH(K62,Pages!$B$2:$B$824,0)))),"Yes","No"),"Page not found"))</f>
        <v>No</v>
      </c>
      <c r="N62" s="3" t="s">
        <v>5212</v>
      </c>
      <c r="O62" s="3" t="s">
        <v>5232</v>
      </c>
      <c r="P62" s="19"/>
      <c r="Q62" s="17"/>
      <c r="R62" s="17"/>
    </row>
    <row r="63" customFormat="false" ht="15" hidden="false" customHeight="false" outlineLevel="0" collapsed="false">
      <c r="A63" s="15" t="s">
        <v>4317</v>
      </c>
      <c r="B63" s="15" t="s">
        <v>86</v>
      </c>
      <c r="C63" s="15" t="s">
        <v>356</v>
      </c>
      <c r="D63" s="15" t="s">
        <v>673</v>
      </c>
      <c r="E63" s="15" t="s">
        <v>2183</v>
      </c>
      <c r="F63" s="16" t="n">
        <v>450</v>
      </c>
      <c r="G63" s="15" t="n">
        <v>40</v>
      </c>
      <c r="H63" s="15" t="s">
        <v>5227</v>
      </c>
      <c r="I63" s="15" t="s">
        <v>5392</v>
      </c>
      <c r="J63" s="15" t="n">
        <v>3</v>
      </c>
      <c r="K63" s="15" t="s">
        <v>4313</v>
      </c>
      <c r="L63" s="15" t="str">
        <f aca="false">IF(K63="","No","Yes")</f>
        <v>Yes</v>
      </c>
      <c r="M63" s="18" t="str">
        <f aca="false">IF(K63="","",IFERROR(IF(ISNUMBER(SEARCH(A63,INDEX(Pages!$J$2:$J$824,MATCH(K63,Pages!$B$2:$B$824,0)))),"Yes","No"),"Page not found"))</f>
        <v>Yes</v>
      </c>
      <c r="N63" s="3" t="s">
        <v>5426</v>
      </c>
      <c r="O63" s="3"/>
      <c r="P63" s="19"/>
      <c r="Q63" s="17"/>
      <c r="R63" s="17"/>
    </row>
    <row r="64" customFormat="false" ht="23.85" hidden="false" customHeight="false" outlineLevel="0" collapsed="false">
      <c r="A64" s="15" t="s">
        <v>2685</v>
      </c>
      <c r="B64" s="15" t="s">
        <v>82</v>
      </c>
      <c r="C64" s="15" t="s">
        <v>265</v>
      </c>
      <c r="D64" s="15" t="s">
        <v>715</v>
      </c>
      <c r="E64" s="15" t="s">
        <v>2309</v>
      </c>
      <c r="F64" s="16" t="n">
        <v>440</v>
      </c>
      <c r="G64" s="15" t="n">
        <v>56</v>
      </c>
      <c r="H64" s="15" t="s">
        <v>5227</v>
      </c>
      <c r="I64" s="15" t="s">
        <v>5228</v>
      </c>
      <c r="J64" s="15" t="n">
        <v>3</v>
      </c>
      <c r="K64" s="15" t="s">
        <v>2681</v>
      </c>
      <c r="L64" s="15" t="str">
        <f aca="false">IF(K64="","No","Yes")</f>
        <v>Yes</v>
      </c>
      <c r="M64" s="18" t="str">
        <f aca="false">IF(K64="","",IFERROR(IF(ISNUMBER(SEARCH(A64,INDEX(Pages!$J$2:$J$824,MATCH(K64,Pages!$B$2:$B$824,0)))),"Yes","No"),"Page not found"))</f>
        <v>Yes</v>
      </c>
      <c r="N64" s="3" t="s">
        <v>5212</v>
      </c>
      <c r="O64" s="3" t="s">
        <v>5483</v>
      </c>
      <c r="P64" s="19"/>
      <c r="Q64" s="17"/>
      <c r="R64" s="17"/>
    </row>
    <row r="65" customFormat="false" ht="15" hidden="false" customHeight="false" outlineLevel="0" collapsed="false">
      <c r="A65" s="15" t="s">
        <v>4431</v>
      </c>
      <c r="B65" s="15" t="s">
        <v>86</v>
      </c>
      <c r="C65" s="15" t="s">
        <v>356</v>
      </c>
      <c r="D65" s="15" t="s">
        <v>715</v>
      </c>
      <c r="E65" s="15" t="s">
        <v>2316</v>
      </c>
      <c r="F65" s="16" t="n">
        <v>440</v>
      </c>
      <c r="G65" s="15" t="n">
        <v>56</v>
      </c>
      <c r="H65" s="15" t="s">
        <v>5227</v>
      </c>
      <c r="I65" s="15" t="s">
        <v>5392</v>
      </c>
      <c r="J65" s="15" t="n">
        <v>4</v>
      </c>
      <c r="K65" s="15" t="s">
        <v>4427</v>
      </c>
      <c r="L65" s="15" t="str">
        <f aca="false">IF(K65="","No","Yes")</f>
        <v>Yes</v>
      </c>
      <c r="M65" s="18" t="str">
        <f aca="false">IF(K65="","",IFERROR(IF(ISNUMBER(SEARCH(A65,INDEX(Pages!$J$2:$J$824,MATCH(K65,Pages!$B$2:$B$824,0)))),"Yes","No"),"Page not found"))</f>
        <v>Yes</v>
      </c>
      <c r="N65" s="3" t="s">
        <v>5476</v>
      </c>
      <c r="O65" s="3"/>
      <c r="P65" s="19"/>
      <c r="Q65" s="17"/>
      <c r="R65" s="17"/>
    </row>
    <row r="66" customFormat="false" ht="15" hidden="false" customHeight="false" outlineLevel="0" collapsed="false">
      <c r="A66" s="15" t="s">
        <v>5396</v>
      </c>
      <c r="B66" s="15" t="s">
        <v>82</v>
      </c>
      <c r="C66" s="15" t="s">
        <v>265</v>
      </c>
      <c r="D66" s="15" t="s">
        <v>701</v>
      </c>
      <c r="E66" s="15" t="s">
        <v>2225</v>
      </c>
      <c r="F66" s="16" t="n">
        <v>430</v>
      </c>
      <c r="G66" s="15" t="n">
        <v>59</v>
      </c>
      <c r="H66" s="15" t="s">
        <v>5169</v>
      </c>
      <c r="I66" s="15" t="s">
        <v>5228</v>
      </c>
      <c r="J66" s="15" t="n">
        <v>3</v>
      </c>
      <c r="K66" s="15" t="s">
        <v>2609</v>
      </c>
      <c r="L66" s="15" t="str">
        <f aca="false">IF(K66="","No","Yes")</f>
        <v>Yes</v>
      </c>
      <c r="M66" s="18" t="str">
        <f aca="false">IF(K66="","",IFERROR(IF(ISNUMBER(SEARCH(A66,INDEX(Pages!$J$2:$J$824,MATCH(K66,Pages!$B$2:$B$824,0)))),"Yes","No"),"Page not found"))</f>
        <v>No</v>
      </c>
      <c r="N66" s="3" t="s">
        <v>5376</v>
      </c>
      <c r="O66" s="3" t="s">
        <v>5232</v>
      </c>
      <c r="P66" s="19"/>
      <c r="Q66" s="17"/>
      <c r="R66" s="17"/>
    </row>
    <row r="67" customFormat="false" ht="15" hidden="false" customHeight="false" outlineLevel="0" collapsed="false">
      <c r="A67" s="15" t="s">
        <v>5398</v>
      </c>
      <c r="B67" s="15" t="s">
        <v>82</v>
      </c>
      <c r="C67" s="15" t="s">
        <v>265</v>
      </c>
      <c r="D67" s="15" t="s">
        <v>715</v>
      </c>
      <c r="E67" s="15" t="s">
        <v>2302</v>
      </c>
      <c r="F67" s="16" t="n">
        <v>430</v>
      </c>
      <c r="G67" s="15" t="n">
        <v>71</v>
      </c>
      <c r="H67" s="15" t="s">
        <v>5169</v>
      </c>
      <c r="I67" s="15" t="s">
        <v>5228</v>
      </c>
      <c r="J67" s="15" t="n">
        <v>3</v>
      </c>
      <c r="K67" s="15" t="s">
        <v>2675</v>
      </c>
      <c r="L67" s="15" t="str">
        <f aca="false">IF(K67="","No","Yes")</f>
        <v>Yes</v>
      </c>
      <c r="M67" s="18" t="str">
        <f aca="false">IF(K67="","",IFERROR(IF(ISNUMBER(SEARCH(A67,INDEX(Pages!$J$2:$J$824,MATCH(K67,Pages!$B$2:$B$824,0)))),"Yes","No"),"Page not found"))</f>
        <v>No</v>
      </c>
      <c r="N67" s="3" t="s">
        <v>5182</v>
      </c>
      <c r="O67" s="3" t="s">
        <v>5232</v>
      </c>
      <c r="P67" s="19"/>
      <c r="Q67" s="17"/>
      <c r="R67" s="17"/>
    </row>
    <row r="68" customFormat="false" ht="15" hidden="false" customHeight="false" outlineLevel="0" collapsed="false">
      <c r="A68" s="15" t="s">
        <v>3309</v>
      </c>
      <c r="B68" s="15" t="s">
        <v>84</v>
      </c>
      <c r="C68" s="15" t="s">
        <v>314</v>
      </c>
      <c r="D68" s="15" t="s">
        <v>701</v>
      </c>
      <c r="E68" s="15" t="s">
        <v>2225</v>
      </c>
      <c r="F68" s="16" t="n">
        <v>430</v>
      </c>
      <c r="G68" s="15" t="n">
        <v>52</v>
      </c>
      <c r="H68" s="15" t="s">
        <v>5227</v>
      </c>
      <c r="I68" s="15" t="s">
        <v>5392</v>
      </c>
      <c r="J68" s="15" t="n">
        <v>2</v>
      </c>
      <c r="K68" s="15" t="s">
        <v>3305</v>
      </c>
      <c r="L68" s="15" t="str">
        <f aca="false">IF(K68="","No","Yes")</f>
        <v>Yes</v>
      </c>
      <c r="M68" s="18" t="str">
        <f aca="false">IF(K68="","",IFERROR(IF(ISNUMBER(SEARCH(A68,INDEX(Pages!$J$2:$J$824,MATCH(K68,Pages!$B$2:$B$824,0)))),"Yes","No"),"Page not found"))</f>
        <v>Yes</v>
      </c>
      <c r="N68" s="3" t="s">
        <v>5376</v>
      </c>
      <c r="O68" s="3"/>
      <c r="P68" s="19"/>
      <c r="Q68" s="17"/>
      <c r="R68" s="17"/>
    </row>
    <row r="69" customFormat="false" ht="15" hidden="false" customHeight="false" outlineLevel="0" collapsed="false">
      <c r="A69" s="15" t="s">
        <v>3369</v>
      </c>
      <c r="B69" s="15" t="s">
        <v>84</v>
      </c>
      <c r="C69" s="15" t="s">
        <v>314</v>
      </c>
      <c r="D69" s="15" t="s">
        <v>715</v>
      </c>
      <c r="E69" s="15" t="s">
        <v>2295</v>
      </c>
      <c r="F69" s="16" t="n">
        <v>420</v>
      </c>
      <c r="G69" s="15" t="n">
        <v>56</v>
      </c>
      <c r="H69" s="15" t="s">
        <v>5227</v>
      </c>
      <c r="I69" s="15" t="s">
        <v>5392</v>
      </c>
      <c r="J69" s="15" t="n">
        <v>2</v>
      </c>
      <c r="K69" s="15" t="s">
        <v>3365</v>
      </c>
      <c r="L69" s="15" t="str">
        <f aca="false">IF(K69="","No","Yes")</f>
        <v>Yes</v>
      </c>
      <c r="M69" s="18" t="str">
        <f aca="false">IF(K69="","",IFERROR(IF(ISNUMBER(SEARCH(A69,INDEX(Pages!$J$2:$J$824,MATCH(K69,Pages!$B$2:$B$824,0)))),"Yes","No"),"Page not found"))</f>
        <v>No</v>
      </c>
      <c r="N69" s="3" t="s">
        <v>5426</v>
      </c>
      <c r="O69" s="3"/>
      <c r="P69" s="19"/>
      <c r="Q69" s="17"/>
      <c r="R69" s="17"/>
    </row>
    <row r="70" customFormat="false" ht="23.85" hidden="false" customHeight="false" outlineLevel="0" collapsed="false">
      <c r="A70" s="15" t="s">
        <v>5330</v>
      </c>
      <c r="B70" s="15" t="s">
        <v>82</v>
      </c>
      <c r="C70" s="15" t="s">
        <v>265</v>
      </c>
      <c r="D70" s="15" t="s">
        <v>657</v>
      </c>
      <c r="E70" s="15" t="s">
        <v>2092</v>
      </c>
      <c r="F70" s="16" t="n">
        <v>420</v>
      </c>
      <c r="G70" s="15" t="n">
        <v>71</v>
      </c>
      <c r="H70" s="15" t="s">
        <v>5177</v>
      </c>
      <c r="I70" s="15" t="s">
        <v>5228</v>
      </c>
      <c r="J70" s="15" t="n">
        <v>3</v>
      </c>
      <c r="K70" s="15" t="s">
        <v>2495</v>
      </c>
      <c r="L70" s="15" t="str">
        <f aca="false">IF(K70="","No","Yes")</f>
        <v>Yes</v>
      </c>
      <c r="M70" s="18" t="str">
        <f aca="false">IF(K70="","",IFERROR(IF(ISNUMBER(SEARCH(A70,INDEX(Pages!$J$2:$J$824,MATCH(K70,Pages!$B$2:$B$824,0)))),"Yes","No"),"Page not found"))</f>
        <v>No</v>
      </c>
      <c r="N70" s="3" t="s">
        <v>5182</v>
      </c>
      <c r="O70" s="3" t="s">
        <v>5234</v>
      </c>
      <c r="P70" s="19"/>
      <c r="Q70" s="17"/>
      <c r="R70" s="17"/>
    </row>
    <row r="71" customFormat="false" ht="15" hidden="false" customHeight="false" outlineLevel="0" collapsed="false">
      <c r="A71" s="15" t="s">
        <v>4371</v>
      </c>
      <c r="B71" s="15" t="s">
        <v>86</v>
      </c>
      <c r="C71" s="15" t="s">
        <v>356</v>
      </c>
      <c r="D71" s="15" t="s">
        <v>715</v>
      </c>
      <c r="E71" s="15" t="s">
        <v>2246</v>
      </c>
      <c r="F71" s="16" t="n">
        <v>410</v>
      </c>
      <c r="G71" s="15" t="n">
        <v>48</v>
      </c>
      <c r="H71" s="15" t="s">
        <v>5227</v>
      </c>
      <c r="I71" s="15" t="s">
        <v>5392</v>
      </c>
      <c r="J71" s="15" t="n">
        <v>3</v>
      </c>
      <c r="K71" s="15" t="s">
        <v>4367</v>
      </c>
      <c r="L71" s="15" t="str">
        <f aca="false">IF(K71="","No","Yes")</f>
        <v>Yes</v>
      </c>
      <c r="M71" s="18" t="str">
        <f aca="false">IF(K71="","",IFERROR(IF(ISNUMBER(SEARCH(A71,INDEX(Pages!$J$2:$J$824,MATCH(K71,Pages!$B$2:$B$824,0)))),"Yes","No"),"Page not found"))</f>
        <v>Yes</v>
      </c>
      <c r="N71" s="3" t="s">
        <v>5426</v>
      </c>
      <c r="O71" s="3"/>
      <c r="P71" s="19"/>
      <c r="Q71" s="17"/>
      <c r="R71" s="17"/>
    </row>
    <row r="72" customFormat="false" ht="15" hidden="false" customHeight="false" outlineLevel="0" collapsed="false">
      <c r="A72" s="15" t="s">
        <v>4299</v>
      </c>
      <c r="B72" s="15" t="s">
        <v>86</v>
      </c>
      <c r="C72" s="15" t="s">
        <v>356</v>
      </c>
      <c r="D72" s="15" t="s">
        <v>666</v>
      </c>
      <c r="E72" s="15" t="s">
        <v>2162</v>
      </c>
      <c r="F72" s="16" t="n">
        <v>410</v>
      </c>
      <c r="G72" s="15" t="n">
        <v>56</v>
      </c>
      <c r="H72" s="15" t="s">
        <v>5227</v>
      </c>
      <c r="I72" s="15" t="s">
        <v>5392</v>
      </c>
      <c r="J72" s="15" t="n">
        <v>4</v>
      </c>
      <c r="K72" s="15" t="s">
        <v>4295</v>
      </c>
      <c r="L72" s="15" t="str">
        <f aca="false">IF(K72="","No","Yes")</f>
        <v>Yes</v>
      </c>
      <c r="M72" s="18" t="str">
        <f aca="false">IF(K72="","",IFERROR(IF(ISNUMBER(SEARCH(A72,INDEX(Pages!$J$2:$J$824,MATCH(K72,Pages!$B$2:$B$824,0)))),"Yes","No"),"Page not found"))</f>
        <v>Yes</v>
      </c>
      <c r="N72" s="3" t="s">
        <v>5476</v>
      </c>
      <c r="O72" s="3"/>
      <c r="P72" s="19"/>
      <c r="Q72" s="17"/>
      <c r="R72" s="17"/>
    </row>
    <row r="73" customFormat="false" ht="15" hidden="false" customHeight="false" outlineLevel="0" collapsed="false">
      <c r="A73" s="15" t="s">
        <v>2625</v>
      </c>
      <c r="B73" s="15" t="s">
        <v>82</v>
      </c>
      <c r="C73" s="15" t="s">
        <v>265</v>
      </c>
      <c r="D73" s="15" t="s">
        <v>715</v>
      </c>
      <c r="E73" s="15" t="s">
        <v>2239</v>
      </c>
      <c r="F73" s="16" t="n">
        <v>400</v>
      </c>
      <c r="G73" s="15" t="n">
        <v>72</v>
      </c>
      <c r="H73" s="15" t="s">
        <v>5227</v>
      </c>
      <c r="I73" s="15" t="s">
        <v>5228</v>
      </c>
      <c r="J73" s="15" t="n">
        <v>3</v>
      </c>
      <c r="K73" s="15" t="s">
        <v>2621</v>
      </c>
      <c r="L73" s="15" t="str">
        <f aca="false">IF(K73="","No","Yes")</f>
        <v>Yes</v>
      </c>
      <c r="M73" s="18" t="str">
        <f aca="false">IF(K73="","",IFERROR(IF(ISNUMBER(SEARCH(A73,INDEX(Pages!$J$2:$J$824,MATCH(K73,Pages!$B$2:$B$824,0)))),"Yes","No"),"Page not found"))</f>
        <v>Yes</v>
      </c>
      <c r="N73" s="3" t="s">
        <v>5226</v>
      </c>
      <c r="O73" s="3"/>
      <c r="P73" s="19"/>
      <c r="Q73" s="17"/>
      <c r="R73" s="17"/>
    </row>
    <row r="74" customFormat="false" ht="23.85" hidden="false" customHeight="false" outlineLevel="0" collapsed="false">
      <c r="A74" s="15" t="s">
        <v>2715</v>
      </c>
      <c r="B74" s="15" t="s">
        <v>82</v>
      </c>
      <c r="C74" s="15" t="s">
        <v>265</v>
      </c>
      <c r="D74" s="15" t="s">
        <v>715</v>
      </c>
      <c r="E74" s="15" t="s">
        <v>2344</v>
      </c>
      <c r="F74" s="16" t="n">
        <v>400</v>
      </c>
      <c r="G74" s="15" t="n">
        <v>56</v>
      </c>
      <c r="H74" s="15" t="s">
        <v>5227</v>
      </c>
      <c r="I74" s="15" t="s">
        <v>5228</v>
      </c>
      <c r="J74" s="15" t="n">
        <v>4</v>
      </c>
      <c r="K74" s="15" t="s">
        <v>2711</v>
      </c>
      <c r="L74" s="15" t="str">
        <f aca="false">IF(K74="","No","Yes")</f>
        <v>Yes</v>
      </c>
      <c r="M74" s="18" t="str">
        <f aca="false">IF(K74="","",IFERROR(IF(ISNUMBER(SEARCH(A74,INDEX(Pages!$J$2:$J$824,MATCH(K74,Pages!$B$2:$B$824,0)))),"Yes","No"),"Page not found"))</f>
        <v>Yes</v>
      </c>
      <c r="N74" s="3" t="s">
        <v>5212</v>
      </c>
      <c r="O74" s="3" t="s">
        <v>5483</v>
      </c>
      <c r="P74" s="19"/>
      <c r="Q74" s="17"/>
      <c r="R74" s="17"/>
    </row>
    <row r="75" customFormat="false" ht="15" hidden="false" customHeight="false" outlineLevel="0" collapsed="false">
      <c r="A75" s="15" t="s">
        <v>5615</v>
      </c>
      <c r="B75" s="15" t="s">
        <v>82</v>
      </c>
      <c r="C75" s="15" t="s">
        <v>265</v>
      </c>
      <c r="D75" s="15" t="s">
        <v>729</v>
      </c>
      <c r="E75" s="15" t="s">
        <v>2421</v>
      </c>
      <c r="F75" s="16" t="n">
        <v>390</v>
      </c>
      <c r="G75" s="15" t="n">
        <v>35</v>
      </c>
      <c r="H75" s="15" t="s">
        <v>5227</v>
      </c>
      <c r="I75" s="15" t="s">
        <v>5568</v>
      </c>
      <c r="J75" s="15" t="n">
        <v>4</v>
      </c>
      <c r="K75" s="15"/>
      <c r="L75" s="15" t="str">
        <f aca="false">IF(K75="","No","Yes")</f>
        <v>No</v>
      </c>
      <c r="M75" s="18" t="str">
        <f aca="false">IF(K75="","",IFERROR(IF(ISNUMBER(SEARCH(A75,INDEX(Pages!$J$2:$J$824,MATCH(K75,Pages!$B$2:$B$824,0)))),"Yes","No"),"Page not found"))</f>
        <v/>
      </c>
      <c r="N75" s="3" t="s">
        <v>5426</v>
      </c>
      <c r="O75" s="3" t="s">
        <v>5616</v>
      </c>
      <c r="P75" s="19"/>
      <c r="Q75" s="17"/>
      <c r="R75" s="17"/>
    </row>
    <row r="76" customFormat="false" ht="15" hidden="false" customHeight="false" outlineLevel="0" collapsed="false">
      <c r="A76" s="15" t="s">
        <v>5432</v>
      </c>
      <c r="B76" s="15" t="s">
        <v>84</v>
      </c>
      <c r="C76" s="15" t="s">
        <v>314</v>
      </c>
      <c r="D76" s="15" t="s">
        <v>657</v>
      </c>
      <c r="E76" s="15" t="s">
        <v>2084</v>
      </c>
      <c r="F76" s="16" t="n">
        <v>390</v>
      </c>
      <c r="G76" s="15" t="n">
        <v>25</v>
      </c>
      <c r="H76" s="15" t="s">
        <v>5227</v>
      </c>
      <c r="I76" s="15" t="s">
        <v>5285</v>
      </c>
      <c r="J76" s="15" t="n">
        <v>1</v>
      </c>
      <c r="K76" s="15" t="s">
        <v>5007</v>
      </c>
      <c r="L76" s="15" t="str">
        <f aca="false">IF(K76="","No","Yes")</f>
        <v>Yes</v>
      </c>
      <c r="M76" s="18" t="str">
        <f aca="false">IF(K76="","",IFERROR(IF(ISNUMBER(SEARCH(A76,INDEX(Pages!$J$2:$J$824,MATCH(K76,Pages!$B$2:$B$824,0)))),"Yes","No"),"Page not found"))</f>
        <v>No</v>
      </c>
      <c r="N76" s="3" t="s">
        <v>5431</v>
      </c>
      <c r="O76" s="3" t="s">
        <v>5433</v>
      </c>
      <c r="P76" s="19"/>
      <c r="Q76" s="17"/>
      <c r="R76" s="17"/>
    </row>
    <row r="77" customFormat="false" ht="15" hidden="false" customHeight="false" outlineLevel="0" collapsed="false">
      <c r="A77" s="15" t="s">
        <v>3495</v>
      </c>
      <c r="B77" s="15" t="s">
        <v>84</v>
      </c>
      <c r="C77" s="15" t="s">
        <v>314</v>
      </c>
      <c r="D77" s="15" t="s">
        <v>729</v>
      </c>
      <c r="E77" s="15" t="s">
        <v>2442</v>
      </c>
      <c r="F77" s="16" t="n">
        <v>390</v>
      </c>
      <c r="G77" s="15" t="n">
        <v>52</v>
      </c>
      <c r="H77" s="15" t="s">
        <v>5227</v>
      </c>
      <c r="I77" s="15" t="s">
        <v>5392</v>
      </c>
      <c r="J77" s="15" t="n">
        <v>4</v>
      </c>
      <c r="K77" s="15" t="s">
        <v>3491</v>
      </c>
      <c r="L77" s="15" t="str">
        <f aca="false">IF(K77="","No","Yes")</f>
        <v>Yes</v>
      </c>
      <c r="M77" s="18" t="str">
        <f aca="false">IF(K77="","",IFERROR(IF(ISNUMBER(SEARCH(A77,INDEX(Pages!$J$2:$J$824,MATCH(K77,Pages!$B$2:$B$824,0)))),"Yes","No"),"Page not found"))</f>
        <v>Yes</v>
      </c>
      <c r="N77" s="3" t="s">
        <v>5376</v>
      </c>
      <c r="O77" s="3" t="s">
        <v>5427</v>
      </c>
      <c r="P77" s="19"/>
      <c r="Q77" s="17"/>
      <c r="R77" s="17"/>
    </row>
    <row r="78" customFormat="false" ht="23.85" hidden="false" customHeight="false" outlineLevel="0" collapsed="false">
      <c r="A78" s="15" t="s">
        <v>3543</v>
      </c>
      <c r="B78" s="15" t="s">
        <v>74</v>
      </c>
      <c r="C78" s="15" t="s">
        <v>321</v>
      </c>
      <c r="D78" s="15" t="s">
        <v>657</v>
      </c>
      <c r="E78" s="15" t="s">
        <v>2092</v>
      </c>
      <c r="F78" s="16" t="n">
        <v>390</v>
      </c>
      <c r="G78" s="15" t="n">
        <v>51</v>
      </c>
      <c r="H78" s="15" t="s">
        <v>5227</v>
      </c>
      <c r="I78" s="15" t="s">
        <v>5444</v>
      </c>
      <c r="J78" s="15" t="n">
        <v>1</v>
      </c>
      <c r="K78" s="15" t="s">
        <v>3539</v>
      </c>
      <c r="L78" s="15" t="str">
        <f aca="false">IF(K78="","No","Yes")</f>
        <v>Yes</v>
      </c>
      <c r="M78" s="18" t="str">
        <f aca="false">IF(K78="","",IFERROR(IF(ISNUMBER(SEARCH(A78,INDEX(Pages!$J$2:$J$824,MATCH(K78,Pages!$B$2:$B$824,0)))),"Yes","No"),"Page not found"))</f>
        <v>Yes</v>
      </c>
      <c r="N78" s="3" t="s">
        <v>5445</v>
      </c>
      <c r="O78" s="3" t="s">
        <v>5230</v>
      </c>
      <c r="P78" s="19"/>
      <c r="Q78" s="17"/>
      <c r="R78" s="17"/>
    </row>
    <row r="79" customFormat="false" ht="23.85" hidden="false" customHeight="false" outlineLevel="0" collapsed="false">
      <c r="A79" s="15" t="s">
        <v>3753</v>
      </c>
      <c r="B79" s="15" t="s">
        <v>74</v>
      </c>
      <c r="C79" s="15" t="s">
        <v>321</v>
      </c>
      <c r="D79" s="15" t="s">
        <v>715</v>
      </c>
      <c r="E79" s="15" t="s">
        <v>2337</v>
      </c>
      <c r="F79" s="16" t="n">
        <v>390</v>
      </c>
      <c r="G79" s="15" t="n">
        <v>47</v>
      </c>
      <c r="H79" s="15" t="s">
        <v>5227</v>
      </c>
      <c r="I79" s="15" t="s">
        <v>5444</v>
      </c>
      <c r="J79" s="15" t="n">
        <v>1</v>
      </c>
      <c r="K79" s="15" t="s">
        <v>3749</v>
      </c>
      <c r="L79" s="15" t="str">
        <f aca="false">IF(K79="","No","Yes")</f>
        <v>Yes</v>
      </c>
      <c r="M79" s="18" t="str">
        <f aca="false">IF(K79="","",IFERROR(IF(ISNUMBER(SEARCH(A79,INDEX(Pages!$J$2:$J$824,MATCH(K79,Pages!$B$2:$B$824,0)))),"Yes","No"),"Page not found"))</f>
        <v>Yes</v>
      </c>
      <c r="N79" s="3" t="s">
        <v>5488</v>
      </c>
      <c r="O79" s="3" t="s">
        <v>5230</v>
      </c>
      <c r="P79" s="19"/>
      <c r="Q79" s="17"/>
      <c r="R79" s="17"/>
    </row>
    <row r="80" customFormat="false" ht="15" hidden="false" customHeight="false" outlineLevel="0" collapsed="false">
      <c r="A80" s="15" t="s">
        <v>2523</v>
      </c>
      <c r="B80" s="15" t="s">
        <v>82</v>
      </c>
      <c r="C80" s="15" t="s">
        <v>265</v>
      </c>
      <c r="D80" s="15" t="s">
        <v>666</v>
      </c>
      <c r="E80" s="15" t="s">
        <v>2120</v>
      </c>
      <c r="F80" s="16" t="n">
        <v>370</v>
      </c>
      <c r="G80" s="15" t="n">
        <v>60</v>
      </c>
      <c r="H80" s="15" t="s">
        <v>5227</v>
      </c>
      <c r="I80" s="15" t="s">
        <v>5228</v>
      </c>
      <c r="J80" s="15" t="n">
        <v>4</v>
      </c>
      <c r="K80" s="15" t="s">
        <v>2519</v>
      </c>
      <c r="L80" s="15" t="str">
        <f aca="false">IF(K80="","No","Yes")</f>
        <v>Yes</v>
      </c>
      <c r="M80" s="18" t="str">
        <f aca="false">IF(K80="","",IFERROR(IF(ISNUMBER(SEARCH(A80,INDEX(Pages!$J$2:$J$824,MATCH(K80,Pages!$B$2:$B$824,0)))),"Yes","No"),"Page not found"))</f>
        <v>Yes</v>
      </c>
      <c r="N80" s="3" t="s">
        <v>5426</v>
      </c>
      <c r="O80" s="3" t="s">
        <v>5377</v>
      </c>
      <c r="P80" s="19"/>
      <c r="Q80" s="17"/>
      <c r="R80" s="17"/>
    </row>
    <row r="81" customFormat="false" ht="15" hidden="false" customHeight="false" outlineLevel="0" collapsed="false">
      <c r="A81" s="15" t="s">
        <v>2787</v>
      </c>
      <c r="B81" s="15" t="s">
        <v>82</v>
      </c>
      <c r="C81" s="15" t="s">
        <v>265</v>
      </c>
      <c r="D81" s="15" t="s">
        <v>729</v>
      </c>
      <c r="E81" s="15" t="s">
        <v>2428</v>
      </c>
      <c r="F81" s="16" t="n">
        <v>370</v>
      </c>
      <c r="G81" s="15" t="n">
        <v>60</v>
      </c>
      <c r="H81" s="15" t="s">
        <v>5227</v>
      </c>
      <c r="I81" s="15" t="s">
        <v>5228</v>
      </c>
      <c r="J81" s="15" t="n">
        <v>4</v>
      </c>
      <c r="K81" s="15" t="s">
        <v>2783</v>
      </c>
      <c r="L81" s="15" t="str">
        <f aca="false">IF(K81="","No","Yes")</f>
        <v>Yes</v>
      </c>
      <c r="M81" s="18" t="str">
        <f aca="false">IF(K81="","",IFERROR(IF(ISNUMBER(SEARCH(A81,INDEX(Pages!$J$2:$J$824,MATCH(K81,Pages!$B$2:$B$824,0)))),"Yes","No"),"Page not found"))</f>
        <v>Yes</v>
      </c>
      <c r="N81" s="3" t="s">
        <v>5426</v>
      </c>
      <c r="O81" s="3" t="s">
        <v>5427</v>
      </c>
      <c r="P81" s="19"/>
      <c r="Q81" s="17"/>
      <c r="R81" s="17"/>
    </row>
    <row r="82" customFormat="false" ht="15" hidden="false" customHeight="false" outlineLevel="0" collapsed="false">
      <c r="A82" s="15" t="s">
        <v>4589</v>
      </c>
      <c r="B82" s="15" t="s">
        <v>94</v>
      </c>
      <c r="C82" s="15"/>
      <c r="D82" s="15" t="s">
        <v>657</v>
      </c>
      <c r="E82" s="15" t="s">
        <v>2084</v>
      </c>
      <c r="F82" s="16" t="n">
        <v>370</v>
      </c>
      <c r="G82" s="15" t="n">
        <v>30</v>
      </c>
      <c r="H82" s="15" t="s">
        <v>5227</v>
      </c>
      <c r="I82" s="15" t="s">
        <v>5243</v>
      </c>
      <c r="J82" s="15" t="n">
        <v>1</v>
      </c>
      <c r="K82" s="15" t="s">
        <v>4585</v>
      </c>
      <c r="L82" s="15" t="str">
        <f aca="false">IF(K82="","No","Yes")</f>
        <v>Yes</v>
      </c>
      <c r="M82" s="18" t="str">
        <f aca="false">IF(K82="","",IFERROR(IF(ISNUMBER(SEARCH(A82,INDEX(Pages!$J$2:$J$824,MATCH(K82,Pages!$B$2:$B$824,0)))),"Yes","No"),"Page not found"))</f>
        <v>No</v>
      </c>
      <c r="N82" s="3" t="s">
        <v>5471</v>
      </c>
      <c r="O82" s="3" t="s">
        <v>5472</v>
      </c>
      <c r="P82" s="19"/>
      <c r="Q82" s="17"/>
      <c r="R82" s="17"/>
    </row>
    <row r="83" customFormat="false" ht="15" hidden="false" customHeight="false" outlineLevel="0" collapsed="false">
      <c r="A83" s="15" t="s">
        <v>2823</v>
      </c>
      <c r="B83" s="15" t="s">
        <v>82</v>
      </c>
      <c r="C83" s="15" t="s">
        <v>265</v>
      </c>
      <c r="D83" s="15" t="s">
        <v>736</v>
      </c>
      <c r="E83" s="15" t="s">
        <v>2470</v>
      </c>
      <c r="F83" s="16" t="n">
        <v>360</v>
      </c>
      <c r="G83" s="15" t="n">
        <v>64</v>
      </c>
      <c r="H83" s="15" t="s">
        <v>5227</v>
      </c>
      <c r="I83" s="15" t="s">
        <v>5228</v>
      </c>
      <c r="J83" s="15" t="n">
        <v>5</v>
      </c>
      <c r="K83" s="15" t="s">
        <v>2819</v>
      </c>
      <c r="L83" s="15" t="str">
        <f aca="false">IF(K83="","No","Yes")</f>
        <v>Yes</v>
      </c>
      <c r="M83" s="18" t="str">
        <f aca="false">IF(K83="","",IFERROR(IF(ISNUMBER(SEARCH(A83,INDEX(Pages!$J$2:$J$824,MATCH(K83,Pages!$B$2:$B$824,0)))),"Yes","No"),"Page not found"))</f>
        <v>Yes</v>
      </c>
      <c r="N83" s="3" t="s">
        <v>5376</v>
      </c>
      <c r="O83" s="3" t="s">
        <v>5479</v>
      </c>
      <c r="P83" s="19"/>
      <c r="Q83" s="17"/>
      <c r="R83" s="17"/>
    </row>
    <row r="84" customFormat="false" ht="15" hidden="false" customHeight="false" outlineLevel="0" collapsed="false">
      <c r="A84" s="15" t="s">
        <v>2727</v>
      </c>
      <c r="B84" s="15" t="s">
        <v>82</v>
      </c>
      <c r="C84" s="15" t="s">
        <v>265</v>
      </c>
      <c r="D84" s="15" t="s">
        <v>715</v>
      </c>
      <c r="E84" s="15" t="s">
        <v>2358</v>
      </c>
      <c r="F84" s="16" t="n">
        <v>360</v>
      </c>
      <c r="G84" s="15" t="n">
        <v>68</v>
      </c>
      <c r="H84" s="15" t="s">
        <v>5227</v>
      </c>
      <c r="I84" s="15" t="s">
        <v>5228</v>
      </c>
      <c r="J84" s="15" t="n">
        <v>3</v>
      </c>
      <c r="K84" s="15" t="s">
        <v>2723</v>
      </c>
      <c r="L84" s="15" t="str">
        <f aca="false">IF(K84="","No","Yes")</f>
        <v>Yes</v>
      </c>
      <c r="M84" s="18" t="str">
        <f aca="false">IF(K84="","",IFERROR(IF(ISNUMBER(SEARCH(A84,INDEX(Pages!$J$2:$J$824,MATCH(K84,Pages!$B$2:$B$824,0)))),"Yes","No"),"Page not found"))</f>
        <v>No</v>
      </c>
      <c r="N84" s="3" t="s">
        <v>5476</v>
      </c>
      <c r="O84" s="3"/>
      <c r="P84" s="19"/>
      <c r="Q84" s="17"/>
      <c r="R84" s="17"/>
    </row>
    <row r="85" customFormat="false" ht="15" hidden="false" customHeight="false" outlineLevel="0" collapsed="false">
      <c r="A85" s="15" t="s">
        <v>2601</v>
      </c>
      <c r="B85" s="15" t="s">
        <v>82</v>
      </c>
      <c r="C85" s="15" t="s">
        <v>265</v>
      </c>
      <c r="D85" s="15" t="s">
        <v>687</v>
      </c>
      <c r="E85" s="15" t="s">
        <v>2211</v>
      </c>
      <c r="F85" s="16" t="n">
        <v>360</v>
      </c>
      <c r="G85" s="15" t="n">
        <v>64</v>
      </c>
      <c r="H85" s="15" t="s">
        <v>5227</v>
      </c>
      <c r="I85" s="15" t="s">
        <v>5228</v>
      </c>
      <c r="J85" s="15" t="n">
        <v>3</v>
      </c>
      <c r="K85" s="15" t="s">
        <v>2597</v>
      </c>
      <c r="L85" s="15" t="str">
        <f aca="false">IF(K85="","No","Yes")</f>
        <v>Yes</v>
      </c>
      <c r="M85" s="18" t="str">
        <f aca="false">IF(K85="","",IFERROR(IF(ISNUMBER(SEARCH(A85,INDEX(Pages!$J$2:$J$824,MATCH(K85,Pages!$B$2:$B$824,0)))),"Yes","No"),"Page not found"))</f>
        <v>No</v>
      </c>
      <c r="N85" s="3" t="s">
        <v>5376</v>
      </c>
      <c r="O85" s="3"/>
      <c r="P85" s="19"/>
      <c r="Q85" s="17"/>
      <c r="R85" s="17"/>
    </row>
    <row r="86" customFormat="false" ht="15" hidden="false" customHeight="false" outlineLevel="0" collapsed="false">
      <c r="A86" s="15" t="s">
        <v>4395</v>
      </c>
      <c r="B86" s="15" t="s">
        <v>86</v>
      </c>
      <c r="C86" s="15" t="s">
        <v>356</v>
      </c>
      <c r="D86" s="15" t="s">
        <v>715</v>
      </c>
      <c r="E86" s="15" t="s">
        <v>2274</v>
      </c>
      <c r="F86" s="16" t="n">
        <v>360</v>
      </c>
      <c r="G86" s="15" t="n">
        <v>48</v>
      </c>
      <c r="H86" s="15" t="s">
        <v>5227</v>
      </c>
      <c r="I86" s="15" t="s">
        <v>5392</v>
      </c>
      <c r="J86" s="15" t="n">
        <v>3</v>
      </c>
      <c r="K86" s="15" t="s">
        <v>4391</v>
      </c>
      <c r="L86" s="15" t="str">
        <f aca="false">IF(K86="","No","Yes")</f>
        <v>Yes</v>
      </c>
      <c r="M86" s="18" t="str">
        <f aca="false">IF(K86="","",IFERROR(IF(ISNUMBER(SEARCH(A86,INDEX(Pages!$J$2:$J$824,MATCH(K86,Pages!$B$2:$B$824,0)))),"Yes","No"),"Page not found"))</f>
        <v>Yes</v>
      </c>
      <c r="N86" s="3" t="s">
        <v>5426</v>
      </c>
      <c r="O86" s="3"/>
      <c r="P86" s="19"/>
      <c r="Q86" s="17"/>
      <c r="R86" s="17"/>
    </row>
    <row r="87" customFormat="false" ht="15" hidden="false" customHeight="false" outlineLevel="0" collapsed="false">
      <c r="A87" s="15" t="s">
        <v>4293</v>
      </c>
      <c r="B87" s="15" t="s">
        <v>86</v>
      </c>
      <c r="C87" s="15" t="s">
        <v>356</v>
      </c>
      <c r="D87" s="15" t="s">
        <v>666</v>
      </c>
      <c r="E87" s="15" t="s">
        <v>2155</v>
      </c>
      <c r="F87" s="16" t="n">
        <v>360</v>
      </c>
      <c r="G87" s="15" t="n">
        <v>44</v>
      </c>
      <c r="H87" s="15" t="s">
        <v>5227</v>
      </c>
      <c r="I87" s="15" t="s">
        <v>5392</v>
      </c>
      <c r="J87" s="15" t="n">
        <v>4</v>
      </c>
      <c r="K87" s="15" t="s">
        <v>4289</v>
      </c>
      <c r="L87" s="15" t="str">
        <f aca="false">IF(K87="","No","Yes")</f>
        <v>Yes</v>
      </c>
      <c r="M87" s="18" t="str">
        <f aca="false">IF(K87="","",IFERROR(IF(ISNUMBER(SEARCH(A87,INDEX(Pages!$J$2:$J$824,MATCH(K87,Pages!$B$2:$B$824,0)))),"Yes","No"),"Page not found"))</f>
        <v>Yes</v>
      </c>
      <c r="N87" s="3" t="s">
        <v>5408</v>
      </c>
      <c r="O87" s="3"/>
      <c r="P87" s="19"/>
      <c r="Q87" s="17"/>
      <c r="R87" s="17"/>
    </row>
    <row r="88" customFormat="false" ht="15" hidden="false" customHeight="false" outlineLevel="0" collapsed="false">
      <c r="A88" s="15" t="s">
        <v>3375</v>
      </c>
      <c r="B88" s="15" t="s">
        <v>84</v>
      </c>
      <c r="C88" s="15" t="s">
        <v>314</v>
      </c>
      <c r="D88" s="15" t="s">
        <v>715</v>
      </c>
      <c r="E88" s="15" t="s">
        <v>2302</v>
      </c>
      <c r="F88" s="16" t="n">
        <v>350</v>
      </c>
      <c r="G88" s="15" t="n">
        <v>56</v>
      </c>
      <c r="H88" s="15" t="s">
        <v>5227</v>
      </c>
      <c r="I88" s="15" t="s">
        <v>5392</v>
      </c>
      <c r="J88" s="15" t="n">
        <v>2</v>
      </c>
      <c r="K88" s="15" t="s">
        <v>3371</v>
      </c>
      <c r="L88" s="15" t="str">
        <f aca="false">IF(K88="","No","Yes")</f>
        <v>Yes</v>
      </c>
      <c r="M88" s="18" t="str">
        <f aca="false">IF(K88="","",IFERROR(IF(ISNUMBER(SEARCH(A88,INDEX(Pages!$J$2:$J$824,MATCH(K88,Pages!$B$2:$B$824,0)))),"Yes","No"),"Page not found"))</f>
        <v>Yes</v>
      </c>
      <c r="N88" s="3" t="s">
        <v>5426</v>
      </c>
      <c r="O88" s="3"/>
      <c r="P88" s="19"/>
      <c r="Q88" s="17"/>
      <c r="R88" s="17"/>
    </row>
    <row r="89" customFormat="false" ht="23.85" hidden="false" customHeight="false" outlineLevel="0" collapsed="false">
      <c r="A89" s="15" t="s">
        <v>2643</v>
      </c>
      <c r="B89" s="15" t="s">
        <v>82</v>
      </c>
      <c r="C89" s="15" t="s">
        <v>265</v>
      </c>
      <c r="D89" s="15" t="s">
        <v>715</v>
      </c>
      <c r="E89" s="15" t="s">
        <v>2260</v>
      </c>
      <c r="F89" s="16" t="n">
        <v>340</v>
      </c>
      <c r="G89" s="15" t="n">
        <v>56</v>
      </c>
      <c r="H89" s="15" t="s">
        <v>5227</v>
      </c>
      <c r="I89" s="15" t="s">
        <v>5228</v>
      </c>
      <c r="J89" s="15" t="n">
        <v>4</v>
      </c>
      <c r="K89" s="15" t="s">
        <v>2639</v>
      </c>
      <c r="L89" s="15" t="str">
        <f aca="false">IF(K89="","No","Yes")</f>
        <v>Yes</v>
      </c>
      <c r="M89" s="18" t="str">
        <f aca="false">IF(K89="","",IFERROR(IF(ISNUMBER(SEARCH(A89,INDEX(Pages!$J$2:$J$824,MATCH(K89,Pages!$B$2:$B$824,0)))),"Yes","No"),"Page not found"))</f>
        <v>Yes</v>
      </c>
      <c r="N89" s="3" t="s">
        <v>5212</v>
      </c>
      <c r="O89" s="3" t="s">
        <v>5483</v>
      </c>
      <c r="P89" s="19"/>
      <c r="Q89" s="17"/>
      <c r="R89" s="17"/>
    </row>
    <row r="90" customFormat="false" ht="23.85" hidden="false" customHeight="false" outlineLevel="0" collapsed="false">
      <c r="A90" s="15" t="s">
        <v>2733</v>
      </c>
      <c r="B90" s="15" t="s">
        <v>82</v>
      </c>
      <c r="C90" s="15" t="s">
        <v>265</v>
      </c>
      <c r="D90" s="15" t="s">
        <v>715</v>
      </c>
      <c r="E90" s="15" t="s">
        <v>2365</v>
      </c>
      <c r="F90" s="16" t="n">
        <v>340</v>
      </c>
      <c r="G90" s="15" t="n">
        <v>60</v>
      </c>
      <c r="H90" s="15" t="s">
        <v>5227</v>
      </c>
      <c r="I90" s="15" t="s">
        <v>5228</v>
      </c>
      <c r="J90" s="15" t="n">
        <v>4</v>
      </c>
      <c r="K90" s="15" t="s">
        <v>2729</v>
      </c>
      <c r="L90" s="15" t="str">
        <f aca="false">IF(K90="","No","Yes")</f>
        <v>Yes</v>
      </c>
      <c r="M90" s="18" t="str">
        <f aca="false">IF(K90="","",IFERROR(IF(ISNUMBER(SEARCH(A90,INDEX(Pages!$J$2:$J$824,MATCH(K90,Pages!$B$2:$B$824,0)))),"Yes","No"),"Page not found"))</f>
        <v>Yes</v>
      </c>
      <c r="N90" s="3" t="s">
        <v>5182</v>
      </c>
      <c r="O90" s="3" t="s">
        <v>5483</v>
      </c>
      <c r="P90" s="19"/>
      <c r="Q90" s="17"/>
      <c r="R90" s="17"/>
    </row>
    <row r="91" customFormat="false" ht="15" hidden="false" customHeight="false" outlineLevel="0" collapsed="false">
      <c r="A91" s="15" t="s">
        <v>3447</v>
      </c>
      <c r="B91" s="15" t="s">
        <v>84</v>
      </c>
      <c r="C91" s="15" t="s">
        <v>314</v>
      </c>
      <c r="D91" s="15" t="s">
        <v>715</v>
      </c>
      <c r="E91" s="15" t="s">
        <v>2386</v>
      </c>
      <c r="F91" s="16" t="n">
        <v>340</v>
      </c>
      <c r="G91" s="15" t="n">
        <v>56</v>
      </c>
      <c r="H91" s="15" t="s">
        <v>5227</v>
      </c>
      <c r="I91" s="15" t="s">
        <v>5392</v>
      </c>
      <c r="J91" s="15" t="n">
        <v>2</v>
      </c>
      <c r="K91" s="15" t="s">
        <v>3443</v>
      </c>
      <c r="L91" s="15" t="str">
        <f aca="false">IF(K91="","No","Yes")</f>
        <v>Yes</v>
      </c>
      <c r="M91" s="18" t="str">
        <f aca="false">IF(K91="","",IFERROR(IF(ISNUMBER(SEARCH(A91,INDEX(Pages!$J$2:$J$824,MATCH(K91,Pages!$B$2:$B$824,0)))),"Yes","No"),"Page not found"))</f>
        <v>Yes</v>
      </c>
      <c r="N91" s="3" t="s">
        <v>5426</v>
      </c>
      <c r="O91" s="3"/>
      <c r="P91" s="19"/>
      <c r="Q91" s="17"/>
      <c r="R91" s="17"/>
    </row>
    <row r="92" customFormat="false" ht="15" hidden="false" customHeight="false" outlineLevel="0" collapsed="false">
      <c r="A92" s="15" t="s">
        <v>2649</v>
      </c>
      <c r="B92" s="15" t="s">
        <v>82</v>
      </c>
      <c r="C92" s="15" t="s">
        <v>265</v>
      </c>
      <c r="D92" s="15" t="s">
        <v>715</v>
      </c>
      <c r="E92" s="15" t="s">
        <v>2267</v>
      </c>
      <c r="F92" s="16" t="n">
        <v>330</v>
      </c>
      <c r="G92" s="15" t="n">
        <v>68</v>
      </c>
      <c r="H92" s="15" t="s">
        <v>5227</v>
      </c>
      <c r="I92" s="15" t="s">
        <v>5228</v>
      </c>
      <c r="J92" s="15" t="n">
        <v>3</v>
      </c>
      <c r="K92" s="15" t="s">
        <v>2645</v>
      </c>
      <c r="L92" s="15" t="str">
        <f aca="false">IF(K92="","No","Yes")</f>
        <v>Yes</v>
      </c>
      <c r="M92" s="18" t="str">
        <f aca="false">IF(K92="","",IFERROR(IF(ISNUMBER(SEARCH(A92,INDEX(Pages!$J$2:$J$824,MATCH(K92,Pages!$B$2:$B$824,0)))),"Yes","No"),"Page not found"))</f>
        <v>Yes</v>
      </c>
      <c r="N92" s="3" t="s">
        <v>5182</v>
      </c>
      <c r="O92" s="3"/>
      <c r="P92" s="19"/>
      <c r="Q92" s="17"/>
      <c r="R92" s="17"/>
    </row>
    <row r="93" customFormat="false" ht="23.85" hidden="false" customHeight="false" outlineLevel="0" collapsed="false">
      <c r="A93" s="15" t="s">
        <v>5360</v>
      </c>
      <c r="B93" s="15" t="s">
        <v>82</v>
      </c>
      <c r="C93" s="15" t="s">
        <v>265</v>
      </c>
      <c r="D93" s="15" t="s">
        <v>715</v>
      </c>
      <c r="E93" s="15" t="s">
        <v>2337</v>
      </c>
      <c r="F93" s="16" t="n">
        <v>330</v>
      </c>
      <c r="G93" s="15" t="n">
        <v>79</v>
      </c>
      <c r="H93" s="15" t="s">
        <v>5177</v>
      </c>
      <c r="I93" s="15" t="s">
        <v>5228</v>
      </c>
      <c r="J93" s="15" t="n">
        <v>3</v>
      </c>
      <c r="K93" s="15" t="s">
        <v>2705</v>
      </c>
      <c r="L93" s="15" t="str">
        <f aca="false">IF(K93="","No","Yes")</f>
        <v>Yes</v>
      </c>
      <c r="M93" s="18" t="str">
        <f aca="false">IF(K93="","",IFERROR(IF(ISNUMBER(SEARCH(A93,INDEX(Pages!$J$2:$J$824,MATCH(K93,Pages!$B$2:$B$824,0)))),"Yes","No"),"Page not found"))</f>
        <v>No</v>
      </c>
      <c r="N93" s="3" t="s">
        <v>5229</v>
      </c>
      <c r="O93" s="3" t="s">
        <v>5234</v>
      </c>
      <c r="P93" s="19"/>
      <c r="Q93" s="17"/>
      <c r="R93" s="17"/>
    </row>
    <row r="94" customFormat="false" ht="15" hidden="false" customHeight="false" outlineLevel="0" collapsed="false">
      <c r="A94" s="15" t="s">
        <v>5617</v>
      </c>
      <c r="B94" s="15" t="s">
        <v>84</v>
      </c>
      <c r="C94" s="15" t="s">
        <v>314</v>
      </c>
      <c r="D94" s="15" t="s">
        <v>729</v>
      </c>
      <c r="E94" s="15" t="s">
        <v>2428</v>
      </c>
      <c r="F94" s="16" t="n">
        <v>320</v>
      </c>
      <c r="G94" s="15" t="n">
        <v>40</v>
      </c>
      <c r="H94" s="15" t="s">
        <v>5227</v>
      </c>
      <c r="I94" s="15" t="s">
        <v>5568</v>
      </c>
      <c r="J94" s="15" t="n">
        <v>4</v>
      </c>
      <c r="K94" s="15"/>
      <c r="L94" s="15" t="str">
        <f aca="false">IF(K94="","No","Yes")</f>
        <v>No</v>
      </c>
      <c r="M94" s="18" t="str">
        <f aca="false">IF(K94="","",IFERROR(IF(ISNUMBER(SEARCH(A94,INDEX(Pages!$J$2:$J$824,MATCH(K94,Pages!$B$2:$B$824,0)))),"Yes","No"),"Page not found"))</f>
        <v/>
      </c>
      <c r="N94" s="3" t="s">
        <v>5408</v>
      </c>
      <c r="O94" s="3" t="s">
        <v>5618</v>
      </c>
      <c r="P94" s="19"/>
      <c r="Q94" s="17"/>
      <c r="R94" s="17"/>
    </row>
    <row r="95" customFormat="false" ht="15" hidden="false" customHeight="false" outlineLevel="0" collapsed="false">
      <c r="A95" s="15" t="s">
        <v>2088</v>
      </c>
      <c r="B95" s="15" t="s">
        <v>89</v>
      </c>
      <c r="C95" s="15" t="s">
        <v>258</v>
      </c>
      <c r="D95" s="15" t="s">
        <v>657</v>
      </c>
      <c r="E95" s="15" t="s">
        <v>2084</v>
      </c>
      <c r="F95" s="16" t="n">
        <v>320</v>
      </c>
      <c r="G95" s="15" t="n">
        <v>41</v>
      </c>
      <c r="H95" s="15" t="s">
        <v>5227</v>
      </c>
      <c r="I95" s="15" t="s">
        <v>5473</v>
      </c>
      <c r="J95" s="15" t="n">
        <v>1</v>
      </c>
      <c r="K95" s="15" t="s">
        <v>2083</v>
      </c>
      <c r="L95" s="15" t="str">
        <f aca="false">IF(K95="","No","Yes")</f>
        <v>Yes</v>
      </c>
      <c r="M95" s="18" t="str">
        <f aca="false">IF(K95="","",IFERROR(IF(ISNUMBER(SEARCH(A95,INDEX(Pages!$J$2:$J$824,MATCH(K95,Pages!$B$2:$B$824,0)))),"Yes","No"),"Page not found"))</f>
        <v>Yes</v>
      </c>
      <c r="N95" s="3" t="s">
        <v>5426</v>
      </c>
      <c r="O95" s="3"/>
      <c r="P95" s="19"/>
      <c r="Q95" s="17"/>
      <c r="R95" s="17"/>
    </row>
    <row r="96" customFormat="false" ht="15" hidden="false" customHeight="false" outlineLevel="0" collapsed="false">
      <c r="A96" s="15" t="s">
        <v>2817</v>
      </c>
      <c r="B96" s="15" t="s">
        <v>82</v>
      </c>
      <c r="C96" s="15" t="s">
        <v>265</v>
      </c>
      <c r="D96" s="15" t="s">
        <v>736</v>
      </c>
      <c r="E96" s="15" t="s">
        <v>2463</v>
      </c>
      <c r="F96" s="16" t="n">
        <v>320</v>
      </c>
      <c r="G96" s="15" t="n">
        <v>64</v>
      </c>
      <c r="H96" s="15" t="s">
        <v>5227</v>
      </c>
      <c r="I96" s="15" t="s">
        <v>5228</v>
      </c>
      <c r="J96" s="15" t="n">
        <v>5</v>
      </c>
      <c r="K96" s="15" t="s">
        <v>2813</v>
      </c>
      <c r="L96" s="15" t="str">
        <f aca="false">IF(K96="","No","Yes")</f>
        <v>Yes</v>
      </c>
      <c r="M96" s="18" t="str">
        <f aca="false">IF(K96="","",IFERROR(IF(ISNUMBER(SEARCH(A96,INDEX(Pages!$J$2:$J$824,MATCH(K96,Pages!$B$2:$B$824,0)))),"Yes","No"),"Page not found"))</f>
        <v>Yes</v>
      </c>
      <c r="N96" s="3" t="s">
        <v>5376</v>
      </c>
      <c r="O96" s="3" t="s">
        <v>5479</v>
      </c>
      <c r="P96" s="19"/>
      <c r="Q96" s="17"/>
      <c r="R96" s="17"/>
    </row>
    <row r="97" customFormat="false" ht="15" hidden="false" customHeight="false" outlineLevel="0" collapsed="false">
      <c r="A97" s="15" t="s">
        <v>2547</v>
      </c>
      <c r="B97" s="15" t="s">
        <v>82</v>
      </c>
      <c r="C97" s="15" t="s">
        <v>265</v>
      </c>
      <c r="D97" s="15" t="s">
        <v>666</v>
      </c>
      <c r="E97" s="15" t="s">
        <v>2148</v>
      </c>
      <c r="F97" s="16" t="n">
        <v>320</v>
      </c>
      <c r="G97" s="15" t="n">
        <v>52</v>
      </c>
      <c r="H97" s="15" t="s">
        <v>5227</v>
      </c>
      <c r="I97" s="15" t="s">
        <v>5228</v>
      </c>
      <c r="J97" s="15" t="n">
        <v>4</v>
      </c>
      <c r="K97" s="15" t="s">
        <v>2543</v>
      </c>
      <c r="L97" s="15" t="str">
        <f aca="false">IF(K97="","No","Yes")</f>
        <v>Yes</v>
      </c>
      <c r="M97" s="18" t="str">
        <f aca="false">IF(K97="","",IFERROR(IF(ISNUMBER(SEARCH(A97,INDEX(Pages!$J$2:$J$824,MATCH(K97,Pages!$B$2:$B$824,0)))),"Yes","No"),"Page not found"))</f>
        <v>No</v>
      </c>
      <c r="N97" s="3" t="s">
        <v>5426</v>
      </c>
      <c r="O97" s="3" t="s">
        <v>5377</v>
      </c>
      <c r="P97" s="19"/>
      <c r="Q97" s="17"/>
      <c r="R97" s="17"/>
    </row>
    <row r="98" customFormat="false" ht="15" hidden="false" customHeight="false" outlineLevel="0" collapsed="false">
      <c r="A98" s="15" t="s">
        <v>2841</v>
      </c>
      <c r="B98" s="15" t="s">
        <v>85</v>
      </c>
      <c r="C98" s="15" t="s">
        <v>272</v>
      </c>
      <c r="D98" s="15" t="s">
        <v>657</v>
      </c>
      <c r="E98" s="15" t="s">
        <v>2084</v>
      </c>
      <c r="F98" s="16" t="n">
        <v>320</v>
      </c>
      <c r="G98" s="15" t="n">
        <v>56</v>
      </c>
      <c r="H98" s="15" t="s">
        <v>5227</v>
      </c>
      <c r="I98" s="15" t="s">
        <v>5392</v>
      </c>
      <c r="J98" s="15" t="n">
        <v>3</v>
      </c>
      <c r="K98" s="15" t="s">
        <v>2837</v>
      </c>
      <c r="L98" s="15" t="str">
        <f aca="false">IF(K98="","No","Yes")</f>
        <v>Yes</v>
      </c>
      <c r="M98" s="18" t="str">
        <f aca="false">IF(K98="","",IFERROR(IF(ISNUMBER(SEARCH(A98,INDEX(Pages!$J$2:$J$824,MATCH(K98,Pages!$B$2:$B$824,0)))),"Yes","No"),"Page not found"))</f>
        <v>Yes</v>
      </c>
      <c r="N98" s="3" t="s">
        <v>5476</v>
      </c>
      <c r="O98" s="3"/>
      <c r="P98" s="19"/>
      <c r="Q98" s="17"/>
      <c r="R98" s="17"/>
    </row>
    <row r="99" customFormat="false" ht="15" hidden="false" customHeight="false" outlineLevel="0" collapsed="false">
      <c r="A99" s="15" t="s">
        <v>4137</v>
      </c>
      <c r="B99" s="15" t="s">
        <v>81</v>
      </c>
      <c r="C99" s="15" t="s">
        <v>349</v>
      </c>
      <c r="D99" s="15" t="s">
        <v>715</v>
      </c>
      <c r="E99" s="15" t="s">
        <v>2379</v>
      </c>
      <c r="F99" s="16" t="n">
        <v>320</v>
      </c>
      <c r="G99" s="15" t="n">
        <v>36</v>
      </c>
      <c r="H99" s="15" t="s">
        <v>5227</v>
      </c>
      <c r="I99" s="15" t="s">
        <v>5235</v>
      </c>
      <c r="J99" s="15" t="n">
        <v>2</v>
      </c>
      <c r="K99" s="15" t="s">
        <v>4133</v>
      </c>
      <c r="L99" s="15" t="str">
        <f aca="false">IF(K99="","No","Yes")</f>
        <v>Yes</v>
      </c>
      <c r="M99" s="18" t="str">
        <f aca="false">IF(K99="","",IFERROR(IF(ISNUMBER(SEARCH(A99,INDEX(Pages!$J$2:$J$824,MATCH(K99,Pages!$B$2:$B$824,0)))),"Yes","No"),"Page not found"))</f>
        <v>Yes</v>
      </c>
      <c r="N99" s="3" t="s">
        <v>5426</v>
      </c>
      <c r="O99" s="3"/>
      <c r="P99" s="19"/>
      <c r="Q99" s="17"/>
      <c r="R99" s="17"/>
    </row>
    <row r="100" customFormat="false" ht="15" hidden="false" customHeight="false" outlineLevel="0" collapsed="false">
      <c r="A100" s="15" t="s">
        <v>2511</v>
      </c>
      <c r="B100" s="15" t="s">
        <v>82</v>
      </c>
      <c r="C100" s="15" t="s">
        <v>265</v>
      </c>
      <c r="D100" s="15" t="s">
        <v>657</v>
      </c>
      <c r="E100" s="15" t="s">
        <v>2106</v>
      </c>
      <c r="F100" s="16" t="n">
        <v>310</v>
      </c>
      <c r="G100" s="15" t="n">
        <v>56</v>
      </c>
      <c r="H100" s="15" t="s">
        <v>5227</v>
      </c>
      <c r="I100" s="15" t="s">
        <v>5228</v>
      </c>
      <c r="J100" s="15" t="n">
        <v>3</v>
      </c>
      <c r="K100" s="15" t="s">
        <v>2507</v>
      </c>
      <c r="L100" s="15" t="str">
        <f aca="false">IF(K100="","No","Yes")</f>
        <v>Yes</v>
      </c>
      <c r="M100" s="18" t="str">
        <f aca="false">IF(K100="","",IFERROR(IF(ISNUMBER(SEARCH(A100,INDEX(Pages!$J$2:$J$824,MATCH(K100,Pages!$B$2:$B$824,0)))),"Yes","No"),"Page not found"))</f>
        <v>Yes</v>
      </c>
      <c r="N100" s="3" t="s">
        <v>5376</v>
      </c>
      <c r="O100" s="3"/>
      <c r="P100" s="19"/>
      <c r="Q100" s="17"/>
      <c r="R100" s="17"/>
    </row>
    <row r="101" customFormat="false" ht="23.85" hidden="false" customHeight="false" outlineLevel="0" collapsed="false">
      <c r="A101" s="15" t="s">
        <v>3621</v>
      </c>
      <c r="B101" s="15" t="s">
        <v>74</v>
      </c>
      <c r="C101" s="15" t="s">
        <v>321</v>
      </c>
      <c r="D101" s="15" t="s">
        <v>673</v>
      </c>
      <c r="E101" s="15" t="s">
        <v>2183</v>
      </c>
      <c r="F101" s="16" t="n">
        <v>310</v>
      </c>
      <c r="G101" s="15" t="n">
        <v>39</v>
      </c>
      <c r="H101" s="15" t="s">
        <v>5227</v>
      </c>
      <c r="I101" s="15" t="s">
        <v>5444</v>
      </c>
      <c r="J101" s="15" t="n">
        <v>1</v>
      </c>
      <c r="K101" s="15" t="s">
        <v>3617</v>
      </c>
      <c r="L101" s="15" t="str">
        <f aca="false">IF(K101="","No","Yes")</f>
        <v>Yes</v>
      </c>
      <c r="M101" s="18" t="str">
        <f aca="false">IF(K101="","",IFERROR(IF(ISNUMBER(SEARCH(A101,INDEX(Pages!$J$2:$J$824,MATCH(K101,Pages!$B$2:$B$824,0)))),"Yes","No"),"Page not found"))</f>
        <v>Yes</v>
      </c>
      <c r="N101" s="3" t="s">
        <v>5486</v>
      </c>
      <c r="O101" s="3" t="s">
        <v>5230</v>
      </c>
      <c r="P101" s="19"/>
      <c r="Q101" s="17"/>
      <c r="R101" s="17"/>
    </row>
    <row r="102" customFormat="false" ht="15" hidden="false" customHeight="false" outlineLevel="0" collapsed="false">
      <c r="A102" s="15" t="s">
        <v>2805</v>
      </c>
      <c r="B102" s="15" t="s">
        <v>82</v>
      </c>
      <c r="C102" s="15" t="s">
        <v>265</v>
      </c>
      <c r="D102" s="15" t="s">
        <v>729</v>
      </c>
      <c r="E102" s="15" t="s">
        <v>2449</v>
      </c>
      <c r="F102" s="16" t="n">
        <v>300</v>
      </c>
      <c r="G102" s="15" t="n">
        <v>60</v>
      </c>
      <c r="H102" s="15" t="s">
        <v>5227</v>
      </c>
      <c r="I102" s="15" t="s">
        <v>5228</v>
      </c>
      <c r="J102" s="15" t="n">
        <v>4</v>
      </c>
      <c r="K102" s="15" t="s">
        <v>2801</v>
      </c>
      <c r="L102" s="15" t="str">
        <f aca="false">IF(K102="","No","Yes")</f>
        <v>Yes</v>
      </c>
      <c r="M102" s="18" t="str">
        <f aca="false">IF(K102="","",IFERROR(IF(ISNUMBER(SEARCH(A102,INDEX(Pages!$J$2:$J$824,MATCH(K102,Pages!$B$2:$B$824,0)))),"Yes","No"),"Page not found"))</f>
        <v>Yes</v>
      </c>
      <c r="N102" s="3" t="s">
        <v>5426</v>
      </c>
      <c r="O102" s="3" t="s">
        <v>5427</v>
      </c>
      <c r="P102" s="19"/>
      <c r="Q102" s="17"/>
      <c r="R102" s="17"/>
    </row>
    <row r="103" customFormat="false" ht="15" hidden="false" customHeight="false" outlineLevel="0" collapsed="false">
      <c r="A103" s="15" t="s">
        <v>2757</v>
      </c>
      <c r="B103" s="15" t="s">
        <v>82</v>
      </c>
      <c r="C103" s="15" t="s">
        <v>265</v>
      </c>
      <c r="D103" s="15" t="s">
        <v>715</v>
      </c>
      <c r="E103" s="15" t="s">
        <v>2393</v>
      </c>
      <c r="F103" s="16" t="n">
        <v>300</v>
      </c>
      <c r="G103" s="15" t="n">
        <v>64</v>
      </c>
      <c r="H103" s="15" t="s">
        <v>5227</v>
      </c>
      <c r="I103" s="15" t="s">
        <v>5228</v>
      </c>
      <c r="J103" s="15" t="n">
        <v>3</v>
      </c>
      <c r="K103" s="15" t="s">
        <v>2753</v>
      </c>
      <c r="L103" s="15" t="str">
        <f aca="false">IF(K103="","No","Yes")</f>
        <v>Yes</v>
      </c>
      <c r="M103" s="18" t="str">
        <f aca="false">IF(K103="","",IFERROR(IF(ISNUMBER(SEARCH(A103,INDEX(Pages!$J$2:$J$824,MATCH(K103,Pages!$B$2:$B$824,0)))),"Yes","No"),"Page not found"))</f>
        <v>Yes</v>
      </c>
      <c r="N103" s="3" t="s">
        <v>5376</v>
      </c>
      <c r="O103" s="3"/>
      <c r="P103" s="19"/>
      <c r="Q103" s="17"/>
      <c r="R103" s="17"/>
    </row>
    <row r="104" customFormat="false" ht="23.85" hidden="false" customHeight="false" outlineLevel="0" collapsed="false">
      <c r="A104" s="15" t="s">
        <v>5375</v>
      </c>
      <c r="B104" s="15" t="s">
        <v>82</v>
      </c>
      <c r="C104" s="15" t="s">
        <v>265</v>
      </c>
      <c r="D104" s="15" t="s">
        <v>715</v>
      </c>
      <c r="E104" s="15" t="s">
        <v>2274</v>
      </c>
      <c r="F104" s="16" t="n">
        <v>300</v>
      </c>
      <c r="G104" s="15" t="n">
        <v>65</v>
      </c>
      <c r="H104" s="15" t="s">
        <v>5177</v>
      </c>
      <c r="I104" s="15" t="s">
        <v>5228</v>
      </c>
      <c r="J104" s="15" t="n">
        <v>3</v>
      </c>
      <c r="K104" s="15" t="s">
        <v>2651</v>
      </c>
      <c r="L104" s="15" t="str">
        <f aca="false">IF(K104="","No","Yes")</f>
        <v>Yes</v>
      </c>
      <c r="M104" s="18" t="str">
        <f aca="false">IF(K104="","",IFERROR(IF(ISNUMBER(SEARCH(A104,INDEX(Pages!$J$2:$J$824,MATCH(K104,Pages!$B$2:$B$824,0)))),"Yes","No"),"Page not found"))</f>
        <v>No</v>
      </c>
      <c r="N104" s="3" t="s">
        <v>5229</v>
      </c>
      <c r="O104" s="3" t="s">
        <v>5234</v>
      </c>
      <c r="P104" s="19"/>
      <c r="Q104" s="17"/>
      <c r="R104" s="17"/>
    </row>
    <row r="105" customFormat="false" ht="15" hidden="false" customHeight="false" outlineLevel="0" collapsed="false">
      <c r="A105" s="15" t="s">
        <v>4595</v>
      </c>
      <c r="B105" s="15" t="s">
        <v>94</v>
      </c>
      <c r="C105" s="15"/>
      <c r="D105" s="15" t="s">
        <v>657</v>
      </c>
      <c r="E105" s="15" t="s">
        <v>2092</v>
      </c>
      <c r="F105" s="16" t="n">
        <v>300</v>
      </c>
      <c r="G105" s="15" t="n">
        <v>30</v>
      </c>
      <c r="H105" s="15" t="s">
        <v>5227</v>
      </c>
      <c r="I105" s="15" t="s">
        <v>5243</v>
      </c>
      <c r="J105" s="15" t="n">
        <v>2</v>
      </c>
      <c r="K105" s="15" t="s">
        <v>4591</v>
      </c>
      <c r="L105" s="15" t="str">
        <f aca="false">IF(K105="","No","Yes")</f>
        <v>Yes</v>
      </c>
      <c r="M105" s="18" t="str">
        <f aca="false">IF(K105="","",IFERROR(IF(ISNUMBER(SEARCH(A105,INDEX(Pages!$J$2:$J$824,MATCH(K105,Pages!$B$2:$B$824,0)))),"Yes","No"),"Page not found"))</f>
        <v>No</v>
      </c>
      <c r="N105" s="3" t="s">
        <v>5471</v>
      </c>
      <c r="O105" s="3" t="s">
        <v>5472</v>
      </c>
      <c r="P105" s="19"/>
      <c r="Q105" s="17"/>
      <c r="R105" s="17"/>
    </row>
    <row r="106" customFormat="false" ht="15" hidden="false" customHeight="false" outlineLevel="0" collapsed="false">
      <c r="A106" s="15" t="s">
        <v>4853</v>
      </c>
      <c r="B106" s="15" t="s">
        <v>94</v>
      </c>
      <c r="C106" s="15"/>
      <c r="D106" s="15" t="s">
        <v>715</v>
      </c>
      <c r="E106" s="15" t="s">
        <v>2337</v>
      </c>
      <c r="F106" s="16" t="n">
        <v>300</v>
      </c>
      <c r="G106" s="15" t="n">
        <v>30</v>
      </c>
      <c r="H106" s="15" t="s">
        <v>5227</v>
      </c>
      <c r="I106" s="15" t="s">
        <v>5243</v>
      </c>
      <c r="J106" s="15" t="n">
        <v>2</v>
      </c>
      <c r="K106" s="15" t="s">
        <v>4849</v>
      </c>
      <c r="L106" s="15" t="str">
        <f aca="false">IF(K106="","No","Yes")</f>
        <v>Yes</v>
      </c>
      <c r="M106" s="18" t="str">
        <f aca="false">IF(K106="","",IFERROR(IF(ISNUMBER(SEARCH(A106,INDEX(Pages!$J$2:$J$824,MATCH(K106,Pages!$B$2:$B$824,0)))),"Yes","No"),"Page not found"))</f>
        <v>No</v>
      </c>
      <c r="N106" s="3" t="s">
        <v>5471</v>
      </c>
      <c r="O106" s="3" t="s">
        <v>5472</v>
      </c>
      <c r="P106" s="19"/>
      <c r="Q106" s="17"/>
      <c r="R106" s="17"/>
    </row>
    <row r="107" customFormat="false" ht="23.85" hidden="false" customHeight="false" outlineLevel="0" collapsed="false">
      <c r="A107" s="15" t="s">
        <v>3735</v>
      </c>
      <c r="B107" s="15" t="s">
        <v>74</v>
      </c>
      <c r="C107" s="15" t="s">
        <v>321</v>
      </c>
      <c r="D107" s="15" t="s">
        <v>715</v>
      </c>
      <c r="E107" s="15" t="s">
        <v>2316</v>
      </c>
      <c r="F107" s="16" t="n">
        <v>300</v>
      </c>
      <c r="G107" s="15" t="n">
        <v>51</v>
      </c>
      <c r="H107" s="15" t="s">
        <v>5227</v>
      </c>
      <c r="I107" s="15" t="s">
        <v>5444</v>
      </c>
      <c r="J107" s="15" t="n">
        <v>1</v>
      </c>
      <c r="K107" s="15" t="s">
        <v>3731</v>
      </c>
      <c r="L107" s="15" t="str">
        <f aca="false">IF(K107="","No","Yes")</f>
        <v>Yes</v>
      </c>
      <c r="M107" s="18" t="str">
        <f aca="false">IF(K107="","",IFERROR(IF(ISNUMBER(SEARCH(A107,INDEX(Pages!$J$2:$J$824,MATCH(K107,Pages!$B$2:$B$824,0)))),"Yes","No"),"Page not found"))</f>
        <v>Yes</v>
      </c>
      <c r="N107" s="3" t="s">
        <v>5445</v>
      </c>
      <c r="O107" s="3" t="s">
        <v>5230</v>
      </c>
      <c r="P107" s="19"/>
      <c r="Q107" s="17"/>
      <c r="R107" s="17"/>
    </row>
    <row r="108" customFormat="false" ht="15" hidden="false" customHeight="false" outlineLevel="0" collapsed="false">
      <c r="A108" s="15" t="s">
        <v>4023</v>
      </c>
      <c r="B108" s="15" t="s">
        <v>81</v>
      </c>
      <c r="C108" s="15" t="s">
        <v>349</v>
      </c>
      <c r="D108" s="15" t="s">
        <v>715</v>
      </c>
      <c r="E108" s="15" t="s">
        <v>2246</v>
      </c>
      <c r="F108" s="16" t="n">
        <v>300</v>
      </c>
      <c r="G108" s="15" t="n">
        <v>36</v>
      </c>
      <c r="H108" s="15" t="s">
        <v>5227</v>
      </c>
      <c r="I108" s="15" t="s">
        <v>5235</v>
      </c>
      <c r="J108" s="15" t="n">
        <v>2</v>
      </c>
      <c r="K108" s="15" t="s">
        <v>4019</v>
      </c>
      <c r="L108" s="15" t="str">
        <f aca="false">IF(K108="","No","Yes")</f>
        <v>Yes</v>
      </c>
      <c r="M108" s="18" t="str">
        <f aca="false">IF(K108="","",IFERROR(IF(ISNUMBER(SEARCH(A108,INDEX(Pages!$J$2:$J$824,MATCH(K108,Pages!$B$2:$B$824,0)))),"Yes","No"),"Page not found"))</f>
        <v>Yes</v>
      </c>
      <c r="N108" s="3" t="s">
        <v>5426</v>
      </c>
      <c r="O108" s="3"/>
      <c r="P108" s="19"/>
      <c r="Q108" s="17"/>
      <c r="R108" s="17"/>
    </row>
    <row r="109" customFormat="false" ht="15" hidden="false" customHeight="false" outlineLevel="0" collapsed="false">
      <c r="A109" s="15" t="s">
        <v>4353</v>
      </c>
      <c r="B109" s="15" t="s">
        <v>86</v>
      </c>
      <c r="C109" s="15" t="s">
        <v>356</v>
      </c>
      <c r="D109" s="15" t="s">
        <v>701</v>
      </c>
      <c r="E109" s="15" t="s">
        <v>2225</v>
      </c>
      <c r="F109" s="16" t="n">
        <v>300</v>
      </c>
      <c r="G109" s="15" t="n">
        <v>40</v>
      </c>
      <c r="H109" s="15" t="s">
        <v>5227</v>
      </c>
      <c r="I109" s="15" t="s">
        <v>5392</v>
      </c>
      <c r="J109" s="15" t="n">
        <v>4</v>
      </c>
      <c r="K109" s="15" t="s">
        <v>4349</v>
      </c>
      <c r="L109" s="15" t="str">
        <f aca="false">IF(K109="","No","Yes")</f>
        <v>Yes</v>
      </c>
      <c r="M109" s="18" t="str">
        <f aca="false">IF(K109="","",IFERROR(IF(ISNUMBER(SEARCH(A109,INDEX(Pages!$J$2:$J$824,MATCH(K109,Pages!$B$2:$B$824,0)))),"Yes","No"),"Page not found"))</f>
        <v>Yes</v>
      </c>
      <c r="N109" s="3" t="s">
        <v>5426</v>
      </c>
      <c r="O109" s="3"/>
      <c r="P109" s="19"/>
      <c r="Q109" s="17"/>
      <c r="R109" s="17"/>
    </row>
    <row r="110" customFormat="false" ht="15" hidden="false" customHeight="false" outlineLevel="0" collapsed="false">
      <c r="A110" s="15" t="s">
        <v>5423</v>
      </c>
      <c r="B110" s="15" t="s">
        <v>82</v>
      </c>
      <c r="C110" s="15" t="s">
        <v>265</v>
      </c>
      <c r="D110" s="15" t="s">
        <v>715</v>
      </c>
      <c r="E110" s="15" t="s">
        <v>2295</v>
      </c>
      <c r="F110" s="16" t="n">
        <v>290</v>
      </c>
      <c r="G110" s="15" t="n">
        <v>71</v>
      </c>
      <c r="H110" s="15" t="s">
        <v>5169</v>
      </c>
      <c r="I110" s="15" t="s">
        <v>5228</v>
      </c>
      <c r="J110" s="15" t="n">
        <v>3</v>
      </c>
      <c r="K110" s="15" t="s">
        <v>2669</v>
      </c>
      <c r="L110" s="15" t="str">
        <f aca="false">IF(K110="","No","Yes")</f>
        <v>Yes</v>
      </c>
      <c r="M110" s="18" t="str">
        <f aca="false">IF(K110="","",IFERROR(IF(ISNUMBER(SEARCH(A110,INDEX(Pages!$J$2:$J$824,MATCH(K110,Pages!$B$2:$B$824,0)))),"Yes","No"),"Page not found"))</f>
        <v>No</v>
      </c>
      <c r="N110" s="3" t="s">
        <v>5182</v>
      </c>
      <c r="O110" s="3" t="s">
        <v>5232</v>
      </c>
      <c r="P110" s="19"/>
      <c r="Q110" s="17"/>
      <c r="R110" s="17"/>
    </row>
    <row r="111" customFormat="false" ht="15" hidden="false" customHeight="false" outlineLevel="0" collapsed="false">
      <c r="A111" s="15" t="s">
        <v>3519</v>
      </c>
      <c r="B111" s="15" t="s">
        <v>84</v>
      </c>
      <c r="C111" s="15" t="s">
        <v>314</v>
      </c>
      <c r="D111" s="15" t="s">
        <v>736</v>
      </c>
      <c r="E111" s="15" t="s">
        <v>2470</v>
      </c>
      <c r="F111" s="16" t="n">
        <v>290</v>
      </c>
      <c r="G111" s="15" t="n">
        <v>52</v>
      </c>
      <c r="H111" s="15" t="s">
        <v>5227</v>
      </c>
      <c r="I111" s="15" t="s">
        <v>5392</v>
      </c>
      <c r="J111" s="15" t="n">
        <v>3</v>
      </c>
      <c r="K111" s="15" t="s">
        <v>3515</v>
      </c>
      <c r="L111" s="15" t="str">
        <f aca="false">IF(K111="","No","Yes")</f>
        <v>Yes</v>
      </c>
      <c r="M111" s="18" t="str">
        <f aca="false">IF(K111="","",IFERROR(IF(ISNUMBER(SEARCH(A111,INDEX(Pages!$J$2:$J$824,MATCH(K111,Pages!$B$2:$B$824,0)))),"Yes","No"),"Page not found"))</f>
        <v>Yes</v>
      </c>
      <c r="N111" s="3" t="s">
        <v>5376</v>
      </c>
      <c r="O111" s="3"/>
      <c r="P111" s="19"/>
      <c r="Q111" s="17"/>
      <c r="R111" s="17"/>
    </row>
    <row r="112" customFormat="false" ht="15" hidden="false" customHeight="false" outlineLevel="0" collapsed="false">
      <c r="A112" s="15" t="s">
        <v>4413</v>
      </c>
      <c r="B112" s="15" t="s">
        <v>86</v>
      </c>
      <c r="C112" s="15" t="s">
        <v>356</v>
      </c>
      <c r="D112" s="15" t="s">
        <v>715</v>
      </c>
      <c r="E112" s="15" t="s">
        <v>2295</v>
      </c>
      <c r="F112" s="16" t="n">
        <v>290</v>
      </c>
      <c r="G112" s="15" t="n">
        <v>48</v>
      </c>
      <c r="H112" s="15" t="s">
        <v>5227</v>
      </c>
      <c r="I112" s="15" t="s">
        <v>5392</v>
      </c>
      <c r="J112" s="15" t="n">
        <v>4</v>
      </c>
      <c r="K112" s="15" t="s">
        <v>4409</v>
      </c>
      <c r="L112" s="15" t="str">
        <f aca="false">IF(K112="","No","Yes")</f>
        <v>Yes</v>
      </c>
      <c r="M112" s="18" t="str">
        <f aca="false">IF(K112="","",IFERROR(IF(ISNUMBER(SEARCH(A112,INDEX(Pages!$J$2:$J$824,MATCH(K112,Pages!$B$2:$B$824,0)))),"Yes","No"),"Page not found"))</f>
        <v>No</v>
      </c>
      <c r="N112" s="3" t="s">
        <v>5426</v>
      </c>
      <c r="O112" s="3"/>
      <c r="P112" s="19"/>
      <c r="Q112" s="17"/>
      <c r="R112" s="17"/>
    </row>
    <row r="113" customFormat="false" ht="15" hidden="false" customHeight="false" outlineLevel="0" collapsed="false">
      <c r="A113" s="15" t="s">
        <v>2661</v>
      </c>
      <c r="B113" s="15" t="s">
        <v>82</v>
      </c>
      <c r="C113" s="15" t="s">
        <v>265</v>
      </c>
      <c r="D113" s="15" t="s">
        <v>715</v>
      </c>
      <c r="E113" s="15" t="s">
        <v>2281</v>
      </c>
      <c r="F113" s="16" t="n">
        <v>280</v>
      </c>
      <c r="G113" s="15" t="n">
        <v>68</v>
      </c>
      <c r="H113" s="15" t="s">
        <v>5227</v>
      </c>
      <c r="I113" s="15" t="s">
        <v>5228</v>
      </c>
      <c r="J113" s="15" t="n">
        <v>3</v>
      </c>
      <c r="K113" s="15" t="s">
        <v>2657</v>
      </c>
      <c r="L113" s="15" t="str">
        <f aca="false">IF(K113="","No","Yes")</f>
        <v>Yes</v>
      </c>
      <c r="M113" s="18" t="str">
        <f aca="false">IF(K113="","",IFERROR(IF(ISNUMBER(SEARCH(A113,INDEX(Pages!$J$2:$J$824,MATCH(K113,Pages!$B$2:$B$824,0)))),"Yes","No"),"Page not found"))</f>
        <v>Yes</v>
      </c>
      <c r="N113" s="3" t="s">
        <v>5182</v>
      </c>
      <c r="O113" s="3"/>
      <c r="P113" s="19"/>
      <c r="Q113" s="17"/>
      <c r="R113" s="17"/>
    </row>
    <row r="114" customFormat="false" ht="15" hidden="false" customHeight="false" outlineLevel="0" collapsed="false">
      <c r="A114" s="15" t="s">
        <v>2505</v>
      </c>
      <c r="B114" s="15" t="s">
        <v>82</v>
      </c>
      <c r="C114" s="15" t="s">
        <v>265</v>
      </c>
      <c r="D114" s="15" t="s">
        <v>657</v>
      </c>
      <c r="E114" s="15" t="s">
        <v>2099</v>
      </c>
      <c r="F114" s="16" t="n">
        <v>280</v>
      </c>
      <c r="G114" s="15" t="n">
        <v>56</v>
      </c>
      <c r="H114" s="15" t="s">
        <v>5227</v>
      </c>
      <c r="I114" s="15" t="s">
        <v>5228</v>
      </c>
      <c r="J114" s="15" t="n">
        <v>3</v>
      </c>
      <c r="K114" s="15" t="s">
        <v>2501</v>
      </c>
      <c r="L114" s="15" t="str">
        <f aca="false">IF(K114="","No","Yes")</f>
        <v>Yes</v>
      </c>
      <c r="M114" s="18" t="str">
        <f aca="false">IF(K114="","",IFERROR(IF(ISNUMBER(SEARCH(A114,INDEX(Pages!$J$2:$J$824,MATCH(K114,Pages!$B$2:$B$824,0)))),"Yes","No"),"Page not found"))</f>
        <v>Yes</v>
      </c>
      <c r="N114" s="3" t="s">
        <v>5376</v>
      </c>
      <c r="O114" s="3"/>
      <c r="P114" s="19"/>
      <c r="Q114" s="17"/>
      <c r="R114" s="17"/>
    </row>
    <row r="115" customFormat="false" ht="15" hidden="false" customHeight="false" outlineLevel="0" collapsed="false">
      <c r="A115" s="15" t="s">
        <v>3363</v>
      </c>
      <c r="B115" s="15" t="s">
        <v>84</v>
      </c>
      <c r="C115" s="15" t="s">
        <v>314</v>
      </c>
      <c r="D115" s="15" t="s">
        <v>715</v>
      </c>
      <c r="E115" s="15" t="s">
        <v>2288</v>
      </c>
      <c r="F115" s="16" t="n">
        <v>280</v>
      </c>
      <c r="G115" s="15" t="n">
        <v>56</v>
      </c>
      <c r="H115" s="15" t="s">
        <v>5227</v>
      </c>
      <c r="I115" s="15" t="s">
        <v>5392</v>
      </c>
      <c r="J115" s="15" t="n">
        <v>3</v>
      </c>
      <c r="K115" s="15" t="s">
        <v>3359</v>
      </c>
      <c r="L115" s="15" t="str">
        <f aca="false">IF(K115="","No","Yes")</f>
        <v>Yes</v>
      </c>
      <c r="M115" s="18" t="str">
        <f aca="false">IF(K115="","",IFERROR(IF(ISNUMBER(SEARCH(A115,INDEX(Pages!$J$2:$J$824,MATCH(K115,Pages!$B$2:$B$824,0)))),"Yes","No"),"Page not found"))</f>
        <v>Yes</v>
      </c>
      <c r="N115" s="3" t="s">
        <v>5426</v>
      </c>
      <c r="O115" s="3"/>
      <c r="P115" s="19"/>
      <c r="Q115" s="17"/>
      <c r="R115" s="17"/>
    </row>
    <row r="116" customFormat="false" ht="23.85" hidden="false" customHeight="false" outlineLevel="0" collapsed="false">
      <c r="A116" s="15" t="s">
        <v>3603</v>
      </c>
      <c r="B116" s="15" t="s">
        <v>74</v>
      </c>
      <c r="C116" s="15" t="s">
        <v>321</v>
      </c>
      <c r="D116" s="15" t="s">
        <v>666</v>
      </c>
      <c r="E116" s="15" t="s">
        <v>2162</v>
      </c>
      <c r="F116" s="16" t="n">
        <v>280</v>
      </c>
      <c r="G116" s="15" t="n">
        <v>47</v>
      </c>
      <c r="H116" s="15" t="s">
        <v>5227</v>
      </c>
      <c r="I116" s="15" t="s">
        <v>5444</v>
      </c>
      <c r="J116" s="15" t="n">
        <v>1</v>
      </c>
      <c r="K116" s="15" t="s">
        <v>3599</v>
      </c>
      <c r="L116" s="15" t="str">
        <f aca="false">IF(K116="","No","Yes")</f>
        <v>Yes</v>
      </c>
      <c r="M116" s="18" t="str">
        <f aca="false">IF(K116="","",IFERROR(IF(ISNUMBER(SEARCH(A116,INDEX(Pages!$J$2:$J$824,MATCH(K116,Pages!$B$2:$B$824,0)))),"Yes","No"),"Page not found"))</f>
        <v>Yes</v>
      </c>
      <c r="N116" s="3" t="s">
        <v>5488</v>
      </c>
      <c r="O116" s="3" t="s">
        <v>5230</v>
      </c>
      <c r="P116" s="19"/>
      <c r="Q116" s="17"/>
      <c r="R116" s="17"/>
    </row>
    <row r="117" customFormat="false" ht="15" hidden="false" customHeight="false" outlineLevel="0" collapsed="false">
      <c r="A117" s="15" t="s">
        <v>2589</v>
      </c>
      <c r="B117" s="15" t="s">
        <v>82</v>
      </c>
      <c r="C117" s="15" t="s">
        <v>265</v>
      </c>
      <c r="D117" s="15" t="s">
        <v>680</v>
      </c>
      <c r="E117" s="15" t="s">
        <v>2197</v>
      </c>
      <c r="F117" s="16" t="n">
        <v>270</v>
      </c>
      <c r="G117" s="15" t="n">
        <v>56</v>
      </c>
      <c r="H117" s="15" t="s">
        <v>5227</v>
      </c>
      <c r="I117" s="15" t="s">
        <v>5228</v>
      </c>
      <c r="J117" s="15" t="n">
        <v>3</v>
      </c>
      <c r="K117" s="15" t="s">
        <v>2585</v>
      </c>
      <c r="L117" s="15" t="str">
        <f aca="false">IF(K117="","No","Yes")</f>
        <v>Yes</v>
      </c>
      <c r="M117" s="18" t="str">
        <f aca="false">IF(K117="","",IFERROR(IF(ISNUMBER(SEARCH(A117,INDEX(Pages!$J$2:$J$824,MATCH(K117,Pages!$B$2:$B$824,0)))),"Yes","No"),"Page not found"))</f>
        <v>Yes</v>
      </c>
      <c r="N117" s="3" t="s">
        <v>5376</v>
      </c>
      <c r="O117" s="3"/>
      <c r="P117" s="19"/>
      <c r="Q117" s="17"/>
      <c r="R117" s="17"/>
    </row>
    <row r="118" customFormat="false" ht="15" hidden="false" customHeight="false" outlineLevel="0" collapsed="false">
      <c r="A118" s="15" t="s">
        <v>3219</v>
      </c>
      <c r="B118" s="15" t="s">
        <v>84</v>
      </c>
      <c r="C118" s="15" t="s">
        <v>314</v>
      </c>
      <c r="D118" s="15" t="s">
        <v>666</v>
      </c>
      <c r="E118" s="15" t="s">
        <v>2120</v>
      </c>
      <c r="F118" s="16" t="n">
        <v>270</v>
      </c>
      <c r="G118" s="15" t="n">
        <v>52</v>
      </c>
      <c r="H118" s="15" t="s">
        <v>5227</v>
      </c>
      <c r="I118" s="15" t="s">
        <v>5392</v>
      </c>
      <c r="J118" s="15" t="n">
        <v>3</v>
      </c>
      <c r="K118" s="15" t="s">
        <v>3215</v>
      </c>
      <c r="L118" s="15" t="str">
        <f aca="false">IF(K118="","No","Yes")</f>
        <v>Yes</v>
      </c>
      <c r="M118" s="18" t="str">
        <f aca="false">IF(K118="","",IFERROR(IF(ISNUMBER(SEARCH(A118,INDEX(Pages!$J$2:$J$824,MATCH(K118,Pages!$B$2:$B$824,0)))),"Yes","No"),"Page not found"))</f>
        <v>Yes</v>
      </c>
      <c r="N118" s="3" t="s">
        <v>5376</v>
      </c>
      <c r="O118" s="3"/>
      <c r="P118" s="19"/>
      <c r="Q118" s="17"/>
      <c r="R118" s="17"/>
    </row>
    <row r="119" customFormat="false" ht="23.85" hidden="false" customHeight="false" outlineLevel="0" collapsed="false">
      <c r="A119" s="15" t="s">
        <v>3675</v>
      </c>
      <c r="B119" s="15" t="s">
        <v>74</v>
      </c>
      <c r="C119" s="15" t="s">
        <v>321</v>
      </c>
      <c r="D119" s="15" t="s">
        <v>715</v>
      </c>
      <c r="E119" s="15" t="s">
        <v>2246</v>
      </c>
      <c r="F119" s="16" t="n">
        <v>270</v>
      </c>
      <c r="G119" s="15" t="n">
        <v>47</v>
      </c>
      <c r="H119" s="15" t="s">
        <v>5227</v>
      </c>
      <c r="I119" s="15" t="s">
        <v>5444</v>
      </c>
      <c r="J119" s="15" t="n">
        <v>1</v>
      </c>
      <c r="K119" s="15" t="s">
        <v>3671</v>
      </c>
      <c r="L119" s="15" t="str">
        <f aca="false">IF(K119="","No","Yes")</f>
        <v>Yes</v>
      </c>
      <c r="M119" s="18" t="str">
        <f aca="false">IF(K119="","",IFERROR(IF(ISNUMBER(SEARCH(A119,INDEX(Pages!$J$2:$J$824,MATCH(K119,Pages!$B$2:$B$824,0)))),"Yes","No"),"Page not found"))</f>
        <v>Yes</v>
      </c>
      <c r="N119" s="3" t="s">
        <v>5488</v>
      </c>
      <c r="O119" s="3" t="s">
        <v>5230</v>
      </c>
      <c r="P119" s="19"/>
      <c r="Q119" s="17"/>
      <c r="R119" s="17"/>
    </row>
    <row r="120" customFormat="false" ht="15" hidden="false" customHeight="false" outlineLevel="0" collapsed="false">
      <c r="A120" s="15" t="s">
        <v>3945</v>
      </c>
      <c r="B120" s="15" t="s">
        <v>81</v>
      </c>
      <c r="C120" s="15" t="s">
        <v>349</v>
      </c>
      <c r="D120" s="15" t="s">
        <v>666</v>
      </c>
      <c r="E120" s="15" t="s">
        <v>2155</v>
      </c>
      <c r="F120" s="16" t="n">
        <v>270</v>
      </c>
      <c r="G120" s="15" t="n">
        <v>28</v>
      </c>
      <c r="H120" s="15" t="s">
        <v>5227</v>
      </c>
      <c r="I120" s="15" t="s">
        <v>5235</v>
      </c>
      <c r="J120" s="15" t="n">
        <v>2</v>
      </c>
      <c r="K120" s="15" t="s">
        <v>3941</v>
      </c>
      <c r="L120" s="15" t="str">
        <f aca="false">IF(K120="","No","Yes")</f>
        <v>Yes</v>
      </c>
      <c r="M120" s="18" t="str">
        <f aca="false">IF(K120="","",IFERROR(IF(ISNUMBER(SEARCH(A120,INDEX(Pages!$J$2:$J$824,MATCH(K120,Pages!$B$2:$B$824,0)))),"Yes","No"),"Page not found"))</f>
        <v>Yes</v>
      </c>
      <c r="N120" s="3" t="s">
        <v>5426</v>
      </c>
      <c r="O120" s="3"/>
      <c r="P120" s="19"/>
      <c r="Q120" s="17"/>
      <c r="R120" s="17"/>
    </row>
    <row r="121" customFormat="false" ht="15" hidden="false" customHeight="false" outlineLevel="0" collapsed="false">
      <c r="A121" s="15" t="s">
        <v>4539</v>
      </c>
      <c r="B121" s="15" t="s">
        <v>86</v>
      </c>
      <c r="C121" s="15" t="s">
        <v>356</v>
      </c>
      <c r="D121" s="15" t="s">
        <v>729</v>
      </c>
      <c r="E121" s="15" t="s">
        <v>2442</v>
      </c>
      <c r="F121" s="16" t="n">
        <v>270</v>
      </c>
      <c r="G121" s="15" t="n">
        <v>44</v>
      </c>
      <c r="H121" s="15" t="s">
        <v>5227</v>
      </c>
      <c r="I121" s="15" t="s">
        <v>5392</v>
      </c>
      <c r="J121" s="15" t="n">
        <v>5</v>
      </c>
      <c r="K121" s="15" t="s">
        <v>4535</v>
      </c>
      <c r="L121" s="15" t="str">
        <f aca="false">IF(K121="","No","Yes")</f>
        <v>Yes</v>
      </c>
      <c r="M121" s="18" t="str">
        <f aca="false">IF(K121="","",IFERROR(IF(ISNUMBER(SEARCH(A121,INDEX(Pages!$J$2:$J$824,MATCH(K121,Pages!$B$2:$B$824,0)))),"Yes","No"),"Page not found"))</f>
        <v>Yes</v>
      </c>
      <c r="N121" s="3" t="s">
        <v>5408</v>
      </c>
      <c r="O121" s="3" t="s">
        <v>5427</v>
      </c>
      <c r="P121" s="19"/>
      <c r="Q121" s="17"/>
      <c r="R121" s="17"/>
    </row>
    <row r="122" customFormat="false" ht="15" hidden="false" customHeight="false" outlineLevel="0" collapsed="false">
      <c r="A122" s="15" t="s">
        <v>5619</v>
      </c>
      <c r="B122" s="15" t="s">
        <v>74</v>
      </c>
      <c r="C122" s="15" t="s">
        <v>321</v>
      </c>
      <c r="D122" s="15" t="s">
        <v>729</v>
      </c>
      <c r="E122" s="15" t="s">
        <v>2442</v>
      </c>
      <c r="F122" s="16" t="n">
        <v>260</v>
      </c>
      <c r="G122" s="15" t="n">
        <v>25</v>
      </c>
      <c r="H122" s="15" t="s">
        <v>5227</v>
      </c>
      <c r="I122" s="15" t="s">
        <v>5568</v>
      </c>
      <c r="J122" s="15" t="n">
        <v>3</v>
      </c>
      <c r="K122" s="15"/>
      <c r="L122" s="15" t="str">
        <f aca="false">IF(K122="","No","Yes")</f>
        <v>No</v>
      </c>
      <c r="M122" s="18" t="str">
        <f aca="false">IF(K122="","",IFERROR(IF(ISNUMBER(SEARCH(A122,INDEX(Pages!$J$2:$J$824,MATCH(K122,Pages!$B$2:$B$824,0)))),"Yes","No"),"Page not found"))</f>
        <v/>
      </c>
      <c r="N122" s="3" t="s">
        <v>5426</v>
      </c>
      <c r="O122" s="3" t="s">
        <v>5620</v>
      </c>
      <c r="P122" s="19"/>
      <c r="Q122" s="17"/>
      <c r="R122" s="17"/>
    </row>
    <row r="123" customFormat="false" ht="15" hidden="false" customHeight="false" outlineLevel="0" collapsed="false">
      <c r="A123" s="15" t="s">
        <v>2096</v>
      </c>
      <c r="B123" s="15" t="s">
        <v>89</v>
      </c>
      <c r="C123" s="15" t="s">
        <v>258</v>
      </c>
      <c r="D123" s="15" t="s">
        <v>657</v>
      </c>
      <c r="E123" s="15" t="s">
        <v>2092</v>
      </c>
      <c r="F123" s="16" t="n">
        <v>260</v>
      </c>
      <c r="G123" s="15" t="n">
        <v>41</v>
      </c>
      <c r="H123" s="15" t="s">
        <v>5227</v>
      </c>
      <c r="I123" s="15" t="s">
        <v>5473</v>
      </c>
      <c r="J123" s="15" t="n">
        <v>1</v>
      </c>
      <c r="K123" s="15" t="s">
        <v>2091</v>
      </c>
      <c r="L123" s="15" t="str">
        <f aca="false">IF(K123="","No","Yes")</f>
        <v>Yes</v>
      </c>
      <c r="M123" s="18" t="str">
        <f aca="false">IF(K123="","",IFERROR(IF(ISNUMBER(SEARCH(A123,INDEX(Pages!$J$2:$J$824,MATCH(K123,Pages!$B$2:$B$824,0)))),"Yes","No"),"Page not found"))</f>
        <v>Yes</v>
      </c>
      <c r="N123" s="3" t="s">
        <v>5426</v>
      </c>
      <c r="O123" s="3"/>
      <c r="P123" s="19"/>
      <c r="Q123" s="17"/>
      <c r="R123" s="17"/>
    </row>
    <row r="124" customFormat="false" ht="15" hidden="false" customHeight="false" outlineLevel="0" collapsed="false">
      <c r="A124" s="15" t="s">
        <v>2341</v>
      </c>
      <c r="B124" s="15" t="s">
        <v>89</v>
      </c>
      <c r="C124" s="15" t="s">
        <v>258</v>
      </c>
      <c r="D124" s="15" t="s">
        <v>715</v>
      </c>
      <c r="E124" s="15" t="s">
        <v>2337</v>
      </c>
      <c r="F124" s="16" t="n">
        <v>260</v>
      </c>
      <c r="G124" s="15" t="n">
        <v>41</v>
      </c>
      <c r="H124" s="15" t="s">
        <v>5227</v>
      </c>
      <c r="I124" s="15" t="s">
        <v>5473</v>
      </c>
      <c r="J124" s="15" t="n">
        <v>1</v>
      </c>
      <c r="K124" s="15" t="s">
        <v>2336</v>
      </c>
      <c r="L124" s="15" t="str">
        <f aca="false">IF(K124="","No","Yes")</f>
        <v>Yes</v>
      </c>
      <c r="M124" s="18" t="str">
        <f aca="false">IF(K124="","",IFERROR(IF(ISNUMBER(SEARCH(A124,INDEX(Pages!$J$2:$J$824,MATCH(K124,Pages!$B$2:$B$824,0)))),"Yes","No"),"Page not found"))</f>
        <v>Yes</v>
      </c>
      <c r="N124" s="3" t="s">
        <v>5426</v>
      </c>
      <c r="O124" s="3"/>
      <c r="P124" s="19"/>
      <c r="Q124" s="17"/>
      <c r="R124" s="17"/>
    </row>
    <row r="125" customFormat="false" ht="23.85" hidden="false" customHeight="false" outlineLevel="0" collapsed="false">
      <c r="A125" s="15" t="s">
        <v>2487</v>
      </c>
      <c r="B125" s="15" t="s">
        <v>82</v>
      </c>
      <c r="C125" s="15" t="s">
        <v>265</v>
      </c>
      <c r="D125" s="15" t="s">
        <v>657</v>
      </c>
      <c r="E125" s="15" t="s">
        <v>2077</v>
      </c>
      <c r="F125" s="16" t="n">
        <v>260</v>
      </c>
      <c r="G125" s="15" t="n">
        <v>44</v>
      </c>
      <c r="H125" s="15" t="s">
        <v>5227</v>
      </c>
      <c r="I125" s="15" t="s">
        <v>5228</v>
      </c>
      <c r="J125" s="15" t="n">
        <v>4</v>
      </c>
      <c r="K125" s="15" t="s">
        <v>2483</v>
      </c>
      <c r="L125" s="15" t="str">
        <f aca="false">IF(K125="","No","Yes")</f>
        <v>Yes</v>
      </c>
      <c r="M125" s="18" t="str">
        <f aca="false">IF(K125="","",IFERROR(IF(ISNUMBER(SEARCH(A125,INDEX(Pages!$J$2:$J$824,MATCH(K125,Pages!$B$2:$B$824,0)))),"Yes","No"),"Page not found"))</f>
        <v>Yes</v>
      </c>
      <c r="N125" s="3" t="s">
        <v>5426</v>
      </c>
      <c r="O125" s="3" t="s">
        <v>5483</v>
      </c>
      <c r="P125" s="19"/>
      <c r="Q125" s="17"/>
      <c r="R125" s="17"/>
    </row>
    <row r="126" customFormat="false" ht="15" hidden="false" customHeight="false" outlineLevel="0" collapsed="false">
      <c r="A126" s="15" t="s">
        <v>2847</v>
      </c>
      <c r="B126" s="15" t="s">
        <v>85</v>
      </c>
      <c r="C126" s="15" t="s">
        <v>272</v>
      </c>
      <c r="D126" s="15" t="s">
        <v>657</v>
      </c>
      <c r="E126" s="15" t="s">
        <v>2092</v>
      </c>
      <c r="F126" s="16" t="n">
        <v>260</v>
      </c>
      <c r="G126" s="15" t="n">
        <v>52</v>
      </c>
      <c r="H126" s="15" t="s">
        <v>5227</v>
      </c>
      <c r="I126" s="15" t="s">
        <v>5392</v>
      </c>
      <c r="J126" s="15" t="n">
        <v>3</v>
      </c>
      <c r="K126" s="15" t="s">
        <v>2843</v>
      </c>
      <c r="L126" s="15" t="str">
        <f aca="false">IF(K126="","No","Yes")</f>
        <v>Yes</v>
      </c>
      <c r="M126" s="18" t="str">
        <f aca="false">IF(K126="","",IFERROR(IF(ISNUMBER(SEARCH(A126,INDEX(Pages!$J$2:$J$824,MATCH(K126,Pages!$B$2:$B$824,0)))),"Yes","No"),"Page not found"))</f>
        <v>Yes</v>
      </c>
      <c r="N126" s="3" t="s">
        <v>5212</v>
      </c>
      <c r="O126" s="3"/>
      <c r="P126" s="19"/>
      <c r="Q126" s="17"/>
      <c r="R126" s="17"/>
    </row>
    <row r="127" customFormat="false" ht="15" hidden="false" customHeight="false" outlineLevel="0" collapsed="false">
      <c r="A127" s="15" t="s">
        <v>3057</v>
      </c>
      <c r="B127" s="15" t="s">
        <v>85</v>
      </c>
      <c r="C127" s="15" t="s">
        <v>272</v>
      </c>
      <c r="D127" s="15" t="s">
        <v>715</v>
      </c>
      <c r="E127" s="15" t="s">
        <v>2337</v>
      </c>
      <c r="F127" s="16" t="n">
        <v>260</v>
      </c>
      <c r="G127" s="15" t="n">
        <v>52</v>
      </c>
      <c r="H127" s="15" t="s">
        <v>5227</v>
      </c>
      <c r="I127" s="15" t="s">
        <v>5392</v>
      </c>
      <c r="J127" s="15" t="n">
        <v>3</v>
      </c>
      <c r="K127" s="15" t="s">
        <v>3053</v>
      </c>
      <c r="L127" s="15" t="str">
        <f aca="false">IF(K127="","No","Yes")</f>
        <v>Yes</v>
      </c>
      <c r="M127" s="18" t="str">
        <f aca="false">IF(K127="","",IFERROR(IF(ISNUMBER(SEARCH(A127,INDEX(Pages!$J$2:$J$824,MATCH(K127,Pages!$B$2:$B$824,0)))),"Yes","No"),"Page not found"))</f>
        <v>Yes</v>
      </c>
      <c r="N127" s="3" t="s">
        <v>5212</v>
      </c>
      <c r="O127" s="3"/>
      <c r="P127" s="19"/>
      <c r="Q127" s="17"/>
      <c r="R127" s="17"/>
    </row>
    <row r="128" customFormat="false" ht="15" hidden="false" customHeight="false" outlineLevel="0" collapsed="false">
      <c r="A128" s="15" t="s">
        <v>3465</v>
      </c>
      <c r="B128" s="15" t="s">
        <v>84</v>
      </c>
      <c r="C128" s="15" t="s">
        <v>314</v>
      </c>
      <c r="D128" s="15" t="s">
        <v>715</v>
      </c>
      <c r="E128" s="15" t="s">
        <v>2407</v>
      </c>
      <c r="F128" s="16" t="n">
        <v>260</v>
      </c>
      <c r="G128" s="15" t="n">
        <v>64</v>
      </c>
      <c r="H128" s="15" t="s">
        <v>5227</v>
      </c>
      <c r="I128" s="15" t="s">
        <v>5392</v>
      </c>
      <c r="J128" s="15" t="n">
        <v>3</v>
      </c>
      <c r="K128" s="15" t="s">
        <v>3461</v>
      </c>
      <c r="L128" s="15" t="str">
        <f aca="false">IF(K128="","No","Yes")</f>
        <v>Yes</v>
      </c>
      <c r="M128" s="18" t="str">
        <f aca="false">IF(K128="","",IFERROR(IF(ISNUMBER(SEARCH(A128,INDEX(Pages!$J$2:$J$824,MATCH(K128,Pages!$B$2:$B$824,0)))),"Yes","No"),"Page not found"))</f>
        <v>Yes</v>
      </c>
      <c r="N128" s="3" t="s">
        <v>5182</v>
      </c>
      <c r="O128" s="3"/>
      <c r="P128" s="19"/>
      <c r="Q128" s="17"/>
      <c r="R128" s="17"/>
    </row>
    <row r="129" customFormat="false" ht="23.85" hidden="false" customHeight="false" outlineLevel="0" collapsed="false">
      <c r="A129" s="15" t="s">
        <v>5383</v>
      </c>
      <c r="B129" s="15" t="s">
        <v>82</v>
      </c>
      <c r="C129" s="15" t="s">
        <v>265</v>
      </c>
      <c r="D129" s="15" t="s">
        <v>715</v>
      </c>
      <c r="E129" s="15" t="s">
        <v>2386</v>
      </c>
      <c r="F129" s="16" t="n">
        <v>260</v>
      </c>
      <c r="G129" s="15" t="n">
        <v>67</v>
      </c>
      <c r="H129" s="15" t="s">
        <v>5177</v>
      </c>
      <c r="I129" s="15" t="s">
        <v>5228</v>
      </c>
      <c r="J129" s="15" t="n">
        <v>3</v>
      </c>
      <c r="K129" s="15" t="s">
        <v>2747</v>
      </c>
      <c r="L129" s="15" t="str">
        <f aca="false">IF(K129="","No","Yes")</f>
        <v>Yes</v>
      </c>
      <c r="M129" s="18" t="str">
        <f aca="false">IF(K129="","",IFERROR(IF(ISNUMBER(SEARCH(A129,INDEX(Pages!$J$2:$J$824,MATCH(K129,Pages!$B$2:$B$824,0)))),"Yes","No"),"Page not found"))</f>
        <v>No</v>
      </c>
      <c r="N129" s="3" t="s">
        <v>5212</v>
      </c>
      <c r="O129" s="3" t="s">
        <v>5234</v>
      </c>
      <c r="P129" s="19"/>
      <c r="Q129" s="17"/>
      <c r="R129" s="17"/>
    </row>
    <row r="130" customFormat="false" ht="15" hidden="false" customHeight="false" outlineLevel="0" collapsed="false">
      <c r="A130" s="15" t="s">
        <v>2595</v>
      </c>
      <c r="B130" s="15" t="s">
        <v>82</v>
      </c>
      <c r="C130" s="15" t="s">
        <v>265</v>
      </c>
      <c r="D130" s="15" t="s">
        <v>680</v>
      </c>
      <c r="E130" s="15" t="s">
        <v>2204</v>
      </c>
      <c r="F130" s="16" t="n">
        <v>250</v>
      </c>
      <c r="G130" s="15" t="n">
        <v>56</v>
      </c>
      <c r="H130" s="15" t="s">
        <v>5227</v>
      </c>
      <c r="I130" s="15" t="s">
        <v>5228</v>
      </c>
      <c r="J130" s="15" t="n">
        <v>3</v>
      </c>
      <c r="K130" s="15" t="s">
        <v>2591</v>
      </c>
      <c r="L130" s="15" t="str">
        <f aca="false">IF(K130="","No","Yes")</f>
        <v>Yes</v>
      </c>
      <c r="M130" s="18" t="str">
        <f aca="false">IF(K130="","",IFERROR(IF(ISNUMBER(SEARCH(A130,INDEX(Pages!$J$2:$J$824,MATCH(K130,Pages!$B$2:$B$824,0)))),"Yes","No"),"Page not found"))</f>
        <v>Yes</v>
      </c>
      <c r="N130" s="3" t="s">
        <v>5376</v>
      </c>
      <c r="O130" s="3"/>
      <c r="P130" s="19"/>
      <c r="Q130" s="17"/>
      <c r="R130" s="17"/>
    </row>
    <row r="131" customFormat="false" ht="15" hidden="false" customHeight="false" outlineLevel="0" collapsed="false">
      <c r="A131" s="15" t="s">
        <v>3513</v>
      </c>
      <c r="B131" s="15" t="s">
        <v>84</v>
      </c>
      <c r="C131" s="15" t="s">
        <v>314</v>
      </c>
      <c r="D131" s="15" t="s">
        <v>736</v>
      </c>
      <c r="E131" s="15" t="s">
        <v>2463</v>
      </c>
      <c r="F131" s="16" t="n">
        <v>250</v>
      </c>
      <c r="G131" s="15" t="n">
        <v>52</v>
      </c>
      <c r="H131" s="15" t="s">
        <v>5227</v>
      </c>
      <c r="I131" s="15" t="s">
        <v>5392</v>
      </c>
      <c r="J131" s="15" t="n">
        <v>3</v>
      </c>
      <c r="K131" s="15" t="s">
        <v>3509</v>
      </c>
      <c r="L131" s="15" t="str">
        <f aca="false">IF(K131="","No","Yes")</f>
        <v>Yes</v>
      </c>
      <c r="M131" s="18" t="str">
        <f aca="false">IF(K131="","",IFERROR(IF(ISNUMBER(SEARCH(A131,INDEX(Pages!$J$2:$J$824,MATCH(K131,Pages!$B$2:$B$824,0)))),"Yes","No"),"Page not found"))</f>
        <v>Yes</v>
      </c>
      <c r="N131" s="3" t="s">
        <v>5376</v>
      </c>
      <c r="O131" s="3"/>
      <c r="P131" s="19"/>
      <c r="Q131" s="17"/>
      <c r="R131" s="17"/>
    </row>
    <row r="132" customFormat="false" ht="23.85" hidden="false" customHeight="false" outlineLevel="0" collapsed="false">
      <c r="A132" s="15" t="s">
        <v>5397</v>
      </c>
      <c r="B132" s="15" t="s">
        <v>82</v>
      </c>
      <c r="C132" s="15" t="s">
        <v>265</v>
      </c>
      <c r="D132" s="15" t="s">
        <v>701</v>
      </c>
      <c r="E132" s="15" t="s">
        <v>2225</v>
      </c>
      <c r="F132" s="16" t="n">
        <v>250</v>
      </c>
      <c r="G132" s="15" t="n">
        <v>59</v>
      </c>
      <c r="H132" s="15" t="s">
        <v>5177</v>
      </c>
      <c r="I132" s="15" t="s">
        <v>5228</v>
      </c>
      <c r="J132" s="15" t="n">
        <v>3</v>
      </c>
      <c r="K132" s="15" t="s">
        <v>2609</v>
      </c>
      <c r="L132" s="15" t="str">
        <f aca="false">IF(K132="","No","Yes")</f>
        <v>Yes</v>
      </c>
      <c r="M132" s="18" t="str">
        <f aca="false">IF(K132="","",IFERROR(IF(ISNUMBER(SEARCH(A132,INDEX(Pages!$J$2:$J$824,MATCH(K132,Pages!$B$2:$B$824,0)))),"Yes","No"),"Page not found"))</f>
        <v>No</v>
      </c>
      <c r="N132" s="3" t="s">
        <v>5376</v>
      </c>
      <c r="O132" s="3" t="s">
        <v>5234</v>
      </c>
      <c r="P132" s="19"/>
      <c r="Q132" s="17"/>
      <c r="R132" s="17"/>
    </row>
    <row r="133" customFormat="false" ht="23.85" hidden="false" customHeight="false" outlineLevel="0" collapsed="false">
      <c r="A133" s="15" t="s">
        <v>3699</v>
      </c>
      <c r="B133" s="15" t="s">
        <v>74</v>
      </c>
      <c r="C133" s="15" t="s">
        <v>321</v>
      </c>
      <c r="D133" s="15" t="s">
        <v>715</v>
      </c>
      <c r="E133" s="15" t="s">
        <v>2274</v>
      </c>
      <c r="F133" s="16" t="n">
        <v>250</v>
      </c>
      <c r="G133" s="15" t="n">
        <v>47</v>
      </c>
      <c r="H133" s="15" t="s">
        <v>5227</v>
      </c>
      <c r="I133" s="15" t="s">
        <v>5444</v>
      </c>
      <c r="J133" s="15" t="n">
        <v>1</v>
      </c>
      <c r="K133" s="15" t="s">
        <v>3695</v>
      </c>
      <c r="L133" s="15" t="str">
        <f aca="false">IF(K133="","No","Yes")</f>
        <v>Yes</v>
      </c>
      <c r="M133" s="18" t="str">
        <f aca="false">IF(K133="","",IFERROR(IF(ISNUMBER(SEARCH(A133,INDEX(Pages!$J$2:$J$824,MATCH(K133,Pages!$B$2:$B$824,0)))),"Yes","No"),"Page not found"))</f>
        <v>Yes</v>
      </c>
      <c r="N133" s="3" t="s">
        <v>5488</v>
      </c>
      <c r="O133" s="3" t="s">
        <v>5230</v>
      </c>
      <c r="P133" s="19"/>
      <c r="Q133" s="17"/>
      <c r="R133" s="17"/>
    </row>
    <row r="134" customFormat="false" ht="23.85" hidden="false" customHeight="false" outlineLevel="0" collapsed="false">
      <c r="A134" s="15" t="s">
        <v>2739</v>
      </c>
      <c r="B134" s="15" t="s">
        <v>82</v>
      </c>
      <c r="C134" s="15" t="s">
        <v>265</v>
      </c>
      <c r="D134" s="15" t="s">
        <v>715</v>
      </c>
      <c r="E134" s="15" t="s">
        <v>2372</v>
      </c>
      <c r="F134" s="16" t="n">
        <v>240</v>
      </c>
      <c r="G134" s="15" t="n">
        <v>64</v>
      </c>
      <c r="H134" s="15" t="s">
        <v>5227</v>
      </c>
      <c r="I134" s="15" t="s">
        <v>5228</v>
      </c>
      <c r="J134" s="15" t="n">
        <v>5</v>
      </c>
      <c r="K134" s="15" t="s">
        <v>2735</v>
      </c>
      <c r="L134" s="15" t="str">
        <f aca="false">IF(K134="","No","Yes")</f>
        <v>Yes</v>
      </c>
      <c r="M134" s="18" t="str">
        <f aca="false">IF(K134="","",IFERROR(IF(ISNUMBER(SEARCH(A134,INDEX(Pages!$J$2:$J$824,MATCH(K134,Pages!$B$2:$B$824,0)))),"Yes","No"),"Page not found"))</f>
        <v>Yes</v>
      </c>
      <c r="N134" s="3" t="s">
        <v>5226</v>
      </c>
      <c r="O134" s="3" t="s">
        <v>5483</v>
      </c>
      <c r="P134" s="19"/>
      <c r="Q134" s="17"/>
      <c r="R134" s="17"/>
    </row>
    <row r="135" customFormat="false" ht="15" hidden="false" customHeight="false" outlineLevel="0" collapsed="false">
      <c r="A135" s="15" t="s">
        <v>3393</v>
      </c>
      <c r="B135" s="15" t="s">
        <v>84</v>
      </c>
      <c r="C135" s="15" t="s">
        <v>314</v>
      </c>
      <c r="D135" s="15" t="s">
        <v>715</v>
      </c>
      <c r="E135" s="15" t="s">
        <v>2323</v>
      </c>
      <c r="F135" s="16" t="n">
        <v>240</v>
      </c>
      <c r="G135" s="15" t="n">
        <v>48</v>
      </c>
      <c r="H135" s="15" t="s">
        <v>5227</v>
      </c>
      <c r="I135" s="15" t="s">
        <v>5392</v>
      </c>
      <c r="J135" s="15" t="n">
        <v>3</v>
      </c>
      <c r="K135" s="15" t="s">
        <v>3389</v>
      </c>
      <c r="L135" s="15" t="str">
        <f aca="false">IF(K135="","No","Yes")</f>
        <v>Yes</v>
      </c>
      <c r="M135" s="18" t="str">
        <f aca="false">IF(K135="","",IFERROR(IF(ISNUMBER(SEARCH(A135,INDEX(Pages!$J$2:$J$824,MATCH(K135,Pages!$B$2:$B$824,0)))),"Yes","No"),"Page not found"))</f>
        <v>Yes</v>
      </c>
      <c r="N135" s="3" t="s">
        <v>5426</v>
      </c>
      <c r="O135" s="3"/>
      <c r="P135" s="19"/>
      <c r="Q135" s="17"/>
      <c r="R135" s="17"/>
    </row>
    <row r="136" customFormat="false" ht="15" hidden="false" customHeight="false" outlineLevel="0" collapsed="false">
      <c r="A136" s="15" t="s">
        <v>3243</v>
      </c>
      <c r="B136" s="15" t="s">
        <v>84</v>
      </c>
      <c r="C136" s="15" t="s">
        <v>314</v>
      </c>
      <c r="D136" s="15" t="s">
        <v>666</v>
      </c>
      <c r="E136" s="15" t="s">
        <v>2148</v>
      </c>
      <c r="F136" s="16" t="n">
        <v>240</v>
      </c>
      <c r="G136" s="15" t="n">
        <v>40</v>
      </c>
      <c r="H136" s="15" t="s">
        <v>5227</v>
      </c>
      <c r="I136" s="15" t="s">
        <v>5392</v>
      </c>
      <c r="J136" s="15" t="n">
        <v>2</v>
      </c>
      <c r="K136" s="15" t="s">
        <v>3239</v>
      </c>
      <c r="L136" s="15" t="str">
        <f aca="false">IF(K136="","No","Yes")</f>
        <v>Yes</v>
      </c>
      <c r="M136" s="18" t="str">
        <f aca="false">IF(K136="","",IFERROR(IF(ISNUMBER(SEARCH(A136,INDEX(Pages!$J$2:$J$824,MATCH(K136,Pages!$B$2:$B$824,0)))),"Yes","No"),"Page not found"))</f>
        <v>No</v>
      </c>
      <c r="N136" s="3" t="s">
        <v>5426</v>
      </c>
      <c r="O136" s="3"/>
      <c r="P136" s="19"/>
      <c r="Q136" s="17"/>
      <c r="R136" s="17"/>
    </row>
    <row r="137" customFormat="false" ht="23.85" hidden="false" customHeight="false" outlineLevel="0" collapsed="false">
      <c r="A137" s="15" t="s">
        <v>5399</v>
      </c>
      <c r="B137" s="15" t="s">
        <v>82</v>
      </c>
      <c r="C137" s="15" t="s">
        <v>265</v>
      </c>
      <c r="D137" s="15" t="s">
        <v>715</v>
      </c>
      <c r="E137" s="15" t="s">
        <v>2302</v>
      </c>
      <c r="F137" s="16" t="n">
        <v>240</v>
      </c>
      <c r="G137" s="15" t="n">
        <v>71</v>
      </c>
      <c r="H137" s="15" t="s">
        <v>5177</v>
      </c>
      <c r="I137" s="15" t="s">
        <v>5228</v>
      </c>
      <c r="J137" s="15" t="n">
        <v>4</v>
      </c>
      <c r="K137" s="15" t="s">
        <v>2675</v>
      </c>
      <c r="L137" s="15" t="str">
        <f aca="false">IF(K137="","No","Yes")</f>
        <v>Yes</v>
      </c>
      <c r="M137" s="18" t="str">
        <f aca="false">IF(K137="","",IFERROR(IF(ISNUMBER(SEARCH(A137,INDEX(Pages!$J$2:$J$824,MATCH(K137,Pages!$B$2:$B$824,0)))),"Yes","No"),"Page not found"))</f>
        <v>No</v>
      </c>
      <c r="N137" s="3" t="s">
        <v>5182</v>
      </c>
      <c r="O137" s="3" t="s">
        <v>5234</v>
      </c>
      <c r="P137" s="19"/>
      <c r="Q137" s="17"/>
      <c r="R137" s="17"/>
    </row>
    <row r="138" customFormat="false" ht="15" hidden="false" customHeight="false" outlineLevel="0" collapsed="false">
      <c r="A138" s="15" t="s">
        <v>4685</v>
      </c>
      <c r="B138" s="15" t="s">
        <v>94</v>
      </c>
      <c r="C138" s="15"/>
      <c r="D138" s="15" t="s">
        <v>673</v>
      </c>
      <c r="E138" s="15" t="s">
        <v>2183</v>
      </c>
      <c r="F138" s="16" t="n">
        <v>240</v>
      </c>
      <c r="G138" s="15" t="n">
        <v>30</v>
      </c>
      <c r="H138" s="15" t="s">
        <v>5227</v>
      </c>
      <c r="I138" s="15" t="s">
        <v>5243</v>
      </c>
      <c r="J138" s="15" t="n">
        <v>2</v>
      </c>
      <c r="K138" s="15" t="s">
        <v>4681</v>
      </c>
      <c r="L138" s="15" t="str">
        <f aca="false">IF(K138="","No","Yes")</f>
        <v>Yes</v>
      </c>
      <c r="M138" s="18" t="str">
        <f aca="false">IF(K138="","",IFERROR(IF(ISNUMBER(SEARCH(A138,INDEX(Pages!$J$2:$J$824,MATCH(K138,Pages!$B$2:$B$824,0)))),"Yes","No"),"Page not found"))</f>
        <v>No</v>
      </c>
      <c r="N138" s="3" t="s">
        <v>5471</v>
      </c>
      <c r="O138" s="3" t="s">
        <v>5472</v>
      </c>
      <c r="P138" s="19"/>
      <c r="Q138" s="17"/>
      <c r="R138" s="17"/>
    </row>
    <row r="139" customFormat="false" ht="15" hidden="false" customHeight="false" outlineLevel="0" collapsed="false">
      <c r="A139" s="15" t="s">
        <v>3597</v>
      </c>
      <c r="B139" s="15" t="s">
        <v>74</v>
      </c>
      <c r="C139" s="15" t="s">
        <v>321</v>
      </c>
      <c r="D139" s="15" t="s">
        <v>666</v>
      </c>
      <c r="E139" s="15" t="s">
        <v>2155</v>
      </c>
      <c r="F139" s="16" t="n">
        <v>240</v>
      </c>
      <c r="G139" s="15" t="n">
        <v>35</v>
      </c>
      <c r="H139" s="15" t="s">
        <v>5227</v>
      </c>
      <c r="I139" s="15" t="s">
        <v>5444</v>
      </c>
      <c r="J139" s="15" t="n">
        <v>1</v>
      </c>
      <c r="K139" s="15" t="s">
        <v>3593</v>
      </c>
      <c r="L139" s="15" t="str">
        <f aca="false">IF(K139="","No","Yes")</f>
        <v>Yes</v>
      </c>
      <c r="M139" s="18" t="str">
        <f aca="false">IF(K139="","",IFERROR(IF(ISNUMBER(SEARCH(A139,INDEX(Pages!$J$2:$J$824,MATCH(K139,Pages!$B$2:$B$824,0)))),"Yes","No"),"Page not found"))</f>
        <v>Yes</v>
      </c>
      <c r="N139" s="3" t="s">
        <v>5426</v>
      </c>
      <c r="O139" s="3"/>
      <c r="P139" s="19"/>
      <c r="Q139" s="17"/>
      <c r="R139" s="17"/>
    </row>
    <row r="140" customFormat="false" ht="15" hidden="false" customHeight="false" outlineLevel="0" collapsed="false">
      <c r="A140" s="15" t="s">
        <v>4419</v>
      </c>
      <c r="B140" s="15" t="s">
        <v>86</v>
      </c>
      <c r="C140" s="15" t="s">
        <v>356</v>
      </c>
      <c r="D140" s="15" t="s">
        <v>715</v>
      </c>
      <c r="E140" s="15" t="s">
        <v>2302</v>
      </c>
      <c r="F140" s="16" t="n">
        <v>240</v>
      </c>
      <c r="G140" s="15" t="n">
        <v>48</v>
      </c>
      <c r="H140" s="15" t="s">
        <v>5227</v>
      </c>
      <c r="I140" s="15" t="s">
        <v>5392</v>
      </c>
      <c r="J140" s="15" t="n">
        <v>4</v>
      </c>
      <c r="K140" s="15" t="s">
        <v>4415</v>
      </c>
      <c r="L140" s="15" t="str">
        <f aca="false">IF(K140="","No","Yes")</f>
        <v>Yes</v>
      </c>
      <c r="M140" s="18" t="str">
        <f aca="false">IF(K140="","",IFERROR(IF(ISNUMBER(SEARCH(A140,INDEX(Pages!$J$2:$J$824,MATCH(K140,Pages!$B$2:$B$824,0)))),"Yes","No"),"Page not found"))</f>
        <v>Yes</v>
      </c>
      <c r="N140" s="3" t="s">
        <v>5426</v>
      </c>
      <c r="O140" s="3"/>
      <c r="P140" s="19"/>
      <c r="Q140" s="17"/>
      <c r="R140" s="17"/>
    </row>
    <row r="141" customFormat="false" ht="15" hidden="false" customHeight="false" outlineLevel="0" collapsed="false">
      <c r="A141" s="15" t="s">
        <v>2529</v>
      </c>
      <c r="B141" s="15" t="s">
        <v>82</v>
      </c>
      <c r="C141" s="15" t="s">
        <v>265</v>
      </c>
      <c r="D141" s="15" t="s">
        <v>666</v>
      </c>
      <c r="E141" s="15" t="s">
        <v>2127</v>
      </c>
      <c r="F141" s="16" t="n">
        <v>230</v>
      </c>
      <c r="G141" s="15" t="n">
        <v>52</v>
      </c>
      <c r="H141" s="15" t="s">
        <v>5227</v>
      </c>
      <c r="I141" s="15" t="s">
        <v>5228</v>
      </c>
      <c r="J141" s="15" t="n">
        <v>5</v>
      </c>
      <c r="K141" s="15" t="s">
        <v>2525</v>
      </c>
      <c r="L141" s="15" t="str">
        <f aca="false">IF(K141="","No","Yes")</f>
        <v>Yes</v>
      </c>
      <c r="M141" s="18" t="str">
        <f aca="false">IF(K141="","",IFERROR(IF(ISNUMBER(SEARCH(A141,INDEX(Pages!$J$2:$J$824,MATCH(K141,Pages!$B$2:$B$824,0)))),"Yes","No"),"Page not found"))</f>
        <v>Yes</v>
      </c>
      <c r="N141" s="3" t="s">
        <v>5426</v>
      </c>
      <c r="O141" s="3" t="s">
        <v>5377</v>
      </c>
      <c r="P141" s="19"/>
      <c r="Q141" s="17"/>
      <c r="R141" s="17"/>
    </row>
    <row r="142" customFormat="false" ht="15" hidden="false" customHeight="false" outlineLevel="0" collapsed="false">
      <c r="A142" s="15" t="s">
        <v>3417</v>
      </c>
      <c r="B142" s="15" t="s">
        <v>84</v>
      </c>
      <c r="C142" s="15" t="s">
        <v>314</v>
      </c>
      <c r="D142" s="15" t="s">
        <v>715</v>
      </c>
      <c r="E142" s="15" t="s">
        <v>2351</v>
      </c>
      <c r="F142" s="16" t="n">
        <v>230</v>
      </c>
      <c r="G142" s="15" t="n">
        <v>48</v>
      </c>
      <c r="H142" s="15" t="s">
        <v>5227</v>
      </c>
      <c r="I142" s="15" t="s">
        <v>5392</v>
      </c>
      <c r="J142" s="15" t="n">
        <v>3</v>
      </c>
      <c r="K142" s="15" t="s">
        <v>3413</v>
      </c>
      <c r="L142" s="15" t="str">
        <f aca="false">IF(K142="","No","Yes")</f>
        <v>Yes</v>
      </c>
      <c r="M142" s="18" t="str">
        <f aca="false">IF(K142="","",IFERROR(IF(ISNUMBER(SEARCH(A142,INDEX(Pages!$J$2:$J$824,MATCH(K142,Pages!$B$2:$B$824,0)))),"Yes","No"),"Page not found"))</f>
        <v>Yes</v>
      </c>
      <c r="N142" s="3" t="s">
        <v>5426</v>
      </c>
      <c r="O142" s="3"/>
      <c r="P142" s="19"/>
      <c r="Q142" s="17"/>
      <c r="R142" s="17"/>
    </row>
    <row r="143" customFormat="false" ht="15" hidden="false" customHeight="false" outlineLevel="0" collapsed="false">
      <c r="A143" s="15" t="s">
        <v>4835</v>
      </c>
      <c r="B143" s="15" t="s">
        <v>94</v>
      </c>
      <c r="C143" s="15"/>
      <c r="D143" s="15" t="s">
        <v>715</v>
      </c>
      <c r="E143" s="15" t="s">
        <v>2316</v>
      </c>
      <c r="F143" s="16" t="n">
        <v>230</v>
      </c>
      <c r="G143" s="15" t="n">
        <v>30</v>
      </c>
      <c r="H143" s="15" t="s">
        <v>5227</v>
      </c>
      <c r="I143" s="15" t="s">
        <v>5243</v>
      </c>
      <c r="J143" s="15" t="n">
        <v>2</v>
      </c>
      <c r="K143" s="15" t="s">
        <v>4831</v>
      </c>
      <c r="L143" s="15" t="str">
        <f aca="false">IF(K143="","No","Yes")</f>
        <v>Yes</v>
      </c>
      <c r="M143" s="18" t="str">
        <f aca="false">IF(K143="","",IFERROR(IF(ISNUMBER(SEARCH(A143,INDEX(Pages!$J$2:$J$824,MATCH(K143,Pages!$B$2:$B$824,0)))),"Yes","No"),"Page not found"))</f>
        <v>No</v>
      </c>
      <c r="N143" s="3" t="s">
        <v>5471</v>
      </c>
      <c r="O143" s="3" t="s">
        <v>5472</v>
      </c>
      <c r="P143" s="19"/>
      <c r="Q143" s="17"/>
      <c r="R143" s="17"/>
    </row>
    <row r="144" customFormat="false" ht="15" hidden="false" customHeight="false" outlineLevel="0" collapsed="false">
      <c r="A144" s="15" t="s">
        <v>3885</v>
      </c>
      <c r="B144" s="15" t="s">
        <v>81</v>
      </c>
      <c r="C144" s="15" t="s">
        <v>349</v>
      </c>
      <c r="D144" s="15" t="s">
        <v>657</v>
      </c>
      <c r="E144" s="15" t="s">
        <v>2084</v>
      </c>
      <c r="F144" s="16" t="n">
        <v>230</v>
      </c>
      <c r="G144" s="15" t="n">
        <v>36</v>
      </c>
      <c r="H144" s="15" t="s">
        <v>5227</v>
      </c>
      <c r="I144" s="15" t="s">
        <v>5235</v>
      </c>
      <c r="J144" s="15" t="n">
        <v>2</v>
      </c>
      <c r="K144" s="15" t="s">
        <v>3881</v>
      </c>
      <c r="L144" s="15" t="str">
        <f aca="false">IF(K144="","No","Yes")</f>
        <v>Yes</v>
      </c>
      <c r="M144" s="18" t="str">
        <f aca="false">IF(K144="","",IFERROR(IF(ISNUMBER(SEARCH(A144,INDEX(Pages!$J$2:$J$824,MATCH(K144,Pages!$B$2:$B$824,0)))),"Yes","No"),"Page not found"))</f>
        <v>Yes</v>
      </c>
      <c r="N144" s="3" t="s">
        <v>5426</v>
      </c>
      <c r="O144" s="3"/>
      <c r="P144" s="19"/>
      <c r="Q144" s="17"/>
      <c r="R144" s="17"/>
    </row>
    <row r="145" customFormat="false" ht="15" hidden="false" customHeight="false" outlineLevel="0" collapsed="false">
      <c r="A145" s="15" t="s">
        <v>4491</v>
      </c>
      <c r="B145" s="15" t="s">
        <v>86</v>
      </c>
      <c r="C145" s="15" t="s">
        <v>356</v>
      </c>
      <c r="D145" s="15" t="s">
        <v>715</v>
      </c>
      <c r="E145" s="15" t="s">
        <v>2386</v>
      </c>
      <c r="F145" s="16" t="n">
        <v>230</v>
      </c>
      <c r="G145" s="15" t="n">
        <v>48</v>
      </c>
      <c r="H145" s="15" t="s">
        <v>5227</v>
      </c>
      <c r="I145" s="15" t="s">
        <v>5392</v>
      </c>
      <c r="J145" s="15" t="n">
        <v>4</v>
      </c>
      <c r="K145" s="15" t="s">
        <v>4487</v>
      </c>
      <c r="L145" s="15" t="str">
        <f aca="false">IF(K145="","No","Yes")</f>
        <v>Yes</v>
      </c>
      <c r="M145" s="18" t="str">
        <f aca="false">IF(K145="","",IFERROR(IF(ISNUMBER(SEARCH(A145,INDEX(Pages!$J$2:$J$824,MATCH(K145,Pages!$B$2:$B$824,0)))),"Yes","No"),"Page not found"))</f>
        <v>Yes</v>
      </c>
      <c r="N145" s="3" t="s">
        <v>5426</v>
      </c>
      <c r="O145" s="3"/>
      <c r="P145" s="19"/>
      <c r="Q145" s="17"/>
      <c r="R145" s="17"/>
    </row>
    <row r="146" customFormat="false" ht="15" hidden="false" customHeight="false" outlineLevel="0" collapsed="false">
      <c r="A146" s="15" t="s">
        <v>2793</v>
      </c>
      <c r="B146" s="15" t="s">
        <v>82</v>
      </c>
      <c r="C146" s="15" t="s">
        <v>265</v>
      </c>
      <c r="D146" s="15" t="s">
        <v>729</v>
      </c>
      <c r="E146" s="15" t="s">
        <v>2435</v>
      </c>
      <c r="F146" s="16" t="n">
        <v>220</v>
      </c>
      <c r="G146" s="15" t="n">
        <v>52</v>
      </c>
      <c r="H146" s="15" t="s">
        <v>5227</v>
      </c>
      <c r="I146" s="15" t="s">
        <v>5228</v>
      </c>
      <c r="J146" s="15" t="n">
        <v>4</v>
      </c>
      <c r="K146" s="15" t="s">
        <v>2789</v>
      </c>
      <c r="L146" s="15" t="str">
        <f aca="false">IF(K146="","No","Yes")</f>
        <v>Yes</v>
      </c>
      <c r="M146" s="18" t="str">
        <f aca="false">IF(K146="","",IFERROR(IF(ISNUMBER(SEARCH(A146,INDEX(Pages!$J$2:$J$824,MATCH(K146,Pages!$B$2:$B$824,0)))),"Yes","No"),"Page not found"))</f>
        <v>Yes</v>
      </c>
      <c r="N146" s="3" t="s">
        <v>5426</v>
      </c>
      <c r="O146" s="3" t="s">
        <v>5427</v>
      </c>
      <c r="P146" s="19"/>
      <c r="Q146" s="17"/>
      <c r="R146" s="17"/>
    </row>
    <row r="147" customFormat="false" ht="15" hidden="false" customHeight="false" outlineLevel="0" collapsed="false">
      <c r="A147" s="15" t="s">
        <v>5438</v>
      </c>
      <c r="B147" s="15" t="s">
        <v>82</v>
      </c>
      <c r="C147" s="15" t="s">
        <v>265</v>
      </c>
      <c r="D147" s="15" t="s">
        <v>715</v>
      </c>
      <c r="E147" s="15" t="s">
        <v>2407</v>
      </c>
      <c r="F147" s="16" t="n">
        <v>220</v>
      </c>
      <c r="G147" s="15" t="n">
        <v>71</v>
      </c>
      <c r="H147" s="15" t="s">
        <v>5169</v>
      </c>
      <c r="I147" s="15" t="s">
        <v>5228</v>
      </c>
      <c r="J147" s="15" t="n">
        <v>4</v>
      </c>
      <c r="K147" s="15" t="s">
        <v>2765</v>
      </c>
      <c r="L147" s="15" t="str">
        <f aca="false">IF(K147="","No","Yes")</f>
        <v>Yes</v>
      </c>
      <c r="M147" s="18" t="str">
        <f aca="false">IF(K147="","",IFERROR(IF(ISNUMBER(SEARCH(A147,INDEX(Pages!$J$2:$J$824,MATCH(K147,Pages!$B$2:$B$824,0)))),"Yes","No"),"Page not found"))</f>
        <v>No</v>
      </c>
      <c r="N147" s="3" t="s">
        <v>5182</v>
      </c>
      <c r="O147" s="3" t="s">
        <v>5232</v>
      </c>
      <c r="P147" s="19"/>
      <c r="Q147" s="17"/>
      <c r="R147" s="17"/>
    </row>
    <row r="148" customFormat="false" ht="15" hidden="false" customHeight="false" outlineLevel="0" collapsed="false">
      <c r="A148" s="15" t="s">
        <v>3333</v>
      </c>
      <c r="B148" s="15" t="s">
        <v>84</v>
      </c>
      <c r="C148" s="15" t="s">
        <v>314</v>
      </c>
      <c r="D148" s="15" t="s">
        <v>715</v>
      </c>
      <c r="E148" s="15" t="s">
        <v>2253</v>
      </c>
      <c r="F148" s="16" t="n">
        <v>220</v>
      </c>
      <c r="G148" s="15" t="n">
        <v>48</v>
      </c>
      <c r="H148" s="15" t="s">
        <v>5227</v>
      </c>
      <c r="I148" s="15" t="s">
        <v>5392</v>
      </c>
      <c r="J148" s="15" t="n">
        <v>3</v>
      </c>
      <c r="K148" s="15" t="s">
        <v>3329</v>
      </c>
      <c r="L148" s="15" t="str">
        <f aca="false">IF(K148="","No","Yes")</f>
        <v>Yes</v>
      </c>
      <c r="M148" s="18" t="str">
        <f aca="false">IF(K148="","",IFERROR(IF(ISNUMBER(SEARCH(A148,INDEX(Pages!$J$2:$J$824,MATCH(K148,Pages!$B$2:$B$824,0)))),"Yes","No"),"Page not found"))</f>
        <v>Yes</v>
      </c>
      <c r="N148" s="3" t="s">
        <v>5426</v>
      </c>
      <c r="O148" s="3"/>
      <c r="P148" s="19"/>
      <c r="Q148" s="17"/>
      <c r="R148" s="17"/>
    </row>
    <row r="149" customFormat="false" ht="15" hidden="false" customHeight="false" outlineLevel="0" collapsed="false">
      <c r="A149" s="15" t="s">
        <v>4661</v>
      </c>
      <c r="B149" s="15" t="s">
        <v>94</v>
      </c>
      <c r="C149" s="15"/>
      <c r="D149" s="15" t="s">
        <v>666</v>
      </c>
      <c r="E149" s="15" t="s">
        <v>2162</v>
      </c>
      <c r="F149" s="16" t="n">
        <v>220</v>
      </c>
      <c r="G149" s="15" t="n">
        <v>30</v>
      </c>
      <c r="H149" s="15" t="s">
        <v>5227</v>
      </c>
      <c r="I149" s="15" t="s">
        <v>5243</v>
      </c>
      <c r="J149" s="15" t="n">
        <v>2</v>
      </c>
      <c r="K149" s="15" t="s">
        <v>4657</v>
      </c>
      <c r="L149" s="15" t="str">
        <f aca="false">IF(K149="","No","Yes")</f>
        <v>Yes</v>
      </c>
      <c r="M149" s="18" t="str">
        <f aca="false">IF(K149="","",IFERROR(IF(ISNUMBER(SEARCH(A149,INDEX(Pages!$J$2:$J$824,MATCH(K149,Pages!$B$2:$B$824,0)))),"Yes","No"),"Page not found"))</f>
        <v>No</v>
      </c>
      <c r="N149" s="3" t="s">
        <v>5471</v>
      </c>
      <c r="O149" s="3" t="s">
        <v>5472</v>
      </c>
      <c r="P149" s="19"/>
      <c r="Q149" s="17"/>
      <c r="R149" s="17"/>
    </row>
    <row r="150" customFormat="false" ht="15" hidden="false" customHeight="false" outlineLevel="0" collapsed="false">
      <c r="A150" s="15" t="s">
        <v>5295</v>
      </c>
      <c r="B150" s="15" t="s">
        <v>84</v>
      </c>
      <c r="C150" s="15" t="s">
        <v>314</v>
      </c>
      <c r="D150" s="15" t="s">
        <v>715</v>
      </c>
      <c r="E150" s="15" t="s">
        <v>2379</v>
      </c>
      <c r="F150" s="16" t="n">
        <v>210</v>
      </c>
      <c r="G150" s="15" t="n">
        <v>25</v>
      </c>
      <c r="H150" s="15" t="s">
        <v>5227</v>
      </c>
      <c r="I150" s="15" t="s">
        <v>5285</v>
      </c>
      <c r="J150" s="15" t="n">
        <v>2</v>
      </c>
      <c r="K150" s="15" t="s">
        <v>5025</v>
      </c>
      <c r="L150" s="15" t="str">
        <f aca="false">IF(K150="","No","Yes")</f>
        <v>Yes</v>
      </c>
      <c r="M150" s="18" t="str">
        <f aca="false">IF(K150="","",IFERROR(IF(ISNUMBER(SEARCH(A150,INDEX(Pages!$J$2:$J$824,MATCH(K150,Pages!$B$2:$B$824,0)))),"Yes","No"),"Page not found"))</f>
        <v>No</v>
      </c>
      <c r="N150" s="3" t="s">
        <v>5296</v>
      </c>
      <c r="O150" s="3"/>
      <c r="P150" s="19"/>
      <c r="Q150" s="17"/>
      <c r="R150" s="17"/>
    </row>
    <row r="151" customFormat="false" ht="15" hidden="false" customHeight="false" outlineLevel="0" collapsed="false">
      <c r="A151" s="15" t="s">
        <v>2187</v>
      </c>
      <c r="B151" s="15" t="s">
        <v>89</v>
      </c>
      <c r="C151" s="15" t="s">
        <v>258</v>
      </c>
      <c r="D151" s="15" t="s">
        <v>673</v>
      </c>
      <c r="E151" s="15" t="s">
        <v>2183</v>
      </c>
      <c r="F151" s="16" t="n">
        <v>210</v>
      </c>
      <c r="G151" s="15" t="n">
        <v>33</v>
      </c>
      <c r="H151" s="15" t="s">
        <v>5227</v>
      </c>
      <c r="I151" s="15" t="s">
        <v>5473</v>
      </c>
      <c r="J151" s="15" t="n">
        <v>1</v>
      </c>
      <c r="K151" s="15" t="s">
        <v>2182</v>
      </c>
      <c r="L151" s="15" t="str">
        <f aca="false">IF(K151="","No","Yes")</f>
        <v>Yes</v>
      </c>
      <c r="M151" s="18" t="str">
        <f aca="false">IF(K151="","",IFERROR(IF(ISNUMBER(SEARCH(A151,INDEX(Pages!$J$2:$J$824,MATCH(K151,Pages!$B$2:$B$824,0)))),"Yes","No"),"Page not found"))</f>
        <v>Yes</v>
      </c>
      <c r="N151" s="3" t="s">
        <v>5426</v>
      </c>
      <c r="O151" s="3"/>
      <c r="P151" s="19"/>
      <c r="Q151" s="17"/>
      <c r="R151" s="17"/>
    </row>
    <row r="152" customFormat="false" ht="15" hidden="false" customHeight="false" outlineLevel="0" collapsed="false">
      <c r="A152" s="15" t="s">
        <v>2517</v>
      </c>
      <c r="B152" s="15" t="s">
        <v>82</v>
      </c>
      <c r="C152" s="15" t="s">
        <v>265</v>
      </c>
      <c r="D152" s="15" t="s">
        <v>666</v>
      </c>
      <c r="E152" s="15" t="s">
        <v>2113</v>
      </c>
      <c r="F152" s="16" t="n">
        <v>210</v>
      </c>
      <c r="G152" s="15" t="n">
        <v>56</v>
      </c>
      <c r="H152" s="15" t="s">
        <v>5227</v>
      </c>
      <c r="I152" s="15" t="s">
        <v>5228</v>
      </c>
      <c r="J152" s="15" t="n">
        <v>5</v>
      </c>
      <c r="K152" s="15" t="s">
        <v>2513</v>
      </c>
      <c r="L152" s="15" t="str">
        <f aca="false">IF(K152="","No","Yes")</f>
        <v>Yes</v>
      </c>
      <c r="M152" s="18" t="str">
        <f aca="false">IF(K152="","",IFERROR(IF(ISNUMBER(SEARCH(A152,INDEX(Pages!$J$2:$J$824,MATCH(K152,Pages!$B$2:$B$824,0)))),"Yes","No"),"Page not found"))</f>
        <v>Yes</v>
      </c>
      <c r="N152" s="3" t="s">
        <v>5376</v>
      </c>
      <c r="O152" s="3" t="s">
        <v>5377</v>
      </c>
      <c r="P152" s="19"/>
      <c r="Q152" s="17"/>
      <c r="R152" s="17"/>
    </row>
    <row r="153" customFormat="false" ht="15" hidden="false" customHeight="false" outlineLevel="0" collapsed="false">
      <c r="A153" s="15" t="s">
        <v>2583</v>
      </c>
      <c r="B153" s="15" t="s">
        <v>82</v>
      </c>
      <c r="C153" s="15" t="s">
        <v>265</v>
      </c>
      <c r="D153" s="15" t="s">
        <v>680</v>
      </c>
      <c r="E153" s="15" t="s">
        <v>2190</v>
      </c>
      <c r="F153" s="16" t="n">
        <v>210</v>
      </c>
      <c r="G153" s="15" t="n">
        <v>56</v>
      </c>
      <c r="H153" s="15" t="s">
        <v>5227</v>
      </c>
      <c r="I153" s="15" t="s">
        <v>5228</v>
      </c>
      <c r="J153" s="15" t="n">
        <v>3</v>
      </c>
      <c r="K153" s="15" t="s">
        <v>2579</v>
      </c>
      <c r="L153" s="15" t="str">
        <f aca="false">IF(K153="","No","Yes")</f>
        <v>Yes</v>
      </c>
      <c r="M153" s="18" t="str">
        <f aca="false">IF(K153="","",IFERROR(IF(ISNUMBER(SEARCH(A153,INDEX(Pages!$J$2:$J$824,MATCH(K153,Pages!$B$2:$B$824,0)))),"Yes","No"),"Page not found"))</f>
        <v>Yes</v>
      </c>
      <c r="N153" s="3" t="s">
        <v>5376</v>
      </c>
      <c r="O153" s="3"/>
      <c r="P153" s="19"/>
      <c r="Q153" s="17"/>
      <c r="R153" s="17"/>
    </row>
    <row r="154" customFormat="false" ht="15" hidden="false" customHeight="false" outlineLevel="0" collapsed="false">
      <c r="A154" s="15" t="s">
        <v>2781</v>
      </c>
      <c r="B154" s="15" t="s">
        <v>82</v>
      </c>
      <c r="C154" s="15" t="s">
        <v>265</v>
      </c>
      <c r="D154" s="15" t="s">
        <v>729</v>
      </c>
      <c r="E154" s="15" t="s">
        <v>2421</v>
      </c>
      <c r="F154" s="16" t="n">
        <v>210</v>
      </c>
      <c r="G154" s="15" t="n">
        <v>52</v>
      </c>
      <c r="H154" s="15" t="s">
        <v>5227</v>
      </c>
      <c r="I154" s="15" t="s">
        <v>5228</v>
      </c>
      <c r="J154" s="15" t="n">
        <v>4</v>
      </c>
      <c r="K154" s="15" t="s">
        <v>2777</v>
      </c>
      <c r="L154" s="15" t="str">
        <f aca="false">IF(K154="","No","Yes")</f>
        <v>Yes</v>
      </c>
      <c r="M154" s="18" t="str">
        <f aca="false">IF(K154="","",IFERROR(IF(ISNUMBER(SEARCH(A154,INDEX(Pages!$J$2:$J$824,MATCH(K154,Pages!$B$2:$B$824,0)))),"Yes","No"),"Page not found"))</f>
        <v>Yes</v>
      </c>
      <c r="N154" s="3" t="s">
        <v>5426</v>
      </c>
      <c r="O154" s="3" t="s">
        <v>5427</v>
      </c>
      <c r="P154" s="19"/>
      <c r="Q154" s="17"/>
      <c r="R154" s="17"/>
    </row>
    <row r="155" customFormat="false" ht="15" hidden="false" customHeight="false" outlineLevel="0" collapsed="false">
      <c r="A155" s="15" t="s">
        <v>2925</v>
      </c>
      <c r="B155" s="15" t="s">
        <v>85</v>
      </c>
      <c r="C155" s="15" t="s">
        <v>272</v>
      </c>
      <c r="D155" s="15" t="s">
        <v>673</v>
      </c>
      <c r="E155" s="15" t="s">
        <v>2183</v>
      </c>
      <c r="F155" s="16" t="n">
        <v>210</v>
      </c>
      <c r="G155" s="15" t="n">
        <v>40</v>
      </c>
      <c r="H155" s="15" t="s">
        <v>5227</v>
      </c>
      <c r="I155" s="15" t="s">
        <v>5392</v>
      </c>
      <c r="J155" s="15" t="n">
        <v>3</v>
      </c>
      <c r="K155" s="15" t="s">
        <v>2921</v>
      </c>
      <c r="L155" s="15" t="str">
        <f aca="false">IF(K155="","No","Yes")</f>
        <v>Yes</v>
      </c>
      <c r="M155" s="18" t="str">
        <f aca="false">IF(K155="","",IFERROR(IF(ISNUMBER(SEARCH(A155,INDEX(Pages!$J$2:$J$824,MATCH(K155,Pages!$B$2:$B$824,0)))),"Yes","No"),"Page not found"))</f>
        <v>Yes</v>
      </c>
      <c r="N155" s="3" t="s">
        <v>5426</v>
      </c>
      <c r="O155" s="3"/>
      <c r="P155" s="19"/>
      <c r="Q155" s="17"/>
      <c r="R155" s="17"/>
    </row>
    <row r="156" customFormat="false" ht="15" hidden="false" customHeight="false" outlineLevel="0" collapsed="false">
      <c r="A156" s="15" t="s">
        <v>3399</v>
      </c>
      <c r="B156" s="15" t="s">
        <v>84</v>
      </c>
      <c r="C156" s="15" t="s">
        <v>314</v>
      </c>
      <c r="D156" s="15" t="s">
        <v>715</v>
      </c>
      <c r="E156" s="15" t="s">
        <v>2330</v>
      </c>
      <c r="F156" s="16" t="n">
        <v>210</v>
      </c>
      <c r="G156" s="15" t="n">
        <v>52</v>
      </c>
      <c r="H156" s="15" t="s">
        <v>5227</v>
      </c>
      <c r="I156" s="15" t="s">
        <v>5392</v>
      </c>
      <c r="J156" s="15" t="n">
        <v>3</v>
      </c>
      <c r="K156" s="15" t="s">
        <v>3395</v>
      </c>
      <c r="L156" s="15" t="str">
        <f aca="false">IF(K156="","No","Yes")</f>
        <v>Yes</v>
      </c>
      <c r="M156" s="18" t="str">
        <f aca="false">IF(K156="","",IFERROR(IF(ISNUMBER(SEARCH(A156,INDEX(Pages!$J$2:$J$824,MATCH(K156,Pages!$B$2:$B$824,0)))),"Yes","No"),"Page not found"))</f>
        <v>Yes</v>
      </c>
      <c r="N156" s="3" t="s">
        <v>5212</v>
      </c>
      <c r="O156" s="3"/>
      <c r="P156" s="19"/>
      <c r="Q156" s="17"/>
      <c r="R156" s="17"/>
    </row>
    <row r="157" customFormat="false" ht="15" hidden="false" customHeight="false" outlineLevel="0" collapsed="false">
      <c r="A157" s="15" t="s">
        <v>4775</v>
      </c>
      <c r="B157" s="15" t="s">
        <v>94</v>
      </c>
      <c r="C157" s="15"/>
      <c r="D157" s="15" t="s">
        <v>715</v>
      </c>
      <c r="E157" s="15" t="s">
        <v>2246</v>
      </c>
      <c r="F157" s="16" t="n">
        <v>210</v>
      </c>
      <c r="G157" s="15" t="n">
        <v>30</v>
      </c>
      <c r="H157" s="15" t="s">
        <v>5227</v>
      </c>
      <c r="I157" s="15" t="s">
        <v>5243</v>
      </c>
      <c r="J157" s="15" t="n">
        <v>2</v>
      </c>
      <c r="K157" s="15" t="s">
        <v>4771</v>
      </c>
      <c r="L157" s="15" t="str">
        <f aca="false">IF(K157="","No","Yes")</f>
        <v>Yes</v>
      </c>
      <c r="M157" s="18" t="str">
        <f aca="false">IF(K157="","",IFERROR(IF(ISNUMBER(SEARCH(A157,INDEX(Pages!$J$2:$J$824,MATCH(K157,Pages!$B$2:$B$824,0)))),"Yes","No"),"Page not found"))</f>
        <v>No</v>
      </c>
      <c r="N157" s="3" t="s">
        <v>5471</v>
      </c>
      <c r="O157" s="3" t="s">
        <v>5472</v>
      </c>
      <c r="P157" s="19"/>
      <c r="Q157" s="17"/>
      <c r="R157" s="17"/>
    </row>
    <row r="158" customFormat="false" ht="15" hidden="false" customHeight="false" outlineLevel="0" collapsed="false">
      <c r="A158" s="15" t="s">
        <v>2320</v>
      </c>
      <c r="B158" s="15" t="s">
        <v>89</v>
      </c>
      <c r="C158" s="15" t="s">
        <v>258</v>
      </c>
      <c r="D158" s="15" t="s">
        <v>715</v>
      </c>
      <c r="E158" s="15" t="s">
        <v>2316</v>
      </c>
      <c r="F158" s="16" t="n">
        <v>200</v>
      </c>
      <c r="G158" s="15" t="n">
        <v>41</v>
      </c>
      <c r="H158" s="15" t="s">
        <v>5227</v>
      </c>
      <c r="I158" s="15" t="s">
        <v>5473</v>
      </c>
      <c r="J158" s="15" t="n">
        <v>2</v>
      </c>
      <c r="K158" s="15" t="s">
        <v>2315</v>
      </c>
      <c r="L158" s="15" t="str">
        <f aca="false">IF(K158="","No","Yes")</f>
        <v>Yes</v>
      </c>
      <c r="M158" s="18" t="str">
        <f aca="false">IF(K158="","",IFERROR(IF(ISNUMBER(SEARCH(A158,INDEX(Pages!$J$2:$J$824,MATCH(K158,Pages!$B$2:$B$824,0)))),"Yes","No"),"Page not found"))</f>
        <v>Yes</v>
      </c>
      <c r="N158" s="3" t="s">
        <v>5426</v>
      </c>
      <c r="O158" s="3"/>
      <c r="P158" s="19"/>
      <c r="Q158" s="17"/>
      <c r="R158" s="17"/>
    </row>
    <row r="159" customFormat="false" ht="15" hidden="false" customHeight="false" outlineLevel="0" collapsed="false">
      <c r="A159" s="15" t="s">
        <v>2535</v>
      </c>
      <c r="B159" s="15" t="s">
        <v>82</v>
      </c>
      <c r="C159" s="15" t="s">
        <v>265</v>
      </c>
      <c r="D159" s="15" t="s">
        <v>666</v>
      </c>
      <c r="E159" s="15" t="s">
        <v>2134</v>
      </c>
      <c r="F159" s="16" t="n">
        <v>200</v>
      </c>
      <c r="G159" s="15" t="n">
        <v>64</v>
      </c>
      <c r="H159" s="15" t="s">
        <v>5227</v>
      </c>
      <c r="I159" s="15" t="s">
        <v>5228</v>
      </c>
      <c r="J159" s="15" t="n">
        <v>5</v>
      </c>
      <c r="K159" s="15" t="s">
        <v>2531</v>
      </c>
      <c r="L159" s="15" t="str">
        <f aca="false">IF(K159="","No","Yes")</f>
        <v>Yes</v>
      </c>
      <c r="M159" s="18" t="str">
        <f aca="false">IF(K159="","",IFERROR(IF(ISNUMBER(SEARCH(A159,INDEX(Pages!$J$2:$J$824,MATCH(K159,Pages!$B$2:$B$824,0)))),"Yes","No"),"Page not found"))</f>
        <v>Yes</v>
      </c>
      <c r="N159" s="3" t="s">
        <v>5376</v>
      </c>
      <c r="O159" s="3" t="s">
        <v>5377</v>
      </c>
      <c r="P159" s="19"/>
      <c r="Q159" s="17"/>
      <c r="R159" s="17"/>
    </row>
    <row r="160" customFormat="false" ht="23.85" hidden="false" customHeight="false" outlineLevel="0" collapsed="false">
      <c r="A160" s="15" t="s">
        <v>2541</v>
      </c>
      <c r="B160" s="15" t="s">
        <v>82</v>
      </c>
      <c r="C160" s="15" t="s">
        <v>265</v>
      </c>
      <c r="D160" s="15" t="s">
        <v>666</v>
      </c>
      <c r="E160" s="15" t="s">
        <v>2141</v>
      </c>
      <c r="F160" s="16" t="n">
        <v>200</v>
      </c>
      <c r="G160" s="15" t="n">
        <v>44</v>
      </c>
      <c r="H160" s="15" t="s">
        <v>5227</v>
      </c>
      <c r="I160" s="15" t="s">
        <v>5228</v>
      </c>
      <c r="J160" s="15" t="n">
        <v>5</v>
      </c>
      <c r="K160" s="15" t="s">
        <v>2537</v>
      </c>
      <c r="L160" s="15" t="str">
        <f aca="false">IF(K160="","No","Yes")</f>
        <v>Yes</v>
      </c>
      <c r="M160" s="18" t="str">
        <f aca="false">IF(K160="","",IFERROR(IF(ISNUMBER(SEARCH(A160,INDEX(Pages!$J$2:$J$824,MATCH(K160,Pages!$B$2:$B$824,0)))),"Yes","No"),"Page not found"))</f>
        <v>Yes</v>
      </c>
      <c r="N160" s="3" t="s">
        <v>5426</v>
      </c>
      <c r="O160" s="3" t="s">
        <v>5495</v>
      </c>
      <c r="P160" s="19"/>
      <c r="Q160" s="17"/>
      <c r="R160" s="17"/>
    </row>
    <row r="161" customFormat="false" ht="15" hidden="false" customHeight="false" outlineLevel="0" collapsed="false">
      <c r="A161" s="15" t="s">
        <v>3039</v>
      </c>
      <c r="B161" s="15" t="s">
        <v>85</v>
      </c>
      <c r="C161" s="15" t="s">
        <v>272</v>
      </c>
      <c r="D161" s="15" t="s">
        <v>715</v>
      </c>
      <c r="E161" s="15" t="s">
        <v>2316</v>
      </c>
      <c r="F161" s="16" t="n">
        <v>200</v>
      </c>
      <c r="G161" s="15" t="n">
        <v>52</v>
      </c>
      <c r="H161" s="15" t="s">
        <v>5227</v>
      </c>
      <c r="I161" s="15" t="s">
        <v>5392</v>
      </c>
      <c r="J161" s="15" t="n">
        <v>4</v>
      </c>
      <c r="K161" s="15" t="s">
        <v>3035</v>
      </c>
      <c r="L161" s="15" t="str">
        <f aca="false">IF(K161="","No","Yes")</f>
        <v>Yes</v>
      </c>
      <c r="M161" s="18" t="str">
        <f aca="false">IF(K161="","",IFERROR(IF(ISNUMBER(SEARCH(A161,INDEX(Pages!$J$2:$J$824,MATCH(K161,Pages!$B$2:$B$824,0)))),"Yes","No"),"Page not found"))</f>
        <v>Yes</v>
      </c>
      <c r="N161" s="3" t="s">
        <v>5408</v>
      </c>
      <c r="O161" s="3"/>
      <c r="P161" s="19"/>
      <c r="Q161" s="17"/>
      <c r="R161" s="17"/>
    </row>
    <row r="162" customFormat="false" ht="23.85" hidden="false" customHeight="false" outlineLevel="0" collapsed="false">
      <c r="A162" s="15" t="s">
        <v>3429</v>
      </c>
      <c r="B162" s="15" t="s">
        <v>84</v>
      </c>
      <c r="C162" s="15" t="s">
        <v>314</v>
      </c>
      <c r="D162" s="15" t="s">
        <v>715</v>
      </c>
      <c r="E162" s="15" t="s">
        <v>2365</v>
      </c>
      <c r="F162" s="16" t="n">
        <v>200</v>
      </c>
      <c r="G162" s="15" t="n">
        <v>40</v>
      </c>
      <c r="H162" s="15" t="s">
        <v>5227</v>
      </c>
      <c r="I162" s="15" t="s">
        <v>5392</v>
      </c>
      <c r="J162" s="15" t="n">
        <v>3</v>
      </c>
      <c r="K162" s="15" t="s">
        <v>3425</v>
      </c>
      <c r="L162" s="15" t="str">
        <f aca="false">IF(K162="","No","Yes")</f>
        <v>Yes</v>
      </c>
      <c r="M162" s="18" t="str">
        <f aca="false">IF(K162="","",IFERROR(IF(ISNUMBER(SEARCH(A162,INDEX(Pages!$J$2:$J$824,MATCH(K162,Pages!$B$2:$B$824,0)))),"Yes","No"),"Page not found"))</f>
        <v>Yes</v>
      </c>
      <c r="N162" s="3" t="s">
        <v>5426</v>
      </c>
      <c r="O162" s="3" t="s">
        <v>5483</v>
      </c>
      <c r="P162" s="19"/>
      <c r="Q162" s="17"/>
      <c r="R162" s="17"/>
    </row>
    <row r="163" customFormat="false" ht="15" hidden="false" customHeight="false" outlineLevel="0" collapsed="false">
      <c r="A163" s="15" t="s">
        <v>3657</v>
      </c>
      <c r="B163" s="15" t="s">
        <v>74</v>
      </c>
      <c r="C163" s="15" t="s">
        <v>321</v>
      </c>
      <c r="D163" s="15" t="s">
        <v>701</v>
      </c>
      <c r="E163" s="15" t="s">
        <v>2225</v>
      </c>
      <c r="F163" s="16" t="n">
        <v>200</v>
      </c>
      <c r="G163" s="15" t="n">
        <v>35</v>
      </c>
      <c r="H163" s="15" t="s">
        <v>5227</v>
      </c>
      <c r="I163" s="15" t="s">
        <v>5444</v>
      </c>
      <c r="J163" s="15" t="n">
        <v>1</v>
      </c>
      <c r="K163" s="15" t="s">
        <v>3653</v>
      </c>
      <c r="L163" s="15" t="str">
        <f aca="false">IF(K163="","No","Yes")</f>
        <v>Yes</v>
      </c>
      <c r="M163" s="18" t="str">
        <f aca="false">IF(K163="","",IFERROR(IF(ISNUMBER(SEARCH(A163,INDEX(Pages!$J$2:$J$824,MATCH(K163,Pages!$B$2:$B$824,0)))),"Yes","No"),"Page not found"))</f>
        <v>Yes</v>
      </c>
      <c r="N163" s="3" t="s">
        <v>5426</v>
      </c>
      <c r="O163" s="3"/>
      <c r="P163" s="19"/>
      <c r="Q163" s="17"/>
      <c r="R163" s="17"/>
    </row>
    <row r="164" customFormat="false" ht="15" hidden="false" customHeight="false" outlineLevel="0" collapsed="false">
      <c r="A164" s="15" t="s">
        <v>4563</v>
      </c>
      <c r="B164" s="15" t="s">
        <v>86</v>
      </c>
      <c r="C164" s="15" t="s">
        <v>356</v>
      </c>
      <c r="D164" s="15" t="s">
        <v>736</v>
      </c>
      <c r="E164" s="15" t="s">
        <v>2470</v>
      </c>
      <c r="F164" s="16" t="n">
        <v>200</v>
      </c>
      <c r="G164" s="15" t="n">
        <v>40</v>
      </c>
      <c r="H164" s="15" t="s">
        <v>5227</v>
      </c>
      <c r="I164" s="15" t="s">
        <v>5392</v>
      </c>
      <c r="J164" s="15" t="n">
        <v>4</v>
      </c>
      <c r="K164" s="15" t="s">
        <v>4559</v>
      </c>
      <c r="L164" s="15" t="str">
        <f aca="false">IF(K164="","No","Yes")</f>
        <v>Yes</v>
      </c>
      <c r="M164" s="18" t="str">
        <f aca="false">IF(K164="","",IFERROR(IF(ISNUMBER(SEARCH(A164,INDEX(Pages!$J$2:$J$824,MATCH(K164,Pages!$B$2:$B$824,0)))),"Yes","No"),"Page not found"))</f>
        <v>Yes</v>
      </c>
      <c r="N164" s="3" t="s">
        <v>5426</v>
      </c>
      <c r="O164" s="3"/>
      <c r="P164" s="19"/>
      <c r="Q164" s="17"/>
      <c r="R164" s="17"/>
    </row>
    <row r="165" customFormat="false" ht="15" hidden="false" customHeight="false" outlineLevel="0" collapsed="false">
      <c r="A165" s="15" t="s">
        <v>2250</v>
      </c>
      <c r="B165" s="15" t="s">
        <v>89</v>
      </c>
      <c r="C165" s="15" t="s">
        <v>258</v>
      </c>
      <c r="D165" s="15" t="s">
        <v>715</v>
      </c>
      <c r="E165" s="15" t="s">
        <v>2246</v>
      </c>
      <c r="F165" s="16" t="n">
        <v>190</v>
      </c>
      <c r="G165" s="15" t="n">
        <v>41</v>
      </c>
      <c r="H165" s="15" t="s">
        <v>5227</v>
      </c>
      <c r="I165" s="15" t="s">
        <v>5473</v>
      </c>
      <c r="J165" s="15" t="n">
        <v>2</v>
      </c>
      <c r="K165" s="15" t="s">
        <v>2245</v>
      </c>
      <c r="L165" s="15" t="str">
        <f aca="false">IF(K165="","No","Yes")</f>
        <v>Yes</v>
      </c>
      <c r="M165" s="18" t="str">
        <f aca="false">IF(K165="","",IFERROR(IF(ISNUMBER(SEARCH(A165,INDEX(Pages!$J$2:$J$824,MATCH(K165,Pages!$B$2:$B$824,0)))),"Yes","No"),"Page not found"))</f>
        <v>Yes</v>
      </c>
      <c r="N165" s="3" t="s">
        <v>5426</v>
      </c>
      <c r="O165" s="3"/>
      <c r="P165" s="19"/>
      <c r="Q165" s="17"/>
      <c r="R165" s="17"/>
    </row>
    <row r="166" customFormat="false" ht="15" hidden="false" customHeight="false" outlineLevel="0" collapsed="false">
      <c r="A166" s="15" t="s">
        <v>2166</v>
      </c>
      <c r="B166" s="15" t="s">
        <v>89</v>
      </c>
      <c r="C166" s="15" t="s">
        <v>258</v>
      </c>
      <c r="D166" s="15" t="s">
        <v>666</v>
      </c>
      <c r="E166" s="15" t="s">
        <v>2162</v>
      </c>
      <c r="F166" s="16" t="n">
        <v>190</v>
      </c>
      <c r="G166" s="15" t="n">
        <v>41</v>
      </c>
      <c r="H166" s="15" t="s">
        <v>5227</v>
      </c>
      <c r="I166" s="15" t="s">
        <v>5473</v>
      </c>
      <c r="J166" s="15" t="n">
        <v>2</v>
      </c>
      <c r="K166" s="15" t="s">
        <v>2161</v>
      </c>
      <c r="L166" s="15" t="str">
        <f aca="false">IF(K166="","No","Yes")</f>
        <v>Yes</v>
      </c>
      <c r="M166" s="18" t="str">
        <f aca="false">IF(K166="","",IFERROR(IF(ISNUMBER(SEARCH(A166,INDEX(Pages!$J$2:$J$824,MATCH(K166,Pages!$B$2:$B$824,0)))),"Yes","No"),"Page not found"))</f>
        <v>Yes</v>
      </c>
      <c r="N166" s="3" t="s">
        <v>5426</v>
      </c>
      <c r="O166" s="3"/>
      <c r="P166" s="19"/>
      <c r="Q166" s="17"/>
      <c r="R166" s="17"/>
    </row>
    <row r="167" customFormat="false" ht="15" hidden="false" customHeight="false" outlineLevel="0" collapsed="false">
      <c r="A167" s="15" t="s">
        <v>5454</v>
      </c>
      <c r="B167" s="15" t="s">
        <v>82</v>
      </c>
      <c r="C167" s="15" t="s">
        <v>265</v>
      </c>
      <c r="D167" s="15" t="s">
        <v>715</v>
      </c>
      <c r="E167" s="15" t="s">
        <v>2288</v>
      </c>
      <c r="F167" s="16" t="n">
        <v>190</v>
      </c>
      <c r="G167" s="15" t="n">
        <v>71</v>
      </c>
      <c r="H167" s="15" t="s">
        <v>5169</v>
      </c>
      <c r="I167" s="15" t="s">
        <v>5228</v>
      </c>
      <c r="J167" s="15" t="n">
        <v>4</v>
      </c>
      <c r="K167" s="15" t="s">
        <v>2663</v>
      </c>
      <c r="L167" s="15" t="str">
        <f aca="false">IF(K167="","No","Yes")</f>
        <v>Yes</v>
      </c>
      <c r="M167" s="18" t="str">
        <f aca="false">IF(K167="","",IFERROR(IF(ISNUMBER(SEARCH(A167,INDEX(Pages!$J$2:$J$824,MATCH(K167,Pages!$B$2:$B$824,0)))),"Yes","No"),"Page not found"))</f>
        <v>No</v>
      </c>
      <c r="N167" s="3" t="s">
        <v>5182</v>
      </c>
      <c r="O167" s="3" t="s">
        <v>5232</v>
      </c>
      <c r="P167" s="19"/>
      <c r="Q167" s="17"/>
      <c r="R167" s="17"/>
    </row>
    <row r="168" customFormat="false" ht="15" hidden="false" customHeight="false" outlineLevel="0" collapsed="false">
      <c r="A168" s="15" t="s">
        <v>2979</v>
      </c>
      <c r="B168" s="15" t="s">
        <v>85</v>
      </c>
      <c r="C168" s="15" t="s">
        <v>272</v>
      </c>
      <c r="D168" s="15" t="s">
        <v>715</v>
      </c>
      <c r="E168" s="15" t="s">
        <v>2246</v>
      </c>
      <c r="F168" s="16" t="n">
        <v>190</v>
      </c>
      <c r="G168" s="15" t="n">
        <v>48</v>
      </c>
      <c r="H168" s="15" t="s">
        <v>5227</v>
      </c>
      <c r="I168" s="15" t="s">
        <v>5392</v>
      </c>
      <c r="J168" s="15" t="n">
        <v>3</v>
      </c>
      <c r="K168" s="15" t="s">
        <v>2975</v>
      </c>
      <c r="L168" s="15" t="str">
        <f aca="false">IF(K168="","No","Yes")</f>
        <v>Yes</v>
      </c>
      <c r="M168" s="18" t="str">
        <f aca="false">IF(K168="","",IFERROR(IF(ISNUMBER(SEARCH(A168,INDEX(Pages!$J$2:$J$824,MATCH(K168,Pages!$B$2:$B$824,0)))),"Yes","No"),"Page not found"))</f>
        <v>Yes</v>
      </c>
      <c r="N168" s="3" t="s">
        <v>5426</v>
      </c>
      <c r="O168" s="3"/>
      <c r="P168" s="19"/>
      <c r="Q168" s="17"/>
      <c r="R168" s="17"/>
    </row>
    <row r="169" customFormat="false" ht="15" hidden="false" customHeight="false" outlineLevel="0" collapsed="false">
      <c r="A169" s="15" t="s">
        <v>2907</v>
      </c>
      <c r="B169" s="15" t="s">
        <v>85</v>
      </c>
      <c r="C169" s="15" t="s">
        <v>272</v>
      </c>
      <c r="D169" s="15" t="s">
        <v>666</v>
      </c>
      <c r="E169" s="15" t="s">
        <v>2162</v>
      </c>
      <c r="F169" s="16" t="n">
        <v>190</v>
      </c>
      <c r="G169" s="15" t="n">
        <v>52</v>
      </c>
      <c r="H169" s="15" t="s">
        <v>5227</v>
      </c>
      <c r="I169" s="15" t="s">
        <v>5392</v>
      </c>
      <c r="J169" s="15" t="n">
        <v>4</v>
      </c>
      <c r="K169" s="15" t="s">
        <v>2903</v>
      </c>
      <c r="L169" s="15" t="str">
        <f aca="false">IF(K169="","No","Yes")</f>
        <v>Yes</v>
      </c>
      <c r="M169" s="18" t="str">
        <f aca="false">IF(K169="","",IFERROR(IF(ISNUMBER(SEARCH(A169,INDEX(Pages!$J$2:$J$824,MATCH(K169,Pages!$B$2:$B$824,0)))),"Yes","No"),"Page not found"))</f>
        <v>Yes</v>
      </c>
      <c r="N169" s="3" t="s">
        <v>5212</v>
      </c>
      <c r="O169" s="3"/>
      <c r="P169" s="19"/>
      <c r="Q169" s="17"/>
      <c r="R169" s="17"/>
    </row>
    <row r="170" customFormat="false" ht="15" hidden="false" customHeight="false" outlineLevel="0" collapsed="false">
      <c r="A170" s="15" t="s">
        <v>3213</v>
      </c>
      <c r="B170" s="15" t="s">
        <v>84</v>
      </c>
      <c r="C170" s="15" t="s">
        <v>314</v>
      </c>
      <c r="D170" s="15" t="s">
        <v>666</v>
      </c>
      <c r="E170" s="15" t="s">
        <v>2113</v>
      </c>
      <c r="F170" s="16" t="n">
        <v>190</v>
      </c>
      <c r="G170" s="15" t="n">
        <v>40</v>
      </c>
      <c r="H170" s="15" t="s">
        <v>5227</v>
      </c>
      <c r="I170" s="15" t="s">
        <v>5392</v>
      </c>
      <c r="J170" s="15" t="n">
        <v>3</v>
      </c>
      <c r="K170" s="15" t="s">
        <v>3209</v>
      </c>
      <c r="L170" s="15" t="str">
        <f aca="false">IF(K170="","No","Yes")</f>
        <v>Yes</v>
      </c>
      <c r="M170" s="18" t="str">
        <f aca="false">IF(K170="","",IFERROR(IF(ISNUMBER(SEARCH(A170,INDEX(Pages!$J$2:$J$824,MATCH(K170,Pages!$B$2:$B$824,0)))),"Yes","No"),"Page not found"))</f>
        <v>Yes</v>
      </c>
      <c r="N170" s="3" t="s">
        <v>5426</v>
      </c>
      <c r="O170" s="3"/>
      <c r="P170" s="19"/>
      <c r="Q170" s="17"/>
      <c r="R170" s="17"/>
    </row>
    <row r="171" customFormat="false" ht="15" hidden="false" customHeight="false" outlineLevel="0" collapsed="false">
      <c r="A171" s="15" t="s">
        <v>4799</v>
      </c>
      <c r="B171" s="15" t="s">
        <v>94</v>
      </c>
      <c r="C171" s="15"/>
      <c r="D171" s="15" t="s">
        <v>715</v>
      </c>
      <c r="E171" s="15" t="s">
        <v>2274</v>
      </c>
      <c r="F171" s="16" t="n">
        <v>190</v>
      </c>
      <c r="G171" s="15" t="n">
        <v>30</v>
      </c>
      <c r="H171" s="15" t="s">
        <v>5227</v>
      </c>
      <c r="I171" s="15" t="s">
        <v>5243</v>
      </c>
      <c r="J171" s="15" t="n">
        <v>2</v>
      </c>
      <c r="K171" s="15" t="s">
        <v>4795</v>
      </c>
      <c r="L171" s="15" t="str">
        <f aca="false">IF(K171="","No","Yes")</f>
        <v>Yes</v>
      </c>
      <c r="M171" s="18" t="str">
        <f aca="false">IF(K171="","",IFERROR(IF(ISNUMBER(SEARCH(A171,INDEX(Pages!$J$2:$J$824,MATCH(K171,Pages!$B$2:$B$824,0)))),"Yes","No"),"Page not found"))</f>
        <v>No</v>
      </c>
      <c r="N171" s="3" t="s">
        <v>5471</v>
      </c>
      <c r="O171" s="3" t="s">
        <v>5472</v>
      </c>
      <c r="P171" s="19"/>
      <c r="Q171" s="17"/>
      <c r="R171" s="17"/>
    </row>
    <row r="172" customFormat="false" ht="15" hidden="false" customHeight="false" outlineLevel="0" collapsed="false">
      <c r="A172" s="15" t="s">
        <v>4655</v>
      </c>
      <c r="B172" s="15" t="s">
        <v>94</v>
      </c>
      <c r="C172" s="15"/>
      <c r="D172" s="15" t="s">
        <v>666</v>
      </c>
      <c r="E172" s="15" t="s">
        <v>2155</v>
      </c>
      <c r="F172" s="16" t="n">
        <v>190</v>
      </c>
      <c r="G172" s="15" t="n">
        <v>30</v>
      </c>
      <c r="H172" s="15" t="s">
        <v>5227</v>
      </c>
      <c r="I172" s="15" t="s">
        <v>5243</v>
      </c>
      <c r="J172" s="15" t="n">
        <v>2</v>
      </c>
      <c r="K172" s="15" t="s">
        <v>4651</v>
      </c>
      <c r="L172" s="15" t="str">
        <f aca="false">IF(K172="","No","Yes")</f>
        <v>Yes</v>
      </c>
      <c r="M172" s="18" t="str">
        <f aca="false">IF(K172="","",IFERROR(IF(ISNUMBER(SEARCH(A172,INDEX(Pages!$J$2:$J$824,MATCH(K172,Pages!$B$2:$B$824,0)))),"Yes","No"),"Page not found"))</f>
        <v>No</v>
      </c>
      <c r="N172" s="3" t="s">
        <v>5471</v>
      </c>
      <c r="O172" s="3" t="s">
        <v>5472</v>
      </c>
      <c r="P172" s="19"/>
      <c r="Q172" s="17"/>
      <c r="R172" s="17"/>
    </row>
    <row r="173" customFormat="false" ht="15" hidden="false" customHeight="false" outlineLevel="0" collapsed="false">
      <c r="A173" s="15" t="s">
        <v>3717</v>
      </c>
      <c r="B173" s="15" t="s">
        <v>74</v>
      </c>
      <c r="C173" s="15" t="s">
        <v>321</v>
      </c>
      <c r="D173" s="15" t="s">
        <v>715</v>
      </c>
      <c r="E173" s="15" t="s">
        <v>2295</v>
      </c>
      <c r="F173" s="16" t="n">
        <v>190</v>
      </c>
      <c r="G173" s="15" t="n">
        <v>43</v>
      </c>
      <c r="H173" s="15" t="s">
        <v>5227</v>
      </c>
      <c r="I173" s="15" t="s">
        <v>5444</v>
      </c>
      <c r="J173" s="15" t="n">
        <v>1</v>
      </c>
      <c r="K173" s="15" t="s">
        <v>3713</v>
      </c>
      <c r="L173" s="15" t="str">
        <f aca="false">IF(K173="","No","Yes")</f>
        <v>Yes</v>
      </c>
      <c r="M173" s="18" t="str">
        <f aca="false">IF(K173="","",IFERROR(IF(ISNUMBER(SEARCH(A173,INDEX(Pages!$J$2:$J$824,MATCH(K173,Pages!$B$2:$B$824,0)))),"Yes","No"),"Page not found"))</f>
        <v>No</v>
      </c>
      <c r="N173" s="3" t="s">
        <v>5426</v>
      </c>
      <c r="O173" s="3"/>
      <c r="P173" s="19"/>
      <c r="Q173" s="17"/>
      <c r="R173" s="17"/>
    </row>
    <row r="174" customFormat="false" ht="15" hidden="false" customHeight="false" outlineLevel="0" collapsed="false">
      <c r="A174" s="15" t="s">
        <v>4083</v>
      </c>
      <c r="B174" s="15" t="s">
        <v>81</v>
      </c>
      <c r="C174" s="15" t="s">
        <v>349</v>
      </c>
      <c r="D174" s="15" t="s">
        <v>715</v>
      </c>
      <c r="E174" s="15" t="s">
        <v>2316</v>
      </c>
      <c r="F174" s="16" t="n">
        <v>190</v>
      </c>
      <c r="G174" s="15" t="n">
        <v>36</v>
      </c>
      <c r="H174" s="15" t="s">
        <v>5227</v>
      </c>
      <c r="I174" s="15" t="s">
        <v>5235</v>
      </c>
      <c r="J174" s="15" t="n">
        <v>3</v>
      </c>
      <c r="K174" s="15" t="s">
        <v>4079</v>
      </c>
      <c r="L174" s="15" t="str">
        <f aca="false">IF(K174="","No","Yes")</f>
        <v>Yes</v>
      </c>
      <c r="M174" s="18" t="str">
        <f aca="false">IF(K174="","",IFERROR(IF(ISNUMBER(SEARCH(A174,INDEX(Pages!$J$2:$J$824,MATCH(K174,Pages!$B$2:$B$824,0)))),"Yes","No"),"Page not found"))</f>
        <v>Yes</v>
      </c>
      <c r="N174" s="3" t="s">
        <v>5426</v>
      </c>
      <c r="O174" s="3"/>
      <c r="P174" s="19"/>
      <c r="Q174" s="17"/>
      <c r="R174" s="17"/>
    </row>
    <row r="175" customFormat="false" ht="15" hidden="false" customHeight="false" outlineLevel="0" collapsed="false">
      <c r="A175" s="15" t="s">
        <v>4263</v>
      </c>
      <c r="B175" s="15" t="s">
        <v>86</v>
      </c>
      <c r="C175" s="15" t="s">
        <v>356</v>
      </c>
      <c r="D175" s="15" t="s">
        <v>666</v>
      </c>
      <c r="E175" s="15" t="s">
        <v>2120</v>
      </c>
      <c r="F175" s="16" t="n">
        <v>190</v>
      </c>
      <c r="G175" s="15" t="n">
        <v>40</v>
      </c>
      <c r="H175" s="15" t="s">
        <v>5227</v>
      </c>
      <c r="I175" s="15" t="s">
        <v>5392</v>
      </c>
      <c r="J175" s="15" t="n">
        <v>4</v>
      </c>
      <c r="K175" s="15" t="s">
        <v>4259</v>
      </c>
      <c r="L175" s="15" t="str">
        <f aca="false">IF(K175="","No","Yes")</f>
        <v>Yes</v>
      </c>
      <c r="M175" s="18" t="str">
        <f aca="false">IF(K175="","",IFERROR(IF(ISNUMBER(SEARCH(A175,INDEX(Pages!$J$2:$J$824,MATCH(K175,Pages!$B$2:$B$824,0)))),"Yes","No"),"Page not found"))</f>
        <v>Yes</v>
      </c>
      <c r="N175" s="3" t="s">
        <v>5426</v>
      </c>
      <c r="O175" s="3"/>
      <c r="P175" s="19"/>
      <c r="Q175" s="17"/>
      <c r="R175" s="17"/>
    </row>
    <row r="176" customFormat="false" ht="15" hidden="false" customHeight="false" outlineLevel="0" collapsed="false">
      <c r="A176" s="15" t="s">
        <v>4407</v>
      </c>
      <c r="B176" s="15" t="s">
        <v>86</v>
      </c>
      <c r="C176" s="15" t="s">
        <v>356</v>
      </c>
      <c r="D176" s="15" t="s">
        <v>715</v>
      </c>
      <c r="E176" s="15" t="s">
        <v>2288</v>
      </c>
      <c r="F176" s="16" t="n">
        <v>190</v>
      </c>
      <c r="G176" s="15" t="n">
        <v>48</v>
      </c>
      <c r="H176" s="15" t="s">
        <v>5227</v>
      </c>
      <c r="I176" s="15" t="s">
        <v>5392</v>
      </c>
      <c r="J176" s="15" t="n">
        <v>4</v>
      </c>
      <c r="K176" s="15" t="s">
        <v>4403</v>
      </c>
      <c r="L176" s="15" t="str">
        <f aca="false">IF(K176="","No","Yes")</f>
        <v>Yes</v>
      </c>
      <c r="M176" s="18" t="str">
        <f aca="false">IF(K176="","",IFERROR(IF(ISNUMBER(SEARCH(A176,INDEX(Pages!$J$2:$J$824,MATCH(K176,Pages!$B$2:$B$824,0)))),"Yes","No"),"Page not found"))</f>
        <v>Yes</v>
      </c>
      <c r="N176" s="3" t="s">
        <v>5426</v>
      </c>
      <c r="O176" s="3"/>
      <c r="P176" s="19"/>
      <c r="Q176" s="17"/>
      <c r="R176" s="17"/>
    </row>
    <row r="177" customFormat="false" ht="15" hidden="false" customHeight="false" outlineLevel="0" collapsed="false">
      <c r="A177" s="15" t="s">
        <v>3321</v>
      </c>
      <c r="B177" s="15" t="s">
        <v>84</v>
      </c>
      <c r="C177" s="15" t="s">
        <v>314</v>
      </c>
      <c r="D177" s="15" t="s">
        <v>715</v>
      </c>
      <c r="E177" s="15" t="s">
        <v>2239</v>
      </c>
      <c r="F177" s="16" t="n">
        <v>180</v>
      </c>
      <c r="G177" s="15" t="n">
        <v>48</v>
      </c>
      <c r="H177" s="15" t="s">
        <v>5227</v>
      </c>
      <c r="I177" s="15" t="s">
        <v>5392</v>
      </c>
      <c r="J177" s="15" t="n">
        <v>3</v>
      </c>
      <c r="K177" s="15" t="s">
        <v>3317</v>
      </c>
      <c r="L177" s="15" t="str">
        <f aca="false">IF(K177="","No","Yes")</f>
        <v>Yes</v>
      </c>
      <c r="M177" s="18" t="str">
        <f aca="false">IF(K177="","",IFERROR(IF(ISNUMBER(SEARCH(A177,INDEX(Pages!$J$2:$J$824,MATCH(K177,Pages!$B$2:$B$824,0)))),"Yes","No"),"Page not found"))</f>
        <v>Yes</v>
      </c>
      <c r="N177" s="3" t="s">
        <v>5426</v>
      </c>
      <c r="O177" s="3"/>
      <c r="P177" s="19"/>
      <c r="Q177" s="17"/>
      <c r="R177" s="17"/>
    </row>
    <row r="178" customFormat="false" ht="15" hidden="false" customHeight="false" outlineLevel="0" collapsed="false">
      <c r="A178" s="15" t="s">
        <v>3225</v>
      </c>
      <c r="B178" s="15" t="s">
        <v>84</v>
      </c>
      <c r="C178" s="15" t="s">
        <v>314</v>
      </c>
      <c r="D178" s="15" t="s">
        <v>666</v>
      </c>
      <c r="E178" s="15" t="s">
        <v>2127</v>
      </c>
      <c r="F178" s="16" t="n">
        <v>180</v>
      </c>
      <c r="G178" s="15" t="n">
        <v>40</v>
      </c>
      <c r="H178" s="15" t="s">
        <v>5227</v>
      </c>
      <c r="I178" s="15" t="s">
        <v>5392</v>
      </c>
      <c r="J178" s="15" t="n">
        <v>3</v>
      </c>
      <c r="K178" s="15" t="s">
        <v>3221</v>
      </c>
      <c r="L178" s="15" t="str">
        <f aca="false">IF(K178="","No","Yes")</f>
        <v>Yes</v>
      </c>
      <c r="M178" s="18" t="str">
        <f aca="false">IF(K178="","",IFERROR(IF(ISNUMBER(SEARCH(A178,INDEX(Pages!$J$2:$J$824,MATCH(K178,Pages!$B$2:$B$824,0)))),"Yes","No"),"Page not found"))</f>
        <v>Yes</v>
      </c>
      <c r="N178" s="3" t="s">
        <v>5426</v>
      </c>
      <c r="O178" s="3"/>
      <c r="P178" s="19"/>
      <c r="Q178" s="17"/>
      <c r="R178" s="17"/>
    </row>
    <row r="179" customFormat="false" ht="15" hidden="false" customHeight="false" outlineLevel="0" collapsed="false">
      <c r="A179" s="15" t="s">
        <v>3345</v>
      </c>
      <c r="B179" s="15" t="s">
        <v>84</v>
      </c>
      <c r="C179" s="15" t="s">
        <v>314</v>
      </c>
      <c r="D179" s="15" t="s">
        <v>715</v>
      </c>
      <c r="E179" s="15" t="s">
        <v>2267</v>
      </c>
      <c r="F179" s="16" t="n">
        <v>180</v>
      </c>
      <c r="G179" s="15" t="n">
        <v>48</v>
      </c>
      <c r="H179" s="15" t="s">
        <v>5227</v>
      </c>
      <c r="I179" s="15" t="s">
        <v>5392</v>
      </c>
      <c r="J179" s="15" t="n">
        <v>3</v>
      </c>
      <c r="K179" s="15" t="s">
        <v>3341</v>
      </c>
      <c r="L179" s="15" t="str">
        <f aca="false">IF(K179="","No","Yes")</f>
        <v>Yes</v>
      </c>
      <c r="M179" s="18" t="str">
        <f aca="false">IF(K179="","",IFERROR(IF(ISNUMBER(SEARCH(A179,INDEX(Pages!$J$2:$J$824,MATCH(K179,Pages!$B$2:$B$824,0)))),"Yes","No"),"Page not found"))</f>
        <v>Yes</v>
      </c>
      <c r="N179" s="3" t="s">
        <v>5426</v>
      </c>
      <c r="O179" s="3"/>
      <c r="P179" s="19"/>
      <c r="Q179" s="17"/>
      <c r="R179" s="17"/>
    </row>
    <row r="180" customFormat="false" ht="15" hidden="false" customHeight="false" outlineLevel="0" collapsed="false">
      <c r="A180" s="15" t="s">
        <v>3231</v>
      </c>
      <c r="B180" s="15" t="s">
        <v>84</v>
      </c>
      <c r="C180" s="15" t="s">
        <v>314</v>
      </c>
      <c r="D180" s="15" t="s">
        <v>666</v>
      </c>
      <c r="E180" s="15" t="s">
        <v>2134</v>
      </c>
      <c r="F180" s="16" t="n">
        <v>180</v>
      </c>
      <c r="G180" s="15" t="n">
        <v>48</v>
      </c>
      <c r="H180" s="15" t="s">
        <v>5227</v>
      </c>
      <c r="I180" s="15" t="s">
        <v>5392</v>
      </c>
      <c r="J180" s="15" t="n">
        <v>3</v>
      </c>
      <c r="K180" s="15" t="s">
        <v>3227</v>
      </c>
      <c r="L180" s="15" t="str">
        <f aca="false">IF(K180="","No","Yes")</f>
        <v>Yes</v>
      </c>
      <c r="M180" s="18" t="str">
        <f aca="false">IF(K180="","",IFERROR(IF(ISNUMBER(SEARCH(A180,INDEX(Pages!$J$2:$J$824,MATCH(K180,Pages!$B$2:$B$824,0)))),"Yes","No"),"Page not found"))</f>
        <v>Yes</v>
      </c>
      <c r="N180" s="3" t="s">
        <v>5426</v>
      </c>
      <c r="O180" s="3"/>
      <c r="P180" s="19"/>
      <c r="Q180" s="17"/>
      <c r="R180" s="17"/>
    </row>
    <row r="181" customFormat="false" ht="23.85" hidden="false" customHeight="false" outlineLevel="0" collapsed="false">
      <c r="A181" s="15" t="s">
        <v>3843</v>
      </c>
      <c r="B181" s="15" t="s">
        <v>74</v>
      </c>
      <c r="C181" s="15" t="s">
        <v>321</v>
      </c>
      <c r="D181" s="15" t="s">
        <v>729</v>
      </c>
      <c r="E181" s="15" t="s">
        <v>2442</v>
      </c>
      <c r="F181" s="16" t="n">
        <v>180</v>
      </c>
      <c r="G181" s="15" t="n">
        <v>39</v>
      </c>
      <c r="H181" s="15" t="s">
        <v>5227</v>
      </c>
      <c r="I181" s="15" t="s">
        <v>5444</v>
      </c>
      <c r="J181" s="15" t="n">
        <v>3</v>
      </c>
      <c r="K181" s="15" t="s">
        <v>3839</v>
      </c>
      <c r="L181" s="15" t="str">
        <f aca="false">IF(K181="","No","Yes")</f>
        <v>Yes</v>
      </c>
      <c r="M181" s="18" t="str">
        <f aca="false">IF(K181="","",IFERROR(IF(ISNUMBER(SEARCH(A181,INDEX(Pages!$J$2:$J$824,MATCH(K181,Pages!$B$2:$B$824,0)))),"Yes","No"),"Page not found"))</f>
        <v>Yes</v>
      </c>
      <c r="N181" s="3" t="s">
        <v>5486</v>
      </c>
      <c r="O181" s="3" t="s">
        <v>5496</v>
      </c>
      <c r="P181" s="19"/>
      <c r="Q181" s="17"/>
      <c r="R181" s="17"/>
    </row>
    <row r="182" customFormat="false" ht="15" hidden="false" customHeight="false" outlineLevel="0" collapsed="false">
      <c r="A182" s="15" t="s">
        <v>3891</v>
      </c>
      <c r="B182" s="15" t="s">
        <v>81</v>
      </c>
      <c r="C182" s="15" t="s">
        <v>349</v>
      </c>
      <c r="D182" s="15" t="s">
        <v>657</v>
      </c>
      <c r="E182" s="15" t="s">
        <v>2092</v>
      </c>
      <c r="F182" s="16" t="n">
        <v>180</v>
      </c>
      <c r="G182" s="15" t="n">
        <v>36</v>
      </c>
      <c r="H182" s="15" t="s">
        <v>5227</v>
      </c>
      <c r="I182" s="15" t="s">
        <v>5235</v>
      </c>
      <c r="J182" s="15" t="n">
        <v>3</v>
      </c>
      <c r="K182" s="15" t="s">
        <v>3887</v>
      </c>
      <c r="L182" s="15" t="str">
        <f aca="false">IF(K182="","No","Yes")</f>
        <v>Yes</v>
      </c>
      <c r="M182" s="18" t="str">
        <f aca="false">IF(K182="","",IFERROR(IF(ISNUMBER(SEARCH(A182,INDEX(Pages!$J$2:$J$824,MATCH(K182,Pages!$B$2:$B$824,0)))),"Yes","No"),"Page not found"))</f>
        <v>Yes</v>
      </c>
      <c r="N182" s="3" t="s">
        <v>5426</v>
      </c>
      <c r="O182" s="3"/>
      <c r="P182" s="19"/>
      <c r="Q182" s="17"/>
      <c r="R182" s="17"/>
    </row>
    <row r="183" customFormat="false" ht="15" hidden="false" customHeight="false" outlineLevel="0" collapsed="false">
      <c r="A183" s="15" t="s">
        <v>4509</v>
      </c>
      <c r="B183" s="15" t="s">
        <v>86</v>
      </c>
      <c r="C183" s="15" t="s">
        <v>356</v>
      </c>
      <c r="D183" s="15" t="s">
        <v>715</v>
      </c>
      <c r="E183" s="15" t="s">
        <v>2407</v>
      </c>
      <c r="F183" s="16" t="n">
        <v>180</v>
      </c>
      <c r="G183" s="15" t="n">
        <v>48</v>
      </c>
      <c r="H183" s="15" t="s">
        <v>5227</v>
      </c>
      <c r="I183" s="15" t="s">
        <v>5392</v>
      </c>
      <c r="J183" s="15" t="n">
        <v>4</v>
      </c>
      <c r="K183" s="15" t="s">
        <v>4505</v>
      </c>
      <c r="L183" s="15" t="str">
        <f aca="false">IF(K183="","No","Yes")</f>
        <v>Yes</v>
      </c>
      <c r="M183" s="18" t="str">
        <f aca="false">IF(K183="","",IFERROR(IF(ISNUMBER(SEARCH(A183,INDEX(Pages!$J$2:$J$824,MATCH(K183,Pages!$B$2:$B$824,0)))),"Yes","No"),"Page not found"))</f>
        <v>Yes</v>
      </c>
      <c r="N183" s="3" t="s">
        <v>5426</v>
      </c>
      <c r="O183" s="3"/>
      <c r="P183" s="19"/>
      <c r="Q183" s="17"/>
      <c r="R183" s="17"/>
    </row>
    <row r="184" customFormat="false" ht="15" hidden="false" customHeight="false" outlineLevel="0" collapsed="false">
      <c r="A184" s="15" t="s">
        <v>2278</v>
      </c>
      <c r="B184" s="15" t="s">
        <v>89</v>
      </c>
      <c r="C184" s="15" t="s">
        <v>258</v>
      </c>
      <c r="D184" s="15" t="s">
        <v>715</v>
      </c>
      <c r="E184" s="15" t="s">
        <v>2274</v>
      </c>
      <c r="F184" s="16" t="n">
        <v>170</v>
      </c>
      <c r="G184" s="15" t="n">
        <v>41</v>
      </c>
      <c r="H184" s="15" t="s">
        <v>5227</v>
      </c>
      <c r="I184" s="15" t="s">
        <v>5473</v>
      </c>
      <c r="J184" s="15" t="n">
        <v>2</v>
      </c>
      <c r="K184" s="15" t="s">
        <v>2273</v>
      </c>
      <c r="L184" s="15" t="str">
        <f aca="false">IF(K184="","No","Yes")</f>
        <v>Yes</v>
      </c>
      <c r="M184" s="18" t="str">
        <f aca="false">IF(K184="","",IFERROR(IF(ISNUMBER(SEARCH(A184,INDEX(Pages!$J$2:$J$824,MATCH(K184,Pages!$B$2:$B$824,0)))),"Yes","No"),"Page not found"))</f>
        <v>Yes</v>
      </c>
      <c r="N184" s="3" t="s">
        <v>5426</v>
      </c>
      <c r="O184" s="3"/>
      <c r="P184" s="19"/>
      <c r="Q184" s="17"/>
      <c r="R184" s="17"/>
    </row>
    <row r="185" customFormat="false" ht="15" hidden="false" customHeight="false" outlineLevel="0" collapsed="false">
      <c r="A185" s="15" t="s">
        <v>2159</v>
      </c>
      <c r="B185" s="15" t="s">
        <v>89</v>
      </c>
      <c r="C185" s="15" t="s">
        <v>258</v>
      </c>
      <c r="D185" s="15" t="s">
        <v>666</v>
      </c>
      <c r="E185" s="15" t="s">
        <v>2155</v>
      </c>
      <c r="F185" s="16" t="n">
        <v>170</v>
      </c>
      <c r="G185" s="15" t="n">
        <v>33</v>
      </c>
      <c r="H185" s="15" t="s">
        <v>5227</v>
      </c>
      <c r="I185" s="15" t="s">
        <v>5473</v>
      </c>
      <c r="J185" s="15" t="n">
        <v>2</v>
      </c>
      <c r="K185" s="15" t="s">
        <v>2154</v>
      </c>
      <c r="L185" s="15" t="str">
        <f aca="false">IF(K185="","No","Yes")</f>
        <v>Yes</v>
      </c>
      <c r="M185" s="18" t="str">
        <f aca="false">IF(K185="","",IFERROR(IF(ISNUMBER(SEARCH(A185,INDEX(Pages!$J$2:$J$824,MATCH(K185,Pages!$B$2:$B$824,0)))),"Yes","No"),"Page not found"))</f>
        <v>Yes</v>
      </c>
      <c r="N185" s="3" t="s">
        <v>5426</v>
      </c>
      <c r="O185" s="3"/>
      <c r="P185" s="19"/>
      <c r="Q185" s="17"/>
      <c r="R185" s="17"/>
    </row>
    <row r="186" customFormat="false" ht="15" hidden="false" customHeight="false" outlineLevel="0" collapsed="false">
      <c r="A186" s="15" t="s">
        <v>3003</v>
      </c>
      <c r="B186" s="15" t="s">
        <v>85</v>
      </c>
      <c r="C186" s="15" t="s">
        <v>272</v>
      </c>
      <c r="D186" s="15" t="s">
        <v>715</v>
      </c>
      <c r="E186" s="15" t="s">
        <v>2274</v>
      </c>
      <c r="F186" s="16" t="n">
        <v>170</v>
      </c>
      <c r="G186" s="15" t="n">
        <v>48</v>
      </c>
      <c r="H186" s="15" t="s">
        <v>5227</v>
      </c>
      <c r="I186" s="15" t="s">
        <v>5392</v>
      </c>
      <c r="J186" s="15" t="n">
        <v>3</v>
      </c>
      <c r="K186" s="15" t="s">
        <v>2999</v>
      </c>
      <c r="L186" s="15" t="str">
        <f aca="false">IF(K186="","No","Yes")</f>
        <v>Yes</v>
      </c>
      <c r="M186" s="18" t="str">
        <f aca="false">IF(K186="","",IFERROR(IF(ISNUMBER(SEARCH(A186,INDEX(Pages!$J$2:$J$824,MATCH(K186,Pages!$B$2:$B$824,0)))),"Yes","No"),"Page not found"))</f>
        <v>Yes</v>
      </c>
      <c r="N186" s="3" t="s">
        <v>5426</v>
      </c>
      <c r="O186" s="3"/>
      <c r="P186" s="19"/>
      <c r="Q186" s="17"/>
      <c r="R186" s="17"/>
    </row>
    <row r="187" customFormat="false" ht="15" hidden="false" customHeight="false" outlineLevel="0" collapsed="false">
      <c r="A187" s="15" t="s">
        <v>2901</v>
      </c>
      <c r="B187" s="15" t="s">
        <v>85</v>
      </c>
      <c r="C187" s="15" t="s">
        <v>272</v>
      </c>
      <c r="D187" s="15" t="s">
        <v>666</v>
      </c>
      <c r="E187" s="15" t="s">
        <v>2155</v>
      </c>
      <c r="F187" s="16" t="n">
        <v>170</v>
      </c>
      <c r="G187" s="15" t="n">
        <v>40</v>
      </c>
      <c r="H187" s="15" t="s">
        <v>5227</v>
      </c>
      <c r="I187" s="15" t="s">
        <v>5392</v>
      </c>
      <c r="J187" s="15" t="n">
        <v>3</v>
      </c>
      <c r="K187" s="15" t="s">
        <v>2897</v>
      </c>
      <c r="L187" s="15" t="str">
        <f aca="false">IF(K187="","No","Yes")</f>
        <v>Yes</v>
      </c>
      <c r="M187" s="18" t="str">
        <f aca="false">IF(K187="","",IFERROR(IF(ISNUMBER(SEARCH(A187,INDEX(Pages!$J$2:$J$824,MATCH(K187,Pages!$B$2:$B$824,0)))),"Yes","No"),"Page not found"))</f>
        <v>Yes</v>
      </c>
      <c r="N187" s="3" t="s">
        <v>5426</v>
      </c>
      <c r="O187" s="3"/>
      <c r="P187" s="19"/>
      <c r="Q187" s="17"/>
      <c r="R187" s="17"/>
    </row>
    <row r="188" customFormat="false" ht="23.85" hidden="false" customHeight="false" outlineLevel="0" collapsed="false">
      <c r="A188" s="15" t="s">
        <v>3339</v>
      </c>
      <c r="B188" s="15" t="s">
        <v>84</v>
      </c>
      <c r="C188" s="15" t="s">
        <v>314</v>
      </c>
      <c r="D188" s="15" t="s">
        <v>715</v>
      </c>
      <c r="E188" s="15" t="s">
        <v>2260</v>
      </c>
      <c r="F188" s="16" t="n">
        <v>170</v>
      </c>
      <c r="G188" s="15" t="n">
        <v>44</v>
      </c>
      <c r="H188" s="15" t="s">
        <v>5227</v>
      </c>
      <c r="I188" s="15" t="s">
        <v>5392</v>
      </c>
      <c r="J188" s="15" t="n">
        <v>4</v>
      </c>
      <c r="K188" s="15" t="s">
        <v>3335</v>
      </c>
      <c r="L188" s="15" t="str">
        <f aca="false">IF(K188="","No","Yes")</f>
        <v>Yes</v>
      </c>
      <c r="M188" s="18" t="str">
        <f aca="false">IF(K188="","",IFERROR(IF(ISNUMBER(SEARCH(A188,INDEX(Pages!$J$2:$J$824,MATCH(K188,Pages!$B$2:$B$824,0)))),"Yes","No"),"Page not found"))</f>
        <v>Yes</v>
      </c>
      <c r="N188" s="3" t="s">
        <v>5212</v>
      </c>
      <c r="O188" s="3" t="s">
        <v>5483</v>
      </c>
      <c r="P188" s="19"/>
      <c r="Q188" s="17"/>
      <c r="R188" s="17"/>
    </row>
    <row r="189" customFormat="false" ht="15" hidden="false" customHeight="false" outlineLevel="0" collapsed="false">
      <c r="A189" s="15" t="s">
        <v>3357</v>
      </c>
      <c r="B189" s="15" t="s">
        <v>84</v>
      </c>
      <c r="C189" s="15" t="s">
        <v>314</v>
      </c>
      <c r="D189" s="15" t="s">
        <v>715</v>
      </c>
      <c r="E189" s="15" t="s">
        <v>2281</v>
      </c>
      <c r="F189" s="16" t="n">
        <v>170</v>
      </c>
      <c r="G189" s="15" t="n">
        <v>48</v>
      </c>
      <c r="H189" s="15" t="s">
        <v>5227</v>
      </c>
      <c r="I189" s="15" t="s">
        <v>5392</v>
      </c>
      <c r="J189" s="15" t="n">
        <v>3</v>
      </c>
      <c r="K189" s="15" t="s">
        <v>3353</v>
      </c>
      <c r="L189" s="15" t="str">
        <f aca="false">IF(K189="","No","Yes")</f>
        <v>Yes</v>
      </c>
      <c r="M189" s="18" t="str">
        <f aca="false">IF(K189="","",IFERROR(IF(ISNUMBER(SEARCH(A189,INDEX(Pages!$J$2:$J$824,MATCH(K189,Pages!$B$2:$B$824,0)))),"Yes","No"),"Page not found"))</f>
        <v>Yes</v>
      </c>
      <c r="N189" s="3" t="s">
        <v>5426</v>
      </c>
      <c r="O189" s="3"/>
      <c r="P189" s="19"/>
      <c r="Q189" s="17"/>
      <c r="R189" s="17"/>
    </row>
    <row r="190" customFormat="false" ht="23.85" hidden="false" customHeight="false" outlineLevel="0" collapsed="false">
      <c r="A190" s="15" t="s">
        <v>3237</v>
      </c>
      <c r="B190" s="15" t="s">
        <v>84</v>
      </c>
      <c r="C190" s="15" t="s">
        <v>314</v>
      </c>
      <c r="D190" s="15" t="s">
        <v>666</v>
      </c>
      <c r="E190" s="15" t="s">
        <v>2141</v>
      </c>
      <c r="F190" s="16" t="n">
        <v>170</v>
      </c>
      <c r="G190" s="15" t="n">
        <v>32</v>
      </c>
      <c r="H190" s="15" t="s">
        <v>5227</v>
      </c>
      <c r="I190" s="15" t="s">
        <v>5392</v>
      </c>
      <c r="J190" s="15" t="n">
        <v>3</v>
      </c>
      <c r="K190" s="15" t="s">
        <v>3233</v>
      </c>
      <c r="L190" s="15" t="str">
        <f aca="false">IF(K190="","No","Yes")</f>
        <v>Yes</v>
      </c>
      <c r="M190" s="18" t="str">
        <f aca="false">IF(K190="","",IFERROR(IF(ISNUMBER(SEARCH(A190,INDEX(Pages!$J$2:$J$824,MATCH(K190,Pages!$B$2:$B$824,0)))),"Yes","No"),"Page not found"))</f>
        <v>Yes</v>
      </c>
      <c r="N190" s="3" t="s">
        <v>5426</v>
      </c>
      <c r="O190" s="3" t="s">
        <v>5483</v>
      </c>
      <c r="P190" s="19"/>
      <c r="Q190" s="17"/>
      <c r="R190" s="17"/>
    </row>
    <row r="191" customFormat="false" ht="23.85" hidden="false" customHeight="false" outlineLevel="0" collapsed="false">
      <c r="A191" s="15" t="s">
        <v>3381</v>
      </c>
      <c r="B191" s="15" t="s">
        <v>84</v>
      </c>
      <c r="C191" s="15" t="s">
        <v>314</v>
      </c>
      <c r="D191" s="15" t="s">
        <v>715</v>
      </c>
      <c r="E191" s="15" t="s">
        <v>2309</v>
      </c>
      <c r="F191" s="16" t="n">
        <v>170</v>
      </c>
      <c r="G191" s="15" t="n">
        <v>40</v>
      </c>
      <c r="H191" s="15" t="s">
        <v>5227</v>
      </c>
      <c r="I191" s="15" t="s">
        <v>5392</v>
      </c>
      <c r="J191" s="15" t="n">
        <v>4</v>
      </c>
      <c r="K191" s="15" t="s">
        <v>3377</v>
      </c>
      <c r="L191" s="15" t="str">
        <f aca="false">IF(K191="","No","Yes")</f>
        <v>Yes</v>
      </c>
      <c r="M191" s="18" t="str">
        <f aca="false">IF(K191="","",IFERROR(IF(ISNUMBER(SEARCH(A191,INDEX(Pages!$J$2:$J$824,MATCH(K191,Pages!$B$2:$B$824,0)))),"Yes","No"),"Page not found"))</f>
        <v>Yes</v>
      </c>
      <c r="N191" s="3" t="s">
        <v>5426</v>
      </c>
      <c r="O191" s="3" t="s">
        <v>5483</v>
      </c>
      <c r="P191" s="19"/>
      <c r="Q191" s="17"/>
      <c r="R191" s="17"/>
    </row>
    <row r="192" customFormat="false" ht="15" hidden="false" customHeight="false" outlineLevel="0" collapsed="false">
      <c r="A192" s="15" t="s">
        <v>3423</v>
      </c>
      <c r="B192" s="15" t="s">
        <v>84</v>
      </c>
      <c r="C192" s="15" t="s">
        <v>314</v>
      </c>
      <c r="D192" s="15" t="s">
        <v>715</v>
      </c>
      <c r="E192" s="15" t="s">
        <v>2358</v>
      </c>
      <c r="F192" s="16" t="n">
        <v>170</v>
      </c>
      <c r="G192" s="15" t="n">
        <v>52</v>
      </c>
      <c r="H192" s="15" t="s">
        <v>5227</v>
      </c>
      <c r="I192" s="15" t="s">
        <v>5392</v>
      </c>
      <c r="J192" s="15" t="n">
        <v>3</v>
      </c>
      <c r="K192" s="15" t="s">
        <v>3419</v>
      </c>
      <c r="L192" s="15" t="str">
        <f aca="false">IF(K192="","No","Yes")</f>
        <v>Yes</v>
      </c>
      <c r="M192" s="18" t="str">
        <f aca="false">IF(K192="","",IFERROR(IF(ISNUMBER(SEARCH(A192,INDEX(Pages!$J$2:$J$824,MATCH(K192,Pages!$B$2:$B$824,0)))),"Yes","No"),"Page not found"))</f>
        <v>No</v>
      </c>
      <c r="N192" s="3" t="s">
        <v>5212</v>
      </c>
      <c r="O192" s="3"/>
      <c r="P192" s="19"/>
      <c r="Q192" s="17"/>
      <c r="R192" s="17"/>
    </row>
    <row r="193" customFormat="false" ht="23.85" hidden="false" customHeight="false" outlineLevel="0" collapsed="false">
      <c r="A193" s="15" t="s">
        <v>3459</v>
      </c>
      <c r="B193" s="15" t="s">
        <v>84</v>
      </c>
      <c r="C193" s="15" t="s">
        <v>314</v>
      </c>
      <c r="D193" s="15" t="s">
        <v>715</v>
      </c>
      <c r="E193" s="15" t="s">
        <v>2400</v>
      </c>
      <c r="F193" s="16" t="n">
        <v>170</v>
      </c>
      <c r="G193" s="15" t="n">
        <v>40</v>
      </c>
      <c r="H193" s="15" t="s">
        <v>5227</v>
      </c>
      <c r="I193" s="15" t="s">
        <v>5392</v>
      </c>
      <c r="J193" s="15" t="n">
        <v>4</v>
      </c>
      <c r="K193" s="15" t="s">
        <v>3455</v>
      </c>
      <c r="L193" s="15" t="str">
        <f aca="false">IF(K193="","No","Yes")</f>
        <v>Yes</v>
      </c>
      <c r="M193" s="18" t="str">
        <f aca="false">IF(K193="","",IFERROR(IF(ISNUMBER(SEARCH(A193,INDEX(Pages!$J$2:$J$824,MATCH(K193,Pages!$B$2:$B$824,0)))),"Yes","No"),"Page not found"))</f>
        <v>Yes</v>
      </c>
      <c r="N193" s="3" t="s">
        <v>5426</v>
      </c>
      <c r="O193" s="3" t="s">
        <v>5483</v>
      </c>
      <c r="P193" s="19"/>
      <c r="Q193" s="17"/>
      <c r="R193" s="17"/>
    </row>
    <row r="194" customFormat="false" ht="23.85" hidden="false" customHeight="false" outlineLevel="0" collapsed="false">
      <c r="A194" s="15" t="s">
        <v>5424</v>
      </c>
      <c r="B194" s="15" t="s">
        <v>82</v>
      </c>
      <c r="C194" s="15" t="s">
        <v>265</v>
      </c>
      <c r="D194" s="15" t="s">
        <v>715</v>
      </c>
      <c r="E194" s="15" t="s">
        <v>2295</v>
      </c>
      <c r="F194" s="16" t="n">
        <v>170</v>
      </c>
      <c r="G194" s="15" t="n">
        <v>71</v>
      </c>
      <c r="H194" s="15" t="s">
        <v>5177</v>
      </c>
      <c r="I194" s="15" t="s">
        <v>5228</v>
      </c>
      <c r="J194" s="15" t="n">
        <v>4</v>
      </c>
      <c r="K194" s="15" t="s">
        <v>2669</v>
      </c>
      <c r="L194" s="15" t="str">
        <f aca="false">IF(K194="","No","Yes")</f>
        <v>Yes</v>
      </c>
      <c r="M194" s="18" t="str">
        <f aca="false">IF(K194="","",IFERROR(IF(ISNUMBER(SEARCH(A194,INDEX(Pages!$J$2:$J$824,MATCH(K194,Pages!$B$2:$B$824,0)))),"Yes","No"),"Page not found"))</f>
        <v>No</v>
      </c>
      <c r="N194" s="3" t="s">
        <v>5182</v>
      </c>
      <c r="O194" s="3" t="s">
        <v>5234</v>
      </c>
      <c r="P194" s="19"/>
      <c r="Q194" s="17"/>
      <c r="R194" s="17"/>
    </row>
    <row r="195" customFormat="false" ht="15" hidden="false" customHeight="false" outlineLevel="0" collapsed="false">
      <c r="A195" s="15" t="s">
        <v>3969</v>
      </c>
      <c r="B195" s="15" t="s">
        <v>81</v>
      </c>
      <c r="C195" s="15" t="s">
        <v>349</v>
      </c>
      <c r="D195" s="15" t="s">
        <v>673</v>
      </c>
      <c r="E195" s="15" t="s">
        <v>2183</v>
      </c>
      <c r="F195" s="16" t="n">
        <v>170</v>
      </c>
      <c r="G195" s="15" t="n">
        <v>28</v>
      </c>
      <c r="H195" s="15" t="s">
        <v>5227</v>
      </c>
      <c r="I195" s="15" t="s">
        <v>5235</v>
      </c>
      <c r="J195" s="15" t="n">
        <v>3</v>
      </c>
      <c r="K195" s="15" t="s">
        <v>3965</v>
      </c>
      <c r="L195" s="15" t="str">
        <f aca="false">IF(K195="","No","Yes")</f>
        <v>Yes</v>
      </c>
      <c r="M195" s="18" t="str">
        <f aca="false">IF(K195="","",IFERROR(IF(ISNUMBER(SEARCH(A195,INDEX(Pages!$J$2:$J$824,MATCH(K195,Pages!$B$2:$B$824,0)))),"Yes","No"),"Page not found"))</f>
        <v>Yes</v>
      </c>
      <c r="N195" s="3" t="s">
        <v>5426</v>
      </c>
      <c r="O195" s="3"/>
      <c r="P195" s="19"/>
      <c r="Q195" s="17"/>
      <c r="R195" s="17"/>
    </row>
    <row r="196" customFormat="false" ht="15" hidden="false" customHeight="false" outlineLevel="0" collapsed="false">
      <c r="A196" s="15" t="s">
        <v>4437</v>
      </c>
      <c r="B196" s="15" t="s">
        <v>86</v>
      </c>
      <c r="C196" s="15" t="s">
        <v>356</v>
      </c>
      <c r="D196" s="15" t="s">
        <v>715</v>
      </c>
      <c r="E196" s="15" t="s">
        <v>2323</v>
      </c>
      <c r="F196" s="16" t="n">
        <v>170</v>
      </c>
      <c r="G196" s="15" t="n">
        <v>40</v>
      </c>
      <c r="H196" s="15" t="s">
        <v>5227</v>
      </c>
      <c r="I196" s="15" t="s">
        <v>5392</v>
      </c>
      <c r="J196" s="15" t="n">
        <v>4</v>
      </c>
      <c r="K196" s="15" t="s">
        <v>4433</v>
      </c>
      <c r="L196" s="15" t="str">
        <f aca="false">IF(K196="","No","Yes")</f>
        <v>Yes</v>
      </c>
      <c r="M196" s="18" t="str">
        <f aca="false">IF(K196="","",IFERROR(IF(ISNUMBER(SEARCH(A196,INDEX(Pages!$J$2:$J$824,MATCH(K196,Pages!$B$2:$B$824,0)))),"Yes","No"),"Page not found"))</f>
        <v>Yes</v>
      </c>
      <c r="N196" s="3" t="s">
        <v>5426</v>
      </c>
      <c r="O196" s="3"/>
      <c r="P196" s="19"/>
      <c r="Q196" s="17"/>
      <c r="R196" s="17"/>
    </row>
    <row r="197" customFormat="false" ht="15" hidden="false" customHeight="false" outlineLevel="0" collapsed="false">
      <c r="A197" s="15" t="s">
        <v>4557</v>
      </c>
      <c r="B197" s="15" t="s">
        <v>86</v>
      </c>
      <c r="C197" s="15" t="s">
        <v>356</v>
      </c>
      <c r="D197" s="15" t="s">
        <v>736</v>
      </c>
      <c r="E197" s="15" t="s">
        <v>2463</v>
      </c>
      <c r="F197" s="16" t="n">
        <v>170</v>
      </c>
      <c r="G197" s="15" t="n">
        <v>40</v>
      </c>
      <c r="H197" s="15" t="s">
        <v>5227</v>
      </c>
      <c r="I197" s="15" t="s">
        <v>5392</v>
      </c>
      <c r="J197" s="15" t="n">
        <v>4</v>
      </c>
      <c r="K197" s="15" t="s">
        <v>4553</v>
      </c>
      <c r="L197" s="15" t="str">
        <f aca="false">IF(K197="","No","Yes")</f>
        <v>Yes</v>
      </c>
      <c r="M197" s="18" t="str">
        <f aca="false">IF(K197="","",IFERROR(IF(ISNUMBER(SEARCH(A197,INDEX(Pages!$J$2:$J$824,MATCH(K197,Pages!$B$2:$B$824,0)))),"Yes","No"),"Page not found"))</f>
        <v>Yes</v>
      </c>
      <c r="N197" s="3" t="s">
        <v>5426</v>
      </c>
      <c r="O197" s="3"/>
      <c r="P197" s="19"/>
      <c r="Q197" s="17"/>
      <c r="R197" s="17"/>
    </row>
    <row r="198" customFormat="false" ht="23.85" hidden="false" customHeight="false" outlineLevel="0" collapsed="false">
      <c r="A198" s="15" t="s">
        <v>3315</v>
      </c>
      <c r="B198" s="15" t="s">
        <v>84</v>
      </c>
      <c r="C198" s="15" t="s">
        <v>314</v>
      </c>
      <c r="D198" s="15" t="s">
        <v>715</v>
      </c>
      <c r="E198" s="15" t="s">
        <v>2232</v>
      </c>
      <c r="F198" s="16" t="n">
        <v>160</v>
      </c>
      <c r="G198" s="15" t="n">
        <v>40</v>
      </c>
      <c r="H198" s="15" t="s">
        <v>5227</v>
      </c>
      <c r="I198" s="15" t="s">
        <v>5392</v>
      </c>
      <c r="J198" s="15" t="n">
        <v>4</v>
      </c>
      <c r="K198" s="15" t="s">
        <v>3311</v>
      </c>
      <c r="L198" s="15" t="str">
        <f aca="false">IF(K198="","No","Yes")</f>
        <v>Yes</v>
      </c>
      <c r="M198" s="18" t="str">
        <f aca="false">IF(K198="","",IFERROR(IF(ISNUMBER(SEARCH(A198,INDEX(Pages!$J$2:$J$824,MATCH(K198,Pages!$B$2:$B$824,0)))),"Yes","No"),"Page not found"))</f>
        <v>Yes</v>
      </c>
      <c r="N198" s="3" t="s">
        <v>5426</v>
      </c>
      <c r="O198" s="3" t="s">
        <v>5483</v>
      </c>
      <c r="P198" s="19"/>
      <c r="Q198" s="17"/>
      <c r="R198" s="17"/>
    </row>
    <row r="199" customFormat="false" ht="15" hidden="false" customHeight="false" outlineLevel="0" collapsed="false">
      <c r="A199" s="15" t="s">
        <v>3501</v>
      </c>
      <c r="B199" s="15" t="s">
        <v>84</v>
      </c>
      <c r="C199" s="15" t="s">
        <v>314</v>
      </c>
      <c r="D199" s="15" t="s">
        <v>729</v>
      </c>
      <c r="E199" s="15" t="s">
        <v>2449</v>
      </c>
      <c r="F199" s="16" t="n">
        <v>160</v>
      </c>
      <c r="G199" s="15" t="n">
        <v>52</v>
      </c>
      <c r="H199" s="15" t="s">
        <v>5227</v>
      </c>
      <c r="I199" s="15" t="s">
        <v>5392</v>
      </c>
      <c r="J199" s="15" t="n">
        <v>5</v>
      </c>
      <c r="K199" s="15" t="s">
        <v>3497</v>
      </c>
      <c r="L199" s="15" t="str">
        <f aca="false">IF(K199="","No","Yes")</f>
        <v>Yes</v>
      </c>
      <c r="M199" s="18" t="str">
        <f aca="false">IF(K199="","",IFERROR(IF(ISNUMBER(SEARCH(A199,INDEX(Pages!$J$2:$J$824,MATCH(K199,Pages!$B$2:$B$824,0)))),"Yes","No"),"Page not found"))</f>
        <v>Yes</v>
      </c>
      <c r="N199" s="3" t="s">
        <v>5408</v>
      </c>
      <c r="O199" s="3" t="s">
        <v>5427</v>
      </c>
      <c r="P199" s="19"/>
      <c r="Q199" s="17"/>
      <c r="R199" s="17"/>
    </row>
    <row r="200" customFormat="false" ht="15" hidden="false" customHeight="false" outlineLevel="0" collapsed="false">
      <c r="A200" s="15" t="s">
        <v>4745</v>
      </c>
      <c r="B200" s="15" t="s">
        <v>94</v>
      </c>
      <c r="C200" s="15"/>
      <c r="D200" s="15" t="s">
        <v>701</v>
      </c>
      <c r="E200" s="15" t="s">
        <v>2225</v>
      </c>
      <c r="F200" s="16" t="n">
        <v>160</v>
      </c>
      <c r="G200" s="15" t="n">
        <v>30</v>
      </c>
      <c r="H200" s="15" t="s">
        <v>5227</v>
      </c>
      <c r="I200" s="15" t="s">
        <v>5243</v>
      </c>
      <c r="J200" s="15" t="n">
        <v>2</v>
      </c>
      <c r="K200" s="15" t="s">
        <v>4741</v>
      </c>
      <c r="L200" s="15" t="str">
        <f aca="false">IF(K200="","No","Yes")</f>
        <v>Yes</v>
      </c>
      <c r="M200" s="18" t="str">
        <f aca="false">IF(K200="","",IFERROR(IF(ISNUMBER(SEARCH(A200,INDEX(Pages!$J$2:$J$824,MATCH(K200,Pages!$B$2:$B$824,0)))),"Yes","No"),"Page not found"))</f>
        <v>No</v>
      </c>
      <c r="N200" s="3" t="s">
        <v>5471</v>
      </c>
      <c r="O200" s="3" t="s">
        <v>5472</v>
      </c>
      <c r="P200" s="19"/>
      <c r="Q200" s="17"/>
      <c r="R200" s="17"/>
    </row>
    <row r="201" customFormat="false" ht="15" hidden="false" customHeight="false" outlineLevel="0" collapsed="false">
      <c r="A201" s="15" t="s">
        <v>3723</v>
      </c>
      <c r="B201" s="15" t="s">
        <v>74</v>
      </c>
      <c r="C201" s="15" t="s">
        <v>321</v>
      </c>
      <c r="D201" s="15" t="s">
        <v>715</v>
      </c>
      <c r="E201" s="15" t="s">
        <v>2302</v>
      </c>
      <c r="F201" s="16" t="n">
        <v>160</v>
      </c>
      <c r="G201" s="15" t="n">
        <v>43</v>
      </c>
      <c r="H201" s="15" t="s">
        <v>5227</v>
      </c>
      <c r="I201" s="15" t="s">
        <v>5444</v>
      </c>
      <c r="J201" s="15" t="n">
        <v>2</v>
      </c>
      <c r="K201" s="15" t="s">
        <v>3719</v>
      </c>
      <c r="L201" s="15" t="str">
        <f aca="false">IF(K201="","No","Yes")</f>
        <v>Yes</v>
      </c>
      <c r="M201" s="18" t="str">
        <f aca="false">IF(K201="","",IFERROR(IF(ISNUMBER(SEARCH(A201,INDEX(Pages!$J$2:$J$824,MATCH(K201,Pages!$B$2:$B$824,0)))),"Yes","No"),"Page not found"))</f>
        <v>Yes</v>
      </c>
      <c r="N201" s="3" t="s">
        <v>5426</v>
      </c>
      <c r="O201" s="3"/>
      <c r="P201" s="19"/>
      <c r="Q201" s="17"/>
      <c r="R201" s="17"/>
    </row>
    <row r="202" customFormat="false" ht="15" hidden="false" customHeight="false" outlineLevel="0" collapsed="false">
      <c r="A202" s="15" t="s">
        <v>3795</v>
      </c>
      <c r="B202" s="15" t="s">
        <v>74</v>
      </c>
      <c r="C202" s="15" t="s">
        <v>321</v>
      </c>
      <c r="D202" s="15" t="s">
        <v>715</v>
      </c>
      <c r="E202" s="15" t="s">
        <v>2386</v>
      </c>
      <c r="F202" s="16" t="n">
        <v>160</v>
      </c>
      <c r="G202" s="15" t="n">
        <v>43</v>
      </c>
      <c r="H202" s="15" t="s">
        <v>5227</v>
      </c>
      <c r="I202" s="15" t="s">
        <v>5444</v>
      </c>
      <c r="J202" s="15" t="n">
        <v>2</v>
      </c>
      <c r="K202" s="15" t="s">
        <v>3791</v>
      </c>
      <c r="L202" s="15" t="str">
        <f aca="false">IF(K202="","No","Yes")</f>
        <v>Yes</v>
      </c>
      <c r="M202" s="18" t="str">
        <f aca="false">IF(K202="","",IFERROR(IF(ISNUMBER(SEARCH(A202,INDEX(Pages!$J$2:$J$824,MATCH(K202,Pages!$B$2:$B$824,0)))),"Yes","No"),"Page not found"))</f>
        <v>Yes</v>
      </c>
      <c r="N202" s="3" t="s">
        <v>5426</v>
      </c>
      <c r="O202" s="3"/>
      <c r="P202" s="19"/>
      <c r="Q202" s="17"/>
      <c r="R202" s="17"/>
    </row>
    <row r="203" customFormat="false" ht="15" hidden="false" customHeight="false" outlineLevel="0" collapsed="false">
      <c r="A203" s="15" t="s">
        <v>4287</v>
      </c>
      <c r="B203" s="15" t="s">
        <v>86</v>
      </c>
      <c r="C203" s="15" t="s">
        <v>356</v>
      </c>
      <c r="D203" s="15" t="s">
        <v>666</v>
      </c>
      <c r="E203" s="15" t="s">
        <v>2148</v>
      </c>
      <c r="F203" s="16" t="n">
        <v>160</v>
      </c>
      <c r="G203" s="15" t="n">
        <v>32</v>
      </c>
      <c r="H203" s="15" t="s">
        <v>5227</v>
      </c>
      <c r="I203" s="15" t="s">
        <v>5392</v>
      </c>
      <c r="J203" s="15" t="n">
        <v>4</v>
      </c>
      <c r="K203" s="15" t="s">
        <v>4283</v>
      </c>
      <c r="L203" s="15" t="str">
        <f aca="false">IF(K203="","No","Yes")</f>
        <v>Yes</v>
      </c>
      <c r="M203" s="18" t="str">
        <f aca="false">IF(K203="","",IFERROR(IF(ISNUMBER(SEARCH(A203,INDEX(Pages!$J$2:$J$824,MATCH(K203,Pages!$B$2:$B$824,0)))),"Yes","No"),"Page not found"))</f>
        <v>No</v>
      </c>
      <c r="N203" s="3" t="s">
        <v>5426</v>
      </c>
      <c r="O203" s="3"/>
      <c r="P203" s="19"/>
      <c r="Q203" s="17"/>
      <c r="R203" s="17"/>
    </row>
    <row r="204" customFormat="false" ht="15" hidden="false" customHeight="false" outlineLevel="0" collapsed="false">
      <c r="A204" s="15" t="s">
        <v>4461</v>
      </c>
      <c r="B204" s="15" t="s">
        <v>86</v>
      </c>
      <c r="C204" s="15" t="s">
        <v>356</v>
      </c>
      <c r="D204" s="15" t="s">
        <v>715</v>
      </c>
      <c r="E204" s="15" t="s">
        <v>2351</v>
      </c>
      <c r="F204" s="16" t="n">
        <v>160</v>
      </c>
      <c r="G204" s="15" t="n">
        <v>40</v>
      </c>
      <c r="H204" s="15" t="s">
        <v>5227</v>
      </c>
      <c r="I204" s="15" t="s">
        <v>5392</v>
      </c>
      <c r="J204" s="15" t="n">
        <v>4</v>
      </c>
      <c r="K204" s="15" t="s">
        <v>4457</v>
      </c>
      <c r="L204" s="15" t="str">
        <f aca="false">IF(K204="","No","Yes")</f>
        <v>Yes</v>
      </c>
      <c r="M204" s="18" t="str">
        <f aca="false">IF(K204="","",IFERROR(IF(ISNUMBER(SEARCH(A204,INDEX(Pages!$J$2:$J$824,MATCH(K204,Pages!$B$2:$B$824,0)))),"Yes","No"),"Page not found"))</f>
        <v>Yes</v>
      </c>
      <c r="N204" s="3" t="s">
        <v>5426</v>
      </c>
      <c r="O204" s="3"/>
      <c r="P204" s="19"/>
      <c r="Q204" s="17"/>
      <c r="R204" s="17"/>
    </row>
    <row r="205" customFormat="false" ht="15" hidden="false" customHeight="false" outlineLevel="0" collapsed="false">
      <c r="A205" s="15" t="s">
        <v>2775</v>
      </c>
      <c r="B205" s="15" t="s">
        <v>82</v>
      </c>
      <c r="C205" s="15" t="s">
        <v>265</v>
      </c>
      <c r="D205" s="15" t="s">
        <v>722</v>
      </c>
      <c r="E205" s="15" t="s">
        <v>2414</v>
      </c>
      <c r="F205" s="16" t="n">
        <v>150</v>
      </c>
      <c r="G205" s="15" t="n">
        <v>52</v>
      </c>
      <c r="H205" s="15" t="s">
        <v>5227</v>
      </c>
      <c r="I205" s="15" t="s">
        <v>5228</v>
      </c>
      <c r="J205" s="15" t="n">
        <v>3</v>
      </c>
      <c r="K205" s="15" t="s">
        <v>2771</v>
      </c>
      <c r="L205" s="15" t="str">
        <f aca="false">IF(K205="","No","Yes")</f>
        <v>Yes</v>
      </c>
      <c r="M205" s="18" t="str">
        <f aca="false">IF(K205="","",IFERROR(IF(ISNUMBER(SEARCH(A205,INDEX(Pages!$J$2:$J$824,MATCH(K205,Pages!$B$2:$B$824,0)))),"Yes","No"),"Page not found"))</f>
        <v>Yes</v>
      </c>
      <c r="N205" s="3" t="s">
        <v>5426</v>
      </c>
      <c r="O205" s="3"/>
      <c r="P205" s="19"/>
      <c r="Q205" s="17"/>
      <c r="R205" s="17"/>
    </row>
    <row r="206" customFormat="false" ht="15" hidden="false" customHeight="false" outlineLevel="0" collapsed="false">
      <c r="A206" s="15" t="s">
        <v>3453</v>
      </c>
      <c r="B206" s="15" t="s">
        <v>84</v>
      </c>
      <c r="C206" s="15" t="s">
        <v>314</v>
      </c>
      <c r="D206" s="15" t="s">
        <v>715</v>
      </c>
      <c r="E206" s="15" t="s">
        <v>2393</v>
      </c>
      <c r="F206" s="16" t="n">
        <v>150</v>
      </c>
      <c r="G206" s="15" t="n">
        <v>52</v>
      </c>
      <c r="H206" s="15" t="s">
        <v>5227</v>
      </c>
      <c r="I206" s="15" t="s">
        <v>5392</v>
      </c>
      <c r="J206" s="15" t="n">
        <v>3</v>
      </c>
      <c r="K206" s="15" t="s">
        <v>3449</v>
      </c>
      <c r="L206" s="15" t="str">
        <f aca="false">IF(K206="","No","Yes")</f>
        <v>Yes</v>
      </c>
      <c r="M206" s="18" t="str">
        <f aca="false">IF(K206="","",IFERROR(IF(ISNUMBER(SEARCH(A206,INDEX(Pages!$J$2:$J$824,MATCH(K206,Pages!$B$2:$B$824,0)))),"Yes","No"),"Page not found"))</f>
        <v>Yes</v>
      </c>
      <c r="N206" s="3" t="s">
        <v>5212</v>
      </c>
      <c r="O206" s="3"/>
      <c r="P206" s="19"/>
      <c r="Q206" s="17"/>
      <c r="R206" s="17"/>
    </row>
    <row r="207" customFormat="false" ht="15" hidden="false" customHeight="false" outlineLevel="0" collapsed="false">
      <c r="A207" s="15" t="s">
        <v>4817</v>
      </c>
      <c r="B207" s="15" t="s">
        <v>94</v>
      </c>
      <c r="C207" s="15"/>
      <c r="D207" s="15" t="s">
        <v>715</v>
      </c>
      <c r="E207" s="15" t="s">
        <v>2295</v>
      </c>
      <c r="F207" s="16" t="n">
        <v>150</v>
      </c>
      <c r="G207" s="15" t="n">
        <v>30</v>
      </c>
      <c r="H207" s="15" t="s">
        <v>5227</v>
      </c>
      <c r="I207" s="15" t="s">
        <v>5243</v>
      </c>
      <c r="J207" s="15" t="n">
        <v>2</v>
      </c>
      <c r="K207" s="15" t="s">
        <v>4813</v>
      </c>
      <c r="L207" s="15" t="str">
        <f aca="false">IF(K207="","No","Yes")</f>
        <v>Yes</v>
      </c>
      <c r="M207" s="18" t="str">
        <f aca="false">IF(K207="","",IFERROR(IF(ISNUMBER(SEARCH(A207,INDEX(Pages!$J$2:$J$824,MATCH(K207,Pages!$B$2:$B$824,0)))),"Yes","No"),"Page not found"))</f>
        <v>No</v>
      </c>
      <c r="N207" s="3" t="s">
        <v>5471</v>
      </c>
      <c r="O207" s="3" t="s">
        <v>5472</v>
      </c>
      <c r="P207" s="19"/>
      <c r="Q207" s="17"/>
      <c r="R207" s="17"/>
    </row>
    <row r="208" customFormat="false" ht="15" hidden="false" customHeight="false" outlineLevel="0" collapsed="false">
      <c r="A208" s="15" t="s">
        <v>4377</v>
      </c>
      <c r="B208" s="15" t="s">
        <v>86</v>
      </c>
      <c r="C208" s="15" t="s">
        <v>356</v>
      </c>
      <c r="D208" s="15" t="s">
        <v>715</v>
      </c>
      <c r="E208" s="15" t="s">
        <v>2253</v>
      </c>
      <c r="F208" s="16" t="n">
        <v>150</v>
      </c>
      <c r="G208" s="15" t="n">
        <v>40</v>
      </c>
      <c r="H208" s="15" t="s">
        <v>5227</v>
      </c>
      <c r="I208" s="15" t="s">
        <v>5392</v>
      </c>
      <c r="J208" s="15" t="n">
        <v>4</v>
      </c>
      <c r="K208" s="15" t="s">
        <v>4373</v>
      </c>
      <c r="L208" s="15" t="str">
        <f aca="false">IF(K208="","No","Yes")</f>
        <v>Yes</v>
      </c>
      <c r="M208" s="18" t="str">
        <f aca="false">IF(K208="","",IFERROR(IF(ISNUMBER(SEARCH(A208,INDEX(Pages!$J$2:$J$824,MATCH(K208,Pages!$B$2:$B$824,0)))),"Yes","No"),"Page not found"))</f>
        <v>Yes</v>
      </c>
      <c r="N208" s="3" t="s">
        <v>5426</v>
      </c>
      <c r="O208" s="3"/>
      <c r="P208" s="19"/>
      <c r="Q208" s="17"/>
      <c r="R208" s="17"/>
    </row>
    <row r="209" customFormat="false" ht="15" hidden="false" customHeight="false" outlineLevel="0" collapsed="false">
      <c r="A209" s="15" t="s">
        <v>3297</v>
      </c>
      <c r="B209" s="15" t="s">
        <v>84</v>
      </c>
      <c r="C209" s="15" t="s">
        <v>314</v>
      </c>
      <c r="D209" s="15" t="s">
        <v>687</v>
      </c>
      <c r="E209" s="15" t="s">
        <v>2211</v>
      </c>
      <c r="F209" s="16" t="n">
        <v>140</v>
      </c>
      <c r="G209" s="15" t="n">
        <v>52</v>
      </c>
      <c r="H209" s="15" t="s">
        <v>5227</v>
      </c>
      <c r="I209" s="15" t="s">
        <v>5392</v>
      </c>
      <c r="J209" s="15" t="n">
        <v>3</v>
      </c>
      <c r="K209" s="15" t="s">
        <v>3293</v>
      </c>
      <c r="L209" s="15" t="str">
        <f aca="false">IF(K209="","No","Yes")</f>
        <v>Yes</v>
      </c>
      <c r="M209" s="18" t="str">
        <f aca="false">IF(K209="","",IFERROR(IF(ISNUMBER(SEARCH(A209,INDEX(Pages!$J$2:$J$824,MATCH(K209,Pages!$B$2:$B$824,0)))),"Yes","No"),"Page not found"))</f>
        <v>No</v>
      </c>
      <c r="N209" s="3" t="s">
        <v>5376</v>
      </c>
      <c r="O209" s="3"/>
      <c r="P209" s="19"/>
      <c r="Q209" s="17"/>
      <c r="R209" s="17"/>
    </row>
    <row r="210" customFormat="false" ht="23.85" hidden="false" customHeight="false" outlineLevel="0" collapsed="false">
      <c r="A210" s="15" t="s">
        <v>3435</v>
      </c>
      <c r="B210" s="15" t="s">
        <v>84</v>
      </c>
      <c r="C210" s="15" t="s">
        <v>314</v>
      </c>
      <c r="D210" s="15" t="s">
        <v>715</v>
      </c>
      <c r="E210" s="15" t="s">
        <v>2372</v>
      </c>
      <c r="F210" s="16" t="n">
        <v>140</v>
      </c>
      <c r="G210" s="15" t="n">
        <v>40</v>
      </c>
      <c r="H210" s="15" t="s">
        <v>5227</v>
      </c>
      <c r="I210" s="15" t="s">
        <v>5392</v>
      </c>
      <c r="J210" s="15" t="n">
        <v>4</v>
      </c>
      <c r="K210" s="15" t="s">
        <v>3431</v>
      </c>
      <c r="L210" s="15" t="str">
        <f aca="false">IF(K210="","No","Yes")</f>
        <v>Yes</v>
      </c>
      <c r="M210" s="18" t="str">
        <f aca="false">IF(K210="","",IFERROR(IF(ISNUMBER(SEARCH(A210,INDEX(Pages!$J$2:$J$824,MATCH(K210,Pages!$B$2:$B$824,0)))),"Yes","No"),"Page not found"))</f>
        <v>Yes</v>
      </c>
      <c r="N210" s="3" t="s">
        <v>5426</v>
      </c>
      <c r="O210" s="3" t="s">
        <v>5483</v>
      </c>
      <c r="P210" s="19"/>
      <c r="Q210" s="17"/>
      <c r="R210" s="17"/>
    </row>
    <row r="211" customFormat="false" ht="15" hidden="false" customHeight="false" outlineLevel="0" collapsed="false">
      <c r="A211" s="15" t="s">
        <v>4443</v>
      </c>
      <c r="B211" s="15" t="s">
        <v>86</v>
      </c>
      <c r="C211" s="15" t="s">
        <v>356</v>
      </c>
      <c r="D211" s="15" t="s">
        <v>715</v>
      </c>
      <c r="E211" s="15" t="s">
        <v>2330</v>
      </c>
      <c r="F211" s="16" t="n">
        <v>140</v>
      </c>
      <c r="G211" s="15" t="n">
        <v>40</v>
      </c>
      <c r="H211" s="15" t="s">
        <v>5227</v>
      </c>
      <c r="I211" s="15" t="s">
        <v>5392</v>
      </c>
      <c r="J211" s="15" t="n">
        <v>4</v>
      </c>
      <c r="K211" s="15" t="s">
        <v>4439</v>
      </c>
      <c r="L211" s="15" t="str">
        <f aca="false">IF(K211="","No","Yes")</f>
        <v>Yes</v>
      </c>
      <c r="M211" s="18" t="str">
        <f aca="false">IF(K211="","",IFERROR(IF(ISNUMBER(SEARCH(A211,INDEX(Pages!$J$2:$J$824,MATCH(K211,Pages!$B$2:$B$824,0)))),"Yes","No"),"Page not found"))</f>
        <v>Yes</v>
      </c>
      <c r="N211" s="3" t="s">
        <v>5426</v>
      </c>
      <c r="O211" s="3"/>
      <c r="P211" s="19"/>
      <c r="Q211" s="17"/>
      <c r="R211" s="17"/>
    </row>
    <row r="212" customFormat="false" ht="23.85" hidden="false" customHeight="false" outlineLevel="0" collapsed="false">
      <c r="A212" s="15" t="s">
        <v>4473</v>
      </c>
      <c r="B212" s="15" t="s">
        <v>86</v>
      </c>
      <c r="C212" s="15" t="s">
        <v>356</v>
      </c>
      <c r="D212" s="15" t="s">
        <v>715</v>
      </c>
      <c r="E212" s="15" t="s">
        <v>2365</v>
      </c>
      <c r="F212" s="16" t="n">
        <v>140</v>
      </c>
      <c r="G212" s="15" t="n">
        <v>32</v>
      </c>
      <c r="H212" s="15" t="s">
        <v>5227</v>
      </c>
      <c r="I212" s="15" t="s">
        <v>5392</v>
      </c>
      <c r="J212" s="15" t="n">
        <v>5</v>
      </c>
      <c r="K212" s="15" t="s">
        <v>4469</v>
      </c>
      <c r="L212" s="15" t="str">
        <f aca="false">IF(K212="","No","Yes")</f>
        <v>Yes</v>
      </c>
      <c r="M212" s="18" t="str">
        <f aca="false">IF(K212="","",IFERROR(IF(ISNUMBER(SEARCH(A212,INDEX(Pages!$J$2:$J$824,MATCH(K212,Pages!$B$2:$B$824,0)))),"Yes","No"),"Page not found"))</f>
        <v>Yes</v>
      </c>
      <c r="N212" s="3" t="s">
        <v>5426</v>
      </c>
      <c r="O212" s="3" t="s">
        <v>5483</v>
      </c>
      <c r="P212" s="19"/>
      <c r="Q212" s="17"/>
      <c r="R212" s="17"/>
    </row>
    <row r="213" customFormat="false" ht="15" hidden="false" customHeight="false" outlineLevel="0" collapsed="false">
      <c r="A213" s="15" t="s">
        <v>2229</v>
      </c>
      <c r="B213" s="15" t="s">
        <v>89</v>
      </c>
      <c r="C213" s="15" t="s">
        <v>258</v>
      </c>
      <c r="D213" s="15" t="s">
        <v>701</v>
      </c>
      <c r="E213" s="15" t="s">
        <v>2225</v>
      </c>
      <c r="F213" s="16" t="n">
        <v>130</v>
      </c>
      <c r="G213" s="15" t="n">
        <v>33</v>
      </c>
      <c r="H213" s="15" t="s">
        <v>5227</v>
      </c>
      <c r="I213" s="15" t="s">
        <v>5473</v>
      </c>
      <c r="J213" s="15" t="n">
        <v>2</v>
      </c>
      <c r="K213" s="15" t="s">
        <v>2224</v>
      </c>
      <c r="L213" s="15" t="str">
        <f aca="false">IF(K213="","No","Yes")</f>
        <v>Yes</v>
      </c>
      <c r="M213" s="18" t="str">
        <f aca="false">IF(K213="","",IFERROR(IF(ISNUMBER(SEARCH(A213,INDEX(Pages!$J$2:$J$824,MATCH(K213,Pages!$B$2:$B$824,0)))),"Yes","No"),"Page not found"))</f>
        <v>Yes</v>
      </c>
      <c r="N213" s="3" t="s">
        <v>5426</v>
      </c>
      <c r="O213" s="3"/>
      <c r="P213" s="19"/>
      <c r="Q213" s="17"/>
      <c r="R213" s="17"/>
    </row>
    <row r="214" customFormat="false" ht="15" hidden="false" customHeight="false" outlineLevel="0" collapsed="false">
      <c r="A214" s="15" t="s">
        <v>2299</v>
      </c>
      <c r="B214" s="15" t="s">
        <v>89</v>
      </c>
      <c r="C214" s="15" t="s">
        <v>258</v>
      </c>
      <c r="D214" s="15" t="s">
        <v>715</v>
      </c>
      <c r="E214" s="15" t="s">
        <v>2295</v>
      </c>
      <c r="F214" s="16" t="n">
        <v>130</v>
      </c>
      <c r="G214" s="15" t="n">
        <v>41</v>
      </c>
      <c r="H214" s="15" t="s">
        <v>5227</v>
      </c>
      <c r="I214" s="15" t="s">
        <v>5473</v>
      </c>
      <c r="J214" s="15" t="n">
        <v>2</v>
      </c>
      <c r="K214" s="15" t="s">
        <v>2294</v>
      </c>
      <c r="L214" s="15" t="str">
        <f aca="false">IF(K214="","No","Yes")</f>
        <v>Yes</v>
      </c>
      <c r="M214" s="18" t="str">
        <f aca="false">IF(K214="","",IFERROR(IF(ISNUMBER(SEARCH(A214,INDEX(Pages!$J$2:$J$824,MATCH(K214,Pages!$B$2:$B$824,0)))),"Yes","No"),"Page not found"))</f>
        <v>No</v>
      </c>
      <c r="N214" s="3" t="s">
        <v>5426</v>
      </c>
      <c r="O214" s="3"/>
      <c r="P214" s="19"/>
      <c r="Q214" s="17"/>
      <c r="R214" s="17"/>
    </row>
    <row r="215" customFormat="false" ht="15" hidden="false" customHeight="false" outlineLevel="0" collapsed="false">
      <c r="A215" s="15" t="s">
        <v>2565</v>
      </c>
      <c r="B215" s="15" t="s">
        <v>82</v>
      </c>
      <c r="C215" s="15" t="s">
        <v>265</v>
      </c>
      <c r="D215" s="15" t="s">
        <v>666</v>
      </c>
      <c r="E215" s="15" t="s">
        <v>2169</v>
      </c>
      <c r="F215" s="16" t="n">
        <v>130</v>
      </c>
      <c r="G215" s="15" t="n">
        <v>64</v>
      </c>
      <c r="H215" s="15" t="s">
        <v>5227</v>
      </c>
      <c r="I215" s="15" t="s">
        <v>5228</v>
      </c>
      <c r="J215" s="15" t="n">
        <v>5</v>
      </c>
      <c r="K215" s="15" t="s">
        <v>2561</v>
      </c>
      <c r="L215" s="15" t="str">
        <f aca="false">IF(K215="","No","Yes")</f>
        <v>Yes</v>
      </c>
      <c r="M215" s="18" t="str">
        <f aca="false">IF(K215="","",IFERROR(IF(ISNUMBER(SEARCH(A215,INDEX(Pages!$J$2:$J$824,MATCH(K215,Pages!$B$2:$B$824,0)))),"Yes","No"),"Page not found"))</f>
        <v>Yes</v>
      </c>
      <c r="N215" s="3" t="s">
        <v>5376</v>
      </c>
      <c r="O215" s="3" t="s">
        <v>5377</v>
      </c>
      <c r="P215" s="19"/>
      <c r="Q215" s="17"/>
      <c r="R215" s="17"/>
    </row>
    <row r="216" customFormat="false" ht="15" hidden="false" customHeight="false" outlineLevel="0" collapsed="false">
      <c r="A216" s="15" t="s">
        <v>2961</v>
      </c>
      <c r="B216" s="15" t="s">
        <v>85</v>
      </c>
      <c r="C216" s="15" t="s">
        <v>272</v>
      </c>
      <c r="D216" s="15" t="s">
        <v>701</v>
      </c>
      <c r="E216" s="15" t="s">
        <v>2225</v>
      </c>
      <c r="F216" s="16" t="n">
        <v>130</v>
      </c>
      <c r="G216" s="15" t="n">
        <v>40</v>
      </c>
      <c r="H216" s="15" t="s">
        <v>5227</v>
      </c>
      <c r="I216" s="15" t="s">
        <v>5392</v>
      </c>
      <c r="J216" s="15" t="n">
        <v>4</v>
      </c>
      <c r="K216" s="15" t="s">
        <v>2957</v>
      </c>
      <c r="L216" s="15" t="str">
        <f aca="false">IF(K216="","No","Yes")</f>
        <v>Yes</v>
      </c>
      <c r="M216" s="18" t="str">
        <f aca="false">IF(K216="","",IFERROR(IF(ISNUMBER(SEARCH(A216,INDEX(Pages!$J$2:$J$824,MATCH(K216,Pages!$B$2:$B$824,0)))),"Yes","No"),"Page not found"))</f>
        <v>Yes</v>
      </c>
      <c r="N216" s="3" t="s">
        <v>5426</v>
      </c>
      <c r="O216" s="3"/>
      <c r="P216" s="19"/>
      <c r="Q216" s="17"/>
      <c r="R216" s="17"/>
    </row>
    <row r="217" customFormat="false" ht="15" hidden="false" customHeight="false" outlineLevel="0" collapsed="false">
      <c r="A217" s="15" t="s">
        <v>3021</v>
      </c>
      <c r="B217" s="15" t="s">
        <v>85</v>
      </c>
      <c r="C217" s="15" t="s">
        <v>272</v>
      </c>
      <c r="D217" s="15" t="s">
        <v>715</v>
      </c>
      <c r="E217" s="15" t="s">
        <v>2295</v>
      </c>
      <c r="F217" s="16" t="n">
        <v>130</v>
      </c>
      <c r="G217" s="15" t="n">
        <v>48</v>
      </c>
      <c r="H217" s="15" t="s">
        <v>5227</v>
      </c>
      <c r="I217" s="15" t="s">
        <v>5392</v>
      </c>
      <c r="J217" s="15" t="n">
        <v>4</v>
      </c>
      <c r="K217" s="15" t="s">
        <v>3017</v>
      </c>
      <c r="L217" s="15" t="str">
        <f aca="false">IF(K217="","No","Yes")</f>
        <v>Yes</v>
      </c>
      <c r="M217" s="18" t="str">
        <f aca="false">IF(K217="","",IFERROR(IF(ISNUMBER(SEARCH(A217,INDEX(Pages!$J$2:$J$824,MATCH(K217,Pages!$B$2:$B$824,0)))),"Yes","No"),"Page not found"))</f>
        <v>No</v>
      </c>
      <c r="N217" s="3" t="s">
        <v>5426</v>
      </c>
      <c r="O217" s="3"/>
      <c r="P217" s="19"/>
      <c r="Q217" s="17"/>
      <c r="R217" s="17"/>
    </row>
    <row r="218" customFormat="false" ht="15" hidden="false" customHeight="false" outlineLevel="0" collapsed="false">
      <c r="A218" s="15" t="s">
        <v>3483</v>
      </c>
      <c r="B218" s="15" t="s">
        <v>84</v>
      </c>
      <c r="C218" s="15" t="s">
        <v>314</v>
      </c>
      <c r="D218" s="15" t="s">
        <v>729</v>
      </c>
      <c r="E218" s="15" t="s">
        <v>2428</v>
      </c>
      <c r="F218" s="16" t="n">
        <v>130</v>
      </c>
      <c r="G218" s="15" t="n">
        <v>52</v>
      </c>
      <c r="H218" s="15" t="s">
        <v>5227</v>
      </c>
      <c r="I218" s="15" t="s">
        <v>5392</v>
      </c>
      <c r="J218" s="15" t="n">
        <v>5</v>
      </c>
      <c r="K218" s="15" t="s">
        <v>3479</v>
      </c>
      <c r="L218" s="15" t="str">
        <f aca="false">IF(K218="","No","Yes")</f>
        <v>Yes</v>
      </c>
      <c r="M218" s="18" t="str">
        <f aca="false">IF(K218="","",IFERROR(IF(ISNUMBER(SEARCH(A218,INDEX(Pages!$J$2:$J$824,MATCH(K218,Pages!$B$2:$B$824,0)))),"Yes","No"),"Page not found"))</f>
        <v>Yes</v>
      </c>
      <c r="N218" s="3" t="s">
        <v>5408</v>
      </c>
      <c r="O218" s="3" t="s">
        <v>5427</v>
      </c>
      <c r="P218" s="19"/>
      <c r="Q218" s="17"/>
      <c r="R218" s="17"/>
    </row>
    <row r="219" customFormat="false" ht="15" hidden="false" customHeight="false" outlineLevel="0" collapsed="false">
      <c r="A219" s="15" t="s">
        <v>3201</v>
      </c>
      <c r="B219" s="15" t="s">
        <v>84</v>
      </c>
      <c r="C219" s="15" t="s">
        <v>314</v>
      </c>
      <c r="D219" s="15" t="s">
        <v>657</v>
      </c>
      <c r="E219" s="15" t="s">
        <v>2099</v>
      </c>
      <c r="F219" s="16" t="n">
        <v>130</v>
      </c>
      <c r="G219" s="15" t="n">
        <v>40</v>
      </c>
      <c r="H219" s="15" t="s">
        <v>5227</v>
      </c>
      <c r="I219" s="15" t="s">
        <v>5392</v>
      </c>
      <c r="J219" s="15" t="n">
        <v>3</v>
      </c>
      <c r="K219" s="15" t="s">
        <v>3197</v>
      </c>
      <c r="L219" s="15" t="str">
        <f aca="false">IF(K219="","No","Yes")</f>
        <v>Yes</v>
      </c>
      <c r="M219" s="18" t="str">
        <f aca="false">IF(K219="","",IFERROR(IF(ISNUMBER(SEARCH(A219,INDEX(Pages!$J$2:$J$824,MATCH(K219,Pages!$B$2:$B$824,0)))),"Yes","No"),"Page not found"))</f>
        <v>Yes</v>
      </c>
      <c r="N219" s="3" t="s">
        <v>5426</v>
      </c>
      <c r="O219" s="3"/>
      <c r="P219" s="19"/>
      <c r="Q219" s="17"/>
      <c r="R219" s="17"/>
    </row>
    <row r="220" customFormat="false" ht="23.85" hidden="false" customHeight="false" outlineLevel="0" collapsed="false">
      <c r="A220" s="15" t="s">
        <v>3411</v>
      </c>
      <c r="B220" s="15" t="s">
        <v>84</v>
      </c>
      <c r="C220" s="15" t="s">
        <v>314</v>
      </c>
      <c r="D220" s="15" t="s">
        <v>715</v>
      </c>
      <c r="E220" s="15" t="s">
        <v>2344</v>
      </c>
      <c r="F220" s="16" t="n">
        <v>130</v>
      </c>
      <c r="G220" s="15" t="n">
        <v>40</v>
      </c>
      <c r="H220" s="15" t="s">
        <v>5227</v>
      </c>
      <c r="I220" s="15" t="s">
        <v>5392</v>
      </c>
      <c r="J220" s="15" t="n">
        <v>4</v>
      </c>
      <c r="K220" s="15" t="s">
        <v>3407</v>
      </c>
      <c r="L220" s="15" t="str">
        <f aca="false">IF(K220="","No","Yes")</f>
        <v>Yes</v>
      </c>
      <c r="M220" s="18" t="str">
        <f aca="false">IF(K220="","",IFERROR(IF(ISNUMBER(SEARCH(A220,INDEX(Pages!$J$2:$J$824,MATCH(K220,Pages!$B$2:$B$824,0)))),"Yes","No"),"Page not found"))</f>
        <v>Yes</v>
      </c>
      <c r="N220" s="3" t="s">
        <v>5426</v>
      </c>
      <c r="O220" s="3" t="s">
        <v>5483</v>
      </c>
      <c r="P220" s="19"/>
      <c r="Q220" s="17"/>
      <c r="R220" s="17"/>
    </row>
    <row r="221" customFormat="false" ht="15" hidden="false" customHeight="false" outlineLevel="0" collapsed="false">
      <c r="A221" s="15" t="s">
        <v>3207</v>
      </c>
      <c r="B221" s="15" t="s">
        <v>84</v>
      </c>
      <c r="C221" s="15" t="s">
        <v>314</v>
      </c>
      <c r="D221" s="15" t="s">
        <v>657</v>
      </c>
      <c r="E221" s="15" t="s">
        <v>2106</v>
      </c>
      <c r="F221" s="16" t="n">
        <v>130</v>
      </c>
      <c r="G221" s="15" t="n">
        <v>40</v>
      </c>
      <c r="H221" s="15" t="s">
        <v>5227</v>
      </c>
      <c r="I221" s="15" t="s">
        <v>5392</v>
      </c>
      <c r="J221" s="15" t="n">
        <v>3</v>
      </c>
      <c r="K221" s="15" t="s">
        <v>3203</v>
      </c>
      <c r="L221" s="15" t="str">
        <f aca="false">IF(K221="","No","Yes")</f>
        <v>Yes</v>
      </c>
      <c r="M221" s="18" t="str">
        <f aca="false">IF(K221="","",IFERROR(IF(ISNUMBER(SEARCH(A221,INDEX(Pages!$J$2:$J$824,MATCH(K221,Pages!$B$2:$B$824,0)))),"Yes","No"),"Page not found"))</f>
        <v>Yes</v>
      </c>
      <c r="N221" s="3" t="s">
        <v>5426</v>
      </c>
      <c r="O221" s="3"/>
      <c r="P221" s="19"/>
      <c r="Q221" s="17"/>
      <c r="R221" s="17"/>
    </row>
    <row r="222" customFormat="false" ht="23.85" hidden="false" customHeight="false" outlineLevel="0" collapsed="false">
      <c r="A222" s="15" t="s">
        <v>5439</v>
      </c>
      <c r="B222" s="15" t="s">
        <v>82</v>
      </c>
      <c r="C222" s="15" t="s">
        <v>265</v>
      </c>
      <c r="D222" s="15" t="s">
        <v>715</v>
      </c>
      <c r="E222" s="15" t="s">
        <v>2407</v>
      </c>
      <c r="F222" s="16" t="n">
        <v>130</v>
      </c>
      <c r="G222" s="15" t="n">
        <v>71</v>
      </c>
      <c r="H222" s="15" t="s">
        <v>5177</v>
      </c>
      <c r="I222" s="15" t="s">
        <v>5228</v>
      </c>
      <c r="J222" s="15" t="n">
        <v>4</v>
      </c>
      <c r="K222" s="15" t="s">
        <v>2765</v>
      </c>
      <c r="L222" s="15" t="str">
        <f aca="false">IF(K222="","No","Yes")</f>
        <v>Yes</v>
      </c>
      <c r="M222" s="18" t="str">
        <f aca="false">IF(K222="","",IFERROR(IF(ISNUMBER(SEARCH(A222,INDEX(Pages!$J$2:$J$824,MATCH(K222,Pages!$B$2:$B$824,0)))),"Yes","No"),"Page not found"))</f>
        <v>No</v>
      </c>
      <c r="N222" s="3" t="s">
        <v>5182</v>
      </c>
      <c r="O222" s="3" t="s">
        <v>5234</v>
      </c>
      <c r="P222" s="19"/>
      <c r="Q222" s="17"/>
      <c r="R222" s="17"/>
    </row>
    <row r="223" customFormat="false" ht="15" hidden="false" customHeight="false" outlineLevel="0" collapsed="false">
      <c r="A223" s="15" t="s">
        <v>4823</v>
      </c>
      <c r="B223" s="15" t="s">
        <v>94</v>
      </c>
      <c r="C223" s="15"/>
      <c r="D223" s="15" t="s">
        <v>715</v>
      </c>
      <c r="E223" s="15" t="s">
        <v>2302</v>
      </c>
      <c r="F223" s="16" t="n">
        <v>130</v>
      </c>
      <c r="G223" s="15" t="n">
        <v>30</v>
      </c>
      <c r="H223" s="15" t="s">
        <v>5227</v>
      </c>
      <c r="I223" s="15" t="s">
        <v>5243</v>
      </c>
      <c r="J223" s="15" t="n">
        <v>3</v>
      </c>
      <c r="K223" s="15" t="s">
        <v>4819</v>
      </c>
      <c r="L223" s="15" t="str">
        <f aca="false">IF(K223="","No","Yes")</f>
        <v>Yes</v>
      </c>
      <c r="M223" s="18" t="str">
        <f aca="false">IF(K223="","",IFERROR(IF(ISNUMBER(SEARCH(A223,INDEX(Pages!$J$2:$J$824,MATCH(K223,Pages!$B$2:$B$824,0)))),"Yes","No"),"Page not found"))</f>
        <v>No</v>
      </c>
      <c r="N223" s="3" t="s">
        <v>5471</v>
      </c>
      <c r="O223" s="3" t="s">
        <v>5472</v>
      </c>
      <c r="P223" s="19"/>
      <c r="Q223" s="17"/>
      <c r="R223" s="17"/>
    </row>
    <row r="224" customFormat="false" ht="15" hidden="false" customHeight="false" outlineLevel="0" collapsed="false">
      <c r="A224" s="15" t="s">
        <v>3567</v>
      </c>
      <c r="B224" s="15" t="s">
        <v>74</v>
      </c>
      <c r="C224" s="15" t="s">
        <v>321</v>
      </c>
      <c r="D224" s="15" t="s">
        <v>666</v>
      </c>
      <c r="E224" s="15" t="s">
        <v>2120</v>
      </c>
      <c r="F224" s="16" t="n">
        <v>130</v>
      </c>
      <c r="G224" s="15" t="n">
        <v>35</v>
      </c>
      <c r="H224" s="15" t="s">
        <v>5227</v>
      </c>
      <c r="I224" s="15" t="s">
        <v>5444</v>
      </c>
      <c r="J224" s="15" t="n">
        <v>2</v>
      </c>
      <c r="K224" s="15" t="s">
        <v>3563</v>
      </c>
      <c r="L224" s="15" t="str">
        <f aca="false">IF(K224="","No","Yes")</f>
        <v>Yes</v>
      </c>
      <c r="M224" s="18" t="str">
        <f aca="false">IF(K224="","",IFERROR(IF(ISNUMBER(SEARCH(A224,INDEX(Pages!$J$2:$J$824,MATCH(K224,Pages!$B$2:$B$824,0)))),"Yes","No"),"Page not found"))</f>
        <v>Yes</v>
      </c>
      <c r="N224" s="3" t="s">
        <v>5426</v>
      </c>
      <c r="O224" s="3"/>
      <c r="P224" s="19"/>
      <c r="Q224" s="17"/>
      <c r="R224" s="17"/>
    </row>
    <row r="225" customFormat="false" ht="15" hidden="false" customHeight="false" outlineLevel="0" collapsed="false">
      <c r="A225" s="15" t="s">
        <v>3711</v>
      </c>
      <c r="B225" s="15" t="s">
        <v>74</v>
      </c>
      <c r="C225" s="15" t="s">
        <v>321</v>
      </c>
      <c r="D225" s="15" t="s">
        <v>715</v>
      </c>
      <c r="E225" s="15" t="s">
        <v>2288</v>
      </c>
      <c r="F225" s="16" t="n">
        <v>130</v>
      </c>
      <c r="G225" s="15" t="n">
        <v>43</v>
      </c>
      <c r="H225" s="15" t="s">
        <v>5227</v>
      </c>
      <c r="I225" s="15" t="s">
        <v>5444</v>
      </c>
      <c r="J225" s="15" t="n">
        <v>2</v>
      </c>
      <c r="K225" s="15" t="s">
        <v>3707</v>
      </c>
      <c r="L225" s="15" t="str">
        <f aca="false">IF(K225="","No","Yes")</f>
        <v>Yes</v>
      </c>
      <c r="M225" s="18" t="str">
        <f aca="false">IF(K225="","",IFERROR(IF(ISNUMBER(SEARCH(A225,INDEX(Pages!$J$2:$J$824,MATCH(K225,Pages!$B$2:$B$824,0)))),"Yes","No"),"Page not found"))</f>
        <v>Yes</v>
      </c>
      <c r="N225" s="3" t="s">
        <v>5426</v>
      </c>
      <c r="O225" s="3"/>
      <c r="P225" s="19"/>
      <c r="Q225" s="17"/>
      <c r="R225" s="17"/>
    </row>
    <row r="226" customFormat="false" ht="15" hidden="false" customHeight="false" outlineLevel="0" collapsed="false">
      <c r="A226" s="15" t="s">
        <v>3867</v>
      </c>
      <c r="B226" s="15" t="s">
        <v>74</v>
      </c>
      <c r="C226" s="15" t="s">
        <v>321</v>
      </c>
      <c r="D226" s="15" t="s">
        <v>736</v>
      </c>
      <c r="E226" s="15" t="s">
        <v>2470</v>
      </c>
      <c r="F226" s="16" t="n">
        <v>130</v>
      </c>
      <c r="G226" s="15" t="n">
        <v>35</v>
      </c>
      <c r="H226" s="15" t="s">
        <v>5227</v>
      </c>
      <c r="I226" s="15" t="s">
        <v>5444</v>
      </c>
      <c r="J226" s="15" t="n">
        <v>2</v>
      </c>
      <c r="K226" s="15" t="s">
        <v>3863</v>
      </c>
      <c r="L226" s="15" t="str">
        <f aca="false">IF(K226="","No","Yes")</f>
        <v>Yes</v>
      </c>
      <c r="M226" s="18" t="str">
        <f aca="false">IF(K226="","",IFERROR(IF(ISNUMBER(SEARCH(A226,INDEX(Pages!$J$2:$J$824,MATCH(K226,Pages!$B$2:$B$824,0)))),"Yes","No"),"Page not found"))</f>
        <v>Yes</v>
      </c>
      <c r="N226" s="3" t="s">
        <v>5426</v>
      </c>
      <c r="O226" s="3"/>
      <c r="P226" s="19"/>
      <c r="Q226" s="17"/>
      <c r="R226" s="17"/>
    </row>
    <row r="227" customFormat="false" ht="15" hidden="false" customHeight="false" outlineLevel="0" collapsed="false">
      <c r="A227" s="15" t="s">
        <v>4257</v>
      </c>
      <c r="B227" s="15" t="s">
        <v>86</v>
      </c>
      <c r="C227" s="15" t="s">
        <v>356</v>
      </c>
      <c r="D227" s="15" t="s">
        <v>666</v>
      </c>
      <c r="E227" s="15" t="s">
        <v>2113</v>
      </c>
      <c r="F227" s="16" t="n">
        <v>130</v>
      </c>
      <c r="G227" s="15" t="n">
        <v>32</v>
      </c>
      <c r="H227" s="15" t="s">
        <v>5227</v>
      </c>
      <c r="I227" s="15" t="s">
        <v>5392</v>
      </c>
      <c r="J227" s="15" t="n">
        <v>4</v>
      </c>
      <c r="K227" s="15" t="s">
        <v>4253</v>
      </c>
      <c r="L227" s="15" t="str">
        <f aca="false">IF(K227="","No","Yes")</f>
        <v>Yes</v>
      </c>
      <c r="M227" s="18" t="str">
        <f aca="false">IF(K227="","",IFERROR(IF(ISNUMBER(SEARCH(A227,INDEX(Pages!$J$2:$J$824,MATCH(K227,Pages!$B$2:$B$824,0)))),"Yes","No"),"Page not found"))</f>
        <v>Yes</v>
      </c>
      <c r="N227" s="3" t="s">
        <v>5426</v>
      </c>
      <c r="O227" s="3"/>
      <c r="P227" s="19"/>
      <c r="Q227" s="17"/>
      <c r="R227" s="17"/>
    </row>
    <row r="228" customFormat="false" ht="15" hidden="false" customHeight="false" outlineLevel="0" collapsed="false">
      <c r="A228" s="15" t="s">
        <v>2446</v>
      </c>
      <c r="B228" s="15" t="s">
        <v>89</v>
      </c>
      <c r="C228" s="15" t="s">
        <v>258</v>
      </c>
      <c r="D228" s="15" t="s">
        <v>729</v>
      </c>
      <c r="E228" s="15" t="s">
        <v>2442</v>
      </c>
      <c r="F228" s="16" t="n">
        <v>120</v>
      </c>
      <c r="G228" s="15" t="n">
        <v>33</v>
      </c>
      <c r="H228" s="15" t="s">
        <v>5227</v>
      </c>
      <c r="I228" s="15" t="s">
        <v>5473</v>
      </c>
      <c r="J228" s="15" t="n">
        <v>3</v>
      </c>
      <c r="K228" s="15" t="s">
        <v>2441</v>
      </c>
      <c r="L228" s="15" t="str">
        <f aca="false">IF(K228="","No","Yes")</f>
        <v>Yes</v>
      </c>
      <c r="M228" s="18" t="str">
        <f aca="false">IF(K228="","",IFERROR(IF(ISNUMBER(SEARCH(A228,INDEX(Pages!$J$2:$J$824,MATCH(K228,Pages!$B$2:$B$824,0)))),"Yes","No"),"Page not found"))</f>
        <v>Yes</v>
      </c>
      <c r="N228" s="3" t="s">
        <v>5426</v>
      </c>
      <c r="O228" s="3" t="s">
        <v>5427</v>
      </c>
      <c r="P228" s="19"/>
      <c r="Q228" s="17"/>
      <c r="R228" s="17"/>
    </row>
    <row r="229" customFormat="false" ht="23.85" hidden="false" customHeight="false" outlineLevel="0" collapsed="false">
      <c r="A229" s="15" t="s">
        <v>2811</v>
      </c>
      <c r="B229" s="15" t="s">
        <v>82</v>
      </c>
      <c r="C229" s="15" t="s">
        <v>265</v>
      </c>
      <c r="D229" s="15" t="s">
        <v>729</v>
      </c>
      <c r="E229" s="15" t="s">
        <v>2456</v>
      </c>
      <c r="F229" s="16" t="n">
        <v>120</v>
      </c>
      <c r="G229" s="15" t="n">
        <v>44</v>
      </c>
      <c r="H229" s="15" t="s">
        <v>5227</v>
      </c>
      <c r="I229" s="15" t="s">
        <v>5228</v>
      </c>
      <c r="J229" s="15" t="n">
        <v>5</v>
      </c>
      <c r="K229" s="15" t="s">
        <v>2807</v>
      </c>
      <c r="L229" s="15" t="str">
        <f aca="false">IF(K229="","No","Yes")</f>
        <v>Yes</v>
      </c>
      <c r="M229" s="18" t="str">
        <f aca="false">IF(K229="","",IFERROR(IF(ISNUMBER(SEARCH(A229,INDEX(Pages!$J$2:$J$824,MATCH(K229,Pages!$B$2:$B$824,0)))),"Yes","No"),"Page not found"))</f>
        <v>Yes</v>
      </c>
      <c r="N229" s="3" t="s">
        <v>5426</v>
      </c>
      <c r="O229" s="3" t="s">
        <v>5497</v>
      </c>
      <c r="P229" s="19"/>
      <c r="Q229" s="17"/>
      <c r="R229" s="17"/>
    </row>
    <row r="230" customFormat="false" ht="15" hidden="false" customHeight="false" outlineLevel="0" collapsed="false">
      <c r="A230" s="15" t="s">
        <v>5480</v>
      </c>
      <c r="B230" s="15" t="s">
        <v>82</v>
      </c>
      <c r="C230" s="15" t="s">
        <v>265</v>
      </c>
      <c r="D230" s="15" t="s">
        <v>687</v>
      </c>
      <c r="E230" s="15" t="s">
        <v>2211</v>
      </c>
      <c r="F230" s="16" t="n">
        <v>120</v>
      </c>
      <c r="G230" s="15" t="n">
        <v>59</v>
      </c>
      <c r="H230" s="15" t="s">
        <v>5169</v>
      </c>
      <c r="I230" s="15" t="s">
        <v>5228</v>
      </c>
      <c r="J230" s="15" t="n">
        <v>4</v>
      </c>
      <c r="K230" s="15" t="s">
        <v>2597</v>
      </c>
      <c r="L230" s="15" t="str">
        <f aca="false">IF(K230="","No","Yes")</f>
        <v>Yes</v>
      </c>
      <c r="M230" s="18" t="str">
        <f aca="false">IF(K230="","",IFERROR(IF(ISNUMBER(SEARCH(A230,INDEX(Pages!$J$2:$J$824,MATCH(K230,Pages!$B$2:$B$824,0)))),"Yes","No"),"Page not found"))</f>
        <v>No</v>
      </c>
      <c r="N230" s="3" t="s">
        <v>5376</v>
      </c>
      <c r="O230" s="3" t="s">
        <v>5232</v>
      </c>
      <c r="P230" s="19"/>
      <c r="Q230" s="17"/>
      <c r="R230" s="17"/>
    </row>
    <row r="231" customFormat="false" ht="15" hidden="false" customHeight="false" outlineLevel="0" collapsed="false">
      <c r="A231" s="15" t="s">
        <v>3147</v>
      </c>
      <c r="B231" s="15" t="s">
        <v>85</v>
      </c>
      <c r="C231" s="15" t="s">
        <v>272</v>
      </c>
      <c r="D231" s="15" t="s">
        <v>729</v>
      </c>
      <c r="E231" s="15" t="s">
        <v>2442</v>
      </c>
      <c r="F231" s="16" t="n">
        <v>120</v>
      </c>
      <c r="G231" s="15" t="n">
        <v>40</v>
      </c>
      <c r="H231" s="15" t="s">
        <v>5227</v>
      </c>
      <c r="I231" s="15" t="s">
        <v>5392</v>
      </c>
      <c r="J231" s="15" t="n">
        <v>5</v>
      </c>
      <c r="K231" s="15" t="s">
        <v>3143</v>
      </c>
      <c r="L231" s="15" t="str">
        <f aca="false">IF(K231="","No","Yes")</f>
        <v>Yes</v>
      </c>
      <c r="M231" s="18" t="str">
        <f aca="false">IF(K231="","",IFERROR(IF(ISNUMBER(SEARCH(A231,INDEX(Pages!$J$2:$J$824,MATCH(K231,Pages!$B$2:$B$824,0)))),"Yes","No"),"Page not found"))</f>
        <v>Yes</v>
      </c>
      <c r="N231" s="3" t="s">
        <v>5426</v>
      </c>
      <c r="O231" s="3" t="s">
        <v>5427</v>
      </c>
      <c r="P231" s="19"/>
      <c r="Q231" s="17"/>
      <c r="R231" s="17"/>
    </row>
    <row r="232" customFormat="false" ht="15" hidden="false" customHeight="false" outlineLevel="0" collapsed="false">
      <c r="A232" s="15" t="s">
        <v>3261</v>
      </c>
      <c r="B232" s="15" t="s">
        <v>84</v>
      </c>
      <c r="C232" s="15" t="s">
        <v>314</v>
      </c>
      <c r="D232" s="15" t="s">
        <v>666</v>
      </c>
      <c r="E232" s="15" t="s">
        <v>2169</v>
      </c>
      <c r="F232" s="16" t="n">
        <v>120</v>
      </c>
      <c r="G232" s="15" t="n">
        <v>52</v>
      </c>
      <c r="H232" s="15" t="s">
        <v>5227</v>
      </c>
      <c r="I232" s="15" t="s">
        <v>5392</v>
      </c>
      <c r="J232" s="15" t="n">
        <v>4</v>
      </c>
      <c r="K232" s="15" t="s">
        <v>3257</v>
      </c>
      <c r="L232" s="15" t="str">
        <f aca="false">IF(K232="","No","Yes")</f>
        <v>Yes</v>
      </c>
      <c r="M232" s="18" t="str">
        <f aca="false">IF(K232="","",IFERROR(IF(ISNUMBER(SEARCH(A232,INDEX(Pages!$J$2:$J$824,MATCH(K232,Pages!$B$2:$B$824,0)))),"Yes","No"),"Page not found"))</f>
        <v>Yes</v>
      </c>
      <c r="N232" s="3" t="s">
        <v>5376</v>
      </c>
      <c r="O232" s="3"/>
      <c r="P232" s="19"/>
      <c r="Q232" s="17"/>
      <c r="R232" s="17"/>
    </row>
    <row r="233" customFormat="false" ht="15" hidden="false" customHeight="false" outlineLevel="0" collapsed="false">
      <c r="A233" s="15" t="s">
        <v>4895</v>
      </c>
      <c r="B233" s="15" t="s">
        <v>94</v>
      </c>
      <c r="C233" s="15"/>
      <c r="D233" s="15" t="s">
        <v>715</v>
      </c>
      <c r="E233" s="15" t="s">
        <v>2386</v>
      </c>
      <c r="F233" s="16" t="n">
        <v>120</v>
      </c>
      <c r="G233" s="15" t="n">
        <v>30</v>
      </c>
      <c r="H233" s="15" t="s">
        <v>5227</v>
      </c>
      <c r="I233" s="15" t="s">
        <v>5243</v>
      </c>
      <c r="J233" s="15" t="n">
        <v>3</v>
      </c>
      <c r="K233" s="15" t="s">
        <v>4891</v>
      </c>
      <c r="L233" s="15" t="str">
        <f aca="false">IF(K233="","No","Yes")</f>
        <v>Yes</v>
      </c>
      <c r="M233" s="18" t="str">
        <f aca="false">IF(K233="","",IFERROR(IF(ISNUMBER(SEARCH(A233,INDEX(Pages!$J$2:$J$824,MATCH(K233,Pages!$B$2:$B$824,0)))),"Yes","No"),"Page not found"))</f>
        <v>No</v>
      </c>
      <c r="N233" s="3" t="s">
        <v>5471</v>
      </c>
      <c r="O233" s="3" t="s">
        <v>5472</v>
      </c>
      <c r="P233" s="19"/>
      <c r="Q233" s="17"/>
      <c r="R233" s="17"/>
    </row>
    <row r="234" customFormat="false" ht="15" hidden="false" customHeight="false" outlineLevel="0" collapsed="false">
      <c r="A234" s="15" t="s">
        <v>3861</v>
      </c>
      <c r="B234" s="15" t="s">
        <v>74</v>
      </c>
      <c r="C234" s="15" t="s">
        <v>321</v>
      </c>
      <c r="D234" s="15" t="s">
        <v>736</v>
      </c>
      <c r="E234" s="15" t="s">
        <v>2463</v>
      </c>
      <c r="F234" s="16" t="n">
        <v>120</v>
      </c>
      <c r="G234" s="15" t="n">
        <v>35</v>
      </c>
      <c r="H234" s="15" t="s">
        <v>5227</v>
      </c>
      <c r="I234" s="15" t="s">
        <v>5444</v>
      </c>
      <c r="J234" s="15" t="n">
        <v>2</v>
      </c>
      <c r="K234" s="15" t="s">
        <v>3857</v>
      </c>
      <c r="L234" s="15" t="str">
        <f aca="false">IF(K234="","No","Yes")</f>
        <v>Yes</v>
      </c>
      <c r="M234" s="18" t="str">
        <f aca="false">IF(K234="","",IFERROR(IF(ISNUMBER(SEARCH(A234,INDEX(Pages!$J$2:$J$824,MATCH(K234,Pages!$B$2:$B$824,0)))),"Yes","No"),"Page not found"))</f>
        <v>Yes</v>
      </c>
      <c r="N234" s="3" t="s">
        <v>5426</v>
      </c>
      <c r="O234" s="3"/>
      <c r="P234" s="19"/>
      <c r="Q234" s="17"/>
      <c r="R234" s="17"/>
    </row>
    <row r="235" customFormat="false" ht="23.85" hidden="false" customHeight="false" outlineLevel="0" collapsed="false">
      <c r="A235" s="15" t="s">
        <v>3813</v>
      </c>
      <c r="B235" s="15" t="s">
        <v>74</v>
      </c>
      <c r="C235" s="15" t="s">
        <v>321</v>
      </c>
      <c r="D235" s="15" t="s">
        <v>715</v>
      </c>
      <c r="E235" s="15" t="s">
        <v>2407</v>
      </c>
      <c r="F235" s="16" t="n">
        <v>120</v>
      </c>
      <c r="G235" s="15" t="n">
        <v>47</v>
      </c>
      <c r="H235" s="15" t="s">
        <v>5227</v>
      </c>
      <c r="I235" s="15" t="s">
        <v>5444</v>
      </c>
      <c r="J235" s="15" t="n">
        <v>2</v>
      </c>
      <c r="K235" s="15" t="s">
        <v>3809</v>
      </c>
      <c r="L235" s="15" t="str">
        <f aca="false">IF(K235="","No","Yes")</f>
        <v>Yes</v>
      </c>
      <c r="M235" s="18" t="str">
        <f aca="false">IF(K235="","",IFERROR(IF(ISNUMBER(SEARCH(A235,INDEX(Pages!$J$2:$J$824,MATCH(K235,Pages!$B$2:$B$824,0)))),"Yes","No"),"Page not found"))</f>
        <v>Yes</v>
      </c>
      <c r="N235" s="3" t="s">
        <v>5488</v>
      </c>
      <c r="O235" s="3" t="s">
        <v>5230</v>
      </c>
      <c r="P235" s="19"/>
      <c r="Q235" s="17"/>
      <c r="R235" s="17"/>
    </row>
    <row r="236" customFormat="false" ht="15" hidden="false" customHeight="false" outlineLevel="0" collapsed="false">
      <c r="A236" s="15" t="s">
        <v>4365</v>
      </c>
      <c r="B236" s="15" t="s">
        <v>86</v>
      </c>
      <c r="C236" s="15" t="s">
        <v>356</v>
      </c>
      <c r="D236" s="15" t="s">
        <v>715</v>
      </c>
      <c r="E236" s="15" t="s">
        <v>2239</v>
      </c>
      <c r="F236" s="16" t="n">
        <v>120</v>
      </c>
      <c r="G236" s="15" t="n">
        <v>40</v>
      </c>
      <c r="H236" s="15" t="s">
        <v>5227</v>
      </c>
      <c r="I236" s="15" t="s">
        <v>5392</v>
      </c>
      <c r="J236" s="15" t="n">
        <v>5</v>
      </c>
      <c r="K236" s="15" t="s">
        <v>4361</v>
      </c>
      <c r="L236" s="15" t="str">
        <f aca="false">IF(K236="","No","Yes")</f>
        <v>Yes</v>
      </c>
      <c r="M236" s="18" t="str">
        <f aca="false">IF(K236="","",IFERROR(IF(ISNUMBER(SEARCH(A236,INDEX(Pages!$J$2:$J$824,MATCH(K236,Pages!$B$2:$B$824,0)))),"Yes","No"),"Page not found"))</f>
        <v>Yes</v>
      </c>
      <c r="N236" s="3" t="s">
        <v>5426</v>
      </c>
      <c r="O236" s="3"/>
      <c r="P236" s="19"/>
      <c r="Q236" s="17"/>
      <c r="R236" s="17"/>
    </row>
    <row r="237" customFormat="false" ht="23.85" hidden="false" customHeight="false" outlineLevel="0" collapsed="false">
      <c r="A237" s="15" t="s">
        <v>4383</v>
      </c>
      <c r="B237" s="15" t="s">
        <v>86</v>
      </c>
      <c r="C237" s="15" t="s">
        <v>356</v>
      </c>
      <c r="D237" s="15" t="s">
        <v>715</v>
      </c>
      <c r="E237" s="15" t="s">
        <v>2260</v>
      </c>
      <c r="F237" s="16" t="n">
        <v>120</v>
      </c>
      <c r="G237" s="15" t="n">
        <v>32</v>
      </c>
      <c r="H237" s="15" t="s">
        <v>5227</v>
      </c>
      <c r="I237" s="15" t="s">
        <v>5392</v>
      </c>
      <c r="J237" s="15" t="n">
        <v>5</v>
      </c>
      <c r="K237" s="15" t="s">
        <v>4379</v>
      </c>
      <c r="L237" s="15" t="str">
        <f aca="false">IF(K237="","No","Yes")</f>
        <v>Yes</v>
      </c>
      <c r="M237" s="18" t="str">
        <f aca="false">IF(K237="","",IFERROR(IF(ISNUMBER(SEARCH(A237,INDEX(Pages!$J$2:$J$824,MATCH(K237,Pages!$B$2:$B$824,0)))),"Yes","No"),"Page not found"))</f>
        <v>Yes</v>
      </c>
      <c r="N237" s="3" t="s">
        <v>5426</v>
      </c>
      <c r="O237" s="3" t="s">
        <v>5483</v>
      </c>
      <c r="P237" s="19"/>
      <c r="Q237" s="17"/>
      <c r="R237" s="17"/>
    </row>
    <row r="238" customFormat="false" ht="15" hidden="false" customHeight="false" outlineLevel="0" collapsed="false">
      <c r="A238" s="15" t="s">
        <v>4269</v>
      </c>
      <c r="B238" s="15" t="s">
        <v>86</v>
      </c>
      <c r="C238" s="15" t="s">
        <v>356</v>
      </c>
      <c r="D238" s="15" t="s">
        <v>666</v>
      </c>
      <c r="E238" s="15" t="s">
        <v>2127</v>
      </c>
      <c r="F238" s="16" t="n">
        <v>120</v>
      </c>
      <c r="G238" s="15" t="n">
        <v>32</v>
      </c>
      <c r="H238" s="15" t="s">
        <v>5227</v>
      </c>
      <c r="I238" s="15" t="s">
        <v>5392</v>
      </c>
      <c r="J238" s="15" t="n">
        <v>4</v>
      </c>
      <c r="K238" s="15" t="s">
        <v>4265</v>
      </c>
      <c r="L238" s="15" t="str">
        <f aca="false">IF(K238="","No","Yes")</f>
        <v>Yes</v>
      </c>
      <c r="M238" s="18" t="str">
        <f aca="false">IF(K238="","",IFERROR(IF(ISNUMBER(SEARCH(A238,INDEX(Pages!$J$2:$J$824,MATCH(K238,Pages!$B$2:$B$824,0)))),"Yes","No"),"Page not found"))</f>
        <v>Yes</v>
      </c>
      <c r="N238" s="3" t="s">
        <v>5426</v>
      </c>
      <c r="O238" s="3"/>
      <c r="P238" s="19"/>
      <c r="Q238" s="17"/>
      <c r="R238" s="17"/>
    </row>
    <row r="239" customFormat="false" ht="15" hidden="false" customHeight="false" outlineLevel="0" collapsed="false">
      <c r="A239" s="15" t="s">
        <v>4389</v>
      </c>
      <c r="B239" s="15" t="s">
        <v>86</v>
      </c>
      <c r="C239" s="15" t="s">
        <v>356</v>
      </c>
      <c r="D239" s="15" t="s">
        <v>715</v>
      </c>
      <c r="E239" s="15" t="s">
        <v>2267</v>
      </c>
      <c r="F239" s="16" t="n">
        <v>120</v>
      </c>
      <c r="G239" s="15" t="n">
        <v>40</v>
      </c>
      <c r="H239" s="15" t="s">
        <v>5227</v>
      </c>
      <c r="I239" s="15" t="s">
        <v>5392</v>
      </c>
      <c r="J239" s="15" t="n">
        <v>5</v>
      </c>
      <c r="K239" s="15" t="s">
        <v>4385</v>
      </c>
      <c r="L239" s="15" t="str">
        <f aca="false">IF(K239="","No","Yes")</f>
        <v>Yes</v>
      </c>
      <c r="M239" s="18" t="str">
        <f aca="false">IF(K239="","",IFERROR(IF(ISNUMBER(SEARCH(A239,INDEX(Pages!$J$2:$J$824,MATCH(K239,Pages!$B$2:$B$824,0)))),"Yes","No"),"Page not found"))</f>
        <v>Yes</v>
      </c>
      <c r="N239" s="3" t="s">
        <v>5426</v>
      </c>
      <c r="O239" s="3"/>
      <c r="P239" s="19"/>
      <c r="Q239" s="17"/>
      <c r="R239" s="17"/>
    </row>
    <row r="240" customFormat="false" ht="15" hidden="false" customHeight="false" outlineLevel="0" collapsed="false">
      <c r="A240" s="15" t="s">
        <v>4275</v>
      </c>
      <c r="B240" s="15" t="s">
        <v>86</v>
      </c>
      <c r="C240" s="15" t="s">
        <v>356</v>
      </c>
      <c r="D240" s="15" t="s">
        <v>666</v>
      </c>
      <c r="E240" s="15" t="s">
        <v>2134</v>
      </c>
      <c r="F240" s="16" t="n">
        <v>120</v>
      </c>
      <c r="G240" s="15" t="n">
        <v>40</v>
      </c>
      <c r="H240" s="15" t="s">
        <v>5227</v>
      </c>
      <c r="I240" s="15" t="s">
        <v>5392</v>
      </c>
      <c r="J240" s="15" t="n">
        <v>5</v>
      </c>
      <c r="K240" s="15" t="s">
        <v>4271</v>
      </c>
      <c r="L240" s="15" t="str">
        <f aca="false">IF(K240="","No","Yes")</f>
        <v>Yes</v>
      </c>
      <c r="M240" s="18" t="str">
        <f aca="false">IF(K240="","",IFERROR(IF(ISNUMBER(SEARCH(A240,INDEX(Pages!$J$2:$J$824,MATCH(K240,Pages!$B$2:$B$824,0)))),"Yes","No"),"Page not found"))</f>
        <v>Yes</v>
      </c>
      <c r="N240" s="3" t="s">
        <v>5426</v>
      </c>
      <c r="O240" s="3"/>
      <c r="P240" s="19"/>
      <c r="Q240" s="17"/>
      <c r="R240" s="17"/>
    </row>
    <row r="241" customFormat="false" ht="15" hidden="false" customHeight="false" outlineLevel="0" collapsed="false">
      <c r="A241" s="15" t="s">
        <v>4467</v>
      </c>
      <c r="B241" s="15" t="s">
        <v>86</v>
      </c>
      <c r="C241" s="15" t="s">
        <v>356</v>
      </c>
      <c r="D241" s="15" t="s">
        <v>715</v>
      </c>
      <c r="E241" s="15" t="s">
        <v>2358</v>
      </c>
      <c r="F241" s="16" t="n">
        <v>120</v>
      </c>
      <c r="G241" s="15" t="n">
        <v>40</v>
      </c>
      <c r="H241" s="15" t="s">
        <v>5227</v>
      </c>
      <c r="I241" s="15" t="s">
        <v>5392</v>
      </c>
      <c r="J241" s="15" t="n">
        <v>5</v>
      </c>
      <c r="K241" s="15" t="s">
        <v>4463</v>
      </c>
      <c r="L241" s="15" t="str">
        <f aca="false">IF(K241="","No","Yes")</f>
        <v>Yes</v>
      </c>
      <c r="M241" s="18" t="str">
        <f aca="false">IF(K241="","",IFERROR(IF(ISNUMBER(SEARCH(A241,INDEX(Pages!$J$2:$J$824,MATCH(K241,Pages!$B$2:$B$824,0)))),"Yes","No"),"Page not found"))</f>
        <v>No</v>
      </c>
      <c r="N241" s="3" t="s">
        <v>5426</v>
      </c>
      <c r="O241" s="3"/>
      <c r="P241" s="19"/>
      <c r="Q241" s="17"/>
      <c r="R241" s="17"/>
    </row>
    <row r="242" customFormat="false" ht="23.85" hidden="false" customHeight="false" outlineLevel="0" collapsed="false">
      <c r="A242" s="15" t="s">
        <v>4503</v>
      </c>
      <c r="B242" s="15" t="s">
        <v>86</v>
      </c>
      <c r="C242" s="15" t="s">
        <v>356</v>
      </c>
      <c r="D242" s="15" t="s">
        <v>715</v>
      </c>
      <c r="E242" s="15" t="s">
        <v>2400</v>
      </c>
      <c r="F242" s="16" t="n">
        <v>120</v>
      </c>
      <c r="G242" s="15" t="n">
        <v>32</v>
      </c>
      <c r="H242" s="15" t="s">
        <v>5227</v>
      </c>
      <c r="I242" s="15" t="s">
        <v>5392</v>
      </c>
      <c r="J242" s="15" t="n">
        <v>5</v>
      </c>
      <c r="K242" s="15" t="s">
        <v>4499</v>
      </c>
      <c r="L242" s="15" t="str">
        <f aca="false">IF(K242="","No","Yes")</f>
        <v>Yes</v>
      </c>
      <c r="M242" s="18" t="str">
        <f aca="false">IF(K242="","",IFERROR(IF(ISNUMBER(SEARCH(A242,INDEX(Pages!$J$2:$J$824,MATCH(K242,Pages!$B$2:$B$824,0)))),"Yes","No"),"Page not found"))</f>
        <v>Yes</v>
      </c>
      <c r="N242" s="3" t="s">
        <v>5426</v>
      </c>
      <c r="O242" s="3" t="s">
        <v>5483</v>
      </c>
      <c r="P242" s="19"/>
      <c r="Q242" s="17"/>
      <c r="R242" s="17"/>
    </row>
    <row r="243" customFormat="false" ht="15" hidden="false" customHeight="false" outlineLevel="0" collapsed="false">
      <c r="A243" s="15" t="s">
        <v>2306</v>
      </c>
      <c r="B243" s="15" t="s">
        <v>89</v>
      </c>
      <c r="C243" s="15" t="s">
        <v>258</v>
      </c>
      <c r="D243" s="15" t="s">
        <v>715</v>
      </c>
      <c r="E243" s="15" t="s">
        <v>2302</v>
      </c>
      <c r="F243" s="16" t="n">
        <v>110</v>
      </c>
      <c r="G243" s="15" t="n">
        <v>41</v>
      </c>
      <c r="H243" s="15" t="s">
        <v>5227</v>
      </c>
      <c r="I243" s="15" t="s">
        <v>5473</v>
      </c>
      <c r="J243" s="15" t="n">
        <v>2</v>
      </c>
      <c r="K243" s="15" t="s">
        <v>2301</v>
      </c>
      <c r="L243" s="15" t="str">
        <f aca="false">IF(K243="","No","Yes")</f>
        <v>Yes</v>
      </c>
      <c r="M243" s="18" t="str">
        <f aca="false">IF(K243="","",IFERROR(IF(ISNUMBER(SEARCH(A243,INDEX(Pages!$J$2:$J$824,MATCH(K243,Pages!$B$2:$B$824,0)))),"Yes","No"),"Page not found"))</f>
        <v>Yes</v>
      </c>
      <c r="N243" s="3" t="s">
        <v>5426</v>
      </c>
      <c r="O243" s="3"/>
      <c r="P243" s="19"/>
      <c r="Q243" s="17"/>
      <c r="R243" s="17"/>
    </row>
    <row r="244" customFormat="false" ht="15" hidden="false" customHeight="false" outlineLevel="0" collapsed="false">
      <c r="A244" s="15" t="s">
        <v>2390</v>
      </c>
      <c r="B244" s="15" t="s">
        <v>89</v>
      </c>
      <c r="C244" s="15" t="s">
        <v>258</v>
      </c>
      <c r="D244" s="15" t="s">
        <v>715</v>
      </c>
      <c r="E244" s="15" t="s">
        <v>2386</v>
      </c>
      <c r="F244" s="16" t="n">
        <v>110</v>
      </c>
      <c r="G244" s="15" t="n">
        <v>41</v>
      </c>
      <c r="H244" s="15" t="s">
        <v>5227</v>
      </c>
      <c r="I244" s="15" t="s">
        <v>5473</v>
      </c>
      <c r="J244" s="15" t="n">
        <v>2</v>
      </c>
      <c r="K244" s="15" t="s">
        <v>2385</v>
      </c>
      <c r="L244" s="15" t="str">
        <f aca="false">IF(K244="","No","Yes")</f>
        <v>Yes</v>
      </c>
      <c r="M244" s="18" t="str">
        <f aca="false">IF(K244="","",IFERROR(IF(ISNUMBER(SEARCH(A244,INDEX(Pages!$J$2:$J$824,MATCH(K244,Pages!$B$2:$B$824,0)))),"Yes","No"),"Page not found"))</f>
        <v>Yes</v>
      </c>
      <c r="N244" s="3" t="s">
        <v>5426</v>
      </c>
      <c r="O244" s="3"/>
      <c r="P244" s="19"/>
      <c r="Q244" s="17"/>
      <c r="R244" s="17"/>
    </row>
    <row r="245" customFormat="false" ht="15" hidden="false" customHeight="false" outlineLevel="0" collapsed="false">
      <c r="A245" s="15" t="s">
        <v>3027</v>
      </c>
      <c r="B245" s="15" t="s">
        <v>85</v>
      </c>
      <c r="C245" s="15" t="s">
        <v>272</v>
      </c>
      <c r="D245" s="15" t="s">
        <v>715</v>
      </c>
      <c r="E245" s="15" t="s">
        <v>2302</v>
      </c>
      <c r="F245" s="16" t="n">
        <v>110</v>
      </c>
      <c r="G245" s="15" t="n">
        <v>48</v>
      </c>
      <c r="H245" s="15" t="s">
        <v>5227</v>
      </c>
      <c r="I245" s="15" t="s">
        <v>5392</v>
      </c>
      <c r="J245" s="15" t="n">
        <v>4</v>
      </c>
      <c r="K245" s="15" t="s">
        <v>3023</v>
      </c>
      <c r="L245" s="15" t="str">
        <f aca="false">IF(K245="","No","Yes")</f>
        <v>Yes</v>
      </c>
      <c r="M245" s="18" t="str">
        <f aca="false">IF(K245="","",IFERROR(IF(ISNUMBER(SEARCH(A245,INDEX(Pages!$J$2:$J$824,MATCH(K245,Pages!$B$2:$B$824,0)))),"Yes","No"),"Page not found"))</f>
        <v>Yes</v>
      </c>
      <c r="N245" s="3" t="s">
        <v>5426</v>
      </c>
      <c r="O245" s="3"/>
      <c r="P245" s="19"/>
      <c r="Q245" s="17"/>
      <c r="R245" s="17"/>
    </row>
    <row r="246" customFormat="false" ht="15" hidden="false" customHeight="false" outlineLevel="0" collapsed="false">
      <c r="A246" s="15" t="s">
        <v>3099</v>
      </c>
      <c r="B246" s="15" t="s">
        <v>85</v>
      </c>
      <c r="C246" s="15" t="s">
        <v>272</v>
      </c>
      <c r="D246" s="15" t="s">
        <v>715</v>
      </c>
      <c r="E246" s="15" t="s">
        <v>2386</v>
      </c>
      <c r="F246" s="16" t="n">
        <v>110</v>
      </c>
      <c r="G246" s="15" t="n">
        <v>48</v>
      </c>
      <c r="H246" s="15" t="s">
        <v>5227</v>
      </c>
      <c r="I246" s="15" t="s">
        <v>5392</v>
      </c>
      <c r="J246" s="15" t="n">
        <v>4</v>
      </c>
      <c r="K246" s="15" t="s">
        <v>3095</v>
      </c>
      <c r="L246" s="15" t="str">
        <f aca="false">IF(K246="","No","Yes")</f>
        <v>Yes</v>
      </c>
      <c r="M246" s="18" t="str">
        <f aca="false">IF(K246="","",IFERROR(IF(ISNUMBER(SEARCH(A246,INDEX(Pages!$J$2:$J$824,MATCH(K246,Pages!$B$2:$B$824,0)))),"Yes","No"),"Page not found"))</f>
        <v>Yes</v>
      </c>
      <c r="N246" s="3" t="s">
        <v>5426</v>
      </c>
      <c r="O246" s="3"/>
      <c r="P246" s="19"/>
      <c r="Q246" s="17"/>
      <c r="R246" s="17"/>
    </row>
    <row r="247" customFormat="false" ht="15" hidden="false" customHeight="false" outlineLevel="0" collapsed="false">
      <c r="A247" s="15" t="s">
        <v>3285</v>
      </c>
      <c r="B247" s="15" t="s">
        <v>84</v>
      </c>
      <c r="C247" s="15" t="s">
        <v>314</v>
      </c>
      <c r="D247" s="15" t="s">
        <v>680</v>
      </c>
      <c r="E247" s="15" t="s">
        <v>2197</v>
      </c>
      <c r="F247" s="16" t="n">
        <v>110</v>
      </c>
      <c r="G247" s="15" t="n">
        <v>44</v>
      </c>
      <c r="H247" s="15" t="s">
        <v>5227</v>
      </c>
      <c r="I247" s="15" t="s">
        <v>5392</v>
      </c>
      <c r="J247" s="15" t="n">
        <v>4</v>
      </c>
      <c r="K247" s="15" t="s">
        <v>3281</v>
      </c>
      <c r="L247" s="15" t="str">
        <f aca="false">IF(K247="","No","Yes")</f>
        <v>Yes</v>
      </c>
      <c r="M247" s="18" t="str">
        <f aca="false">IF(K247="","",IFERROR(IF(ISNUMBER(SEARCH(A247,INDEX(Pages!$J$2:$J$824,MATCH(K247,Pages!$B$2:$B$824,0)))),"Yes","No"),"Page not found"))</f>
        <v>Yes</v>
      </c>
      <c r="N247" s="3" t="s">
        <v>5376</v>
      </c>
      <c r="O247" s="3"/>
      <c r="P247" s="19"/>
      <c r="Q247" s="17"/>
      <c r="R247" s="17"/>
    </row>
    <row r="248" customFormat="false" ht="23.85" hidden="false" customHeight="false" outlineLevel="0" collapsed="false">
      <c r="A248" s="15" t="s">
        <v>5455</v>
      </c>
      <c r="B248" s="15" t="s">
        <v>82</v>
      </c>
      <c r="C248" s="15" t="s">
        <v>265</v>
      </c>
      <c r="D248" s="15" t="s">
        <v>715</v>
      </c>
      <c r="E248" s="15" t="s">
        <v>2288</v>
      </c>
      <c r="F248" s="16" t="n">
        <v>110</v>
      </c>
      <c r="G248" s="15" t="n">
        <v>71</v>
      </c>
      <c r="H248" s="15" t="s">
        <v>5177</v>
      </c>
      <c r="I248" s="15" t="s">
        <v>5228</v>
      </c>
      <c r="J248" s="15" t="n">
        <v>5</v>
      </c>
      <c r="K248" s="15" t="s">
        <v>2663</v>
      </c>
      <c r="L248" s="15" t="str">
        <f aca="false">IF(K248="","No","Yes")</f>
        <v>Yes</v>
      </c>
      <c r="M248" s="18" t="str">
        <f aca="false">IF(K248="","",IFERROR(IF(ISNUMBER(SEARCH(A248,INDEX(Pages!$J$2:$J$824,MATCH(K248,Pages!$B$2:$B$824,0)))),"Yes","No"),"Page not found"))</f>
        <v>No</v>
      </c>
      <c r="N248" s="3" t="s">
        <v>5182</v>
      </c>
      <c r="O248" s="3" t="s">
        <v>5234</v>
      </c>
      <c r="P248" s="19"/>
      <c r="Q248" s="17"/>
      <c r="R248" s="17"/>
    </row>
    <row r="249" customFormat="false" ht="23.85" hidden="false" customHeight="false" outlineLevel="0" collapsed="false">
      <c r="A249" s="15" t="s">
        <v>3741</v>
      </c>
      <c r="B249" s="15" t="s">
        <v>74</v>
      </c>
      <c r="C249" s="15" t="s">
        <v>321</v>
      </c>
      <c r="D249" s="15" t="s">
        <v>715</v>
      </c>
      <c r="E249" s="15" t="s">
        <v>2323</v>
      </c>
      <c r="F249" s="16" t="n">
        <v>110</v>
      </c>
      <c r="G249" s="15" t="n">
        <v>35</v>
      </c>
      <c r="H249" s="15" t="s">
        <v>5227</v>
      </c>
      <c r="I249" s="15" t="s">
        <v>5444</v>
      </c>
      <c r="J249" s="15" t="n">
        <v>3</v>
      </c>
      <c r="K249" s="15" t="s">
        <v>3737</v>
      </c>
      <c r="L249" s="15" t="str">
        <f aca="false">IF(K249="","No","Yes")</f>
        <v>Yes</v>
      </c>
      <c r="M249" s="18" t="str">
        <f aca="false">IF(K249="","",IFERROR(IF(ISNUMBER(SEARCH(A249,INDEX(Pages!$J$2:$J$824,MATCH(K249,Pages!$B$2:$B$824,0)))),"Yes","No"),"Page not found"))</f>
        <v>Yes</v>
      </c>
      <c r="N249" s="3" t="s">
        <v>5426</v>
      </c>
      <c r="O249" s="3" t="s">
        <v>5483</v>
      </c>
      <c r="P249" s="19"/>
      <c r="Q249" s="17"/>
      <c r="R249" s="17"/>
    </row>
    <row r="250" customFormat="false" ht="23.85" hidden="false" customHeight="false" outlineLevel="0" collapsed="false">
      <c r="A250" s="15" t="s">
        <v>3591</v>
      </c>
      <c r="B250" s="15" t="s">
        <v>74</v>
      </c>
      <c r="C250" s="15" t="s">
        <v>321</v>
      </c>
      <c r="D250" s="15" t="s">
        <v>666</v>
      </c>
      <c r="E250" s="15" t="s">
        <v>2148</v>
      </c>
      <c r="F250" s="16" t="n">
        <v>110</v>
      </c>
      <c r="G250" s="15" t="n">
        <v>27</v>
      </c>
      <c r="H250" s="15" t="s">
        <v>5227</v>
      </c>
      <c r="I250" s="15" t="s">
        <v>5444</v>
      </c>
      <c r="J250" s="15" t="n">
        <v>3</v>
      </c>
      <c r="K250" s="15" t="s">
        <v>3587</v>
      </c>
      <c r="L250" s="15" t="str">
        <f aca="false">IF(K250="","No","Yes")</f>
        <v>Yes</v>
      </c>
      <c r="M250" s="18" t="str">
        <f aca="false">IF(K250="","",IFERROR(IF(ISNUMBER(SEARCH(A250,INDEX(Pages!$J$2:$J$824,MATCH(K250,Pages!$B$2:$B$824,0)))),"Yes","No"),"Page not found"))</f>
        <v>No</v>
      </c>
      <c r="N250" s="3" t="s">
        <v>5426</v>
      </c>
      <c r="O250" s="3" t="s">
        <v>5483</v>
      </c>
      <c r="P250" s="19"/>
      <c r="Q250" s="17"/>
      <c r="R250" s="17"/>
    </row>
    <row r="251" customFormat="false" ht="23.85" hidden="false" customHeight="false" outlineLevel="0" collapsed="false">
      <c r="A251" s="15" t="s">
        <v>3765</v>
      </c>
      <c r="B251" s="15" t="s">
        <v>74</v>
      </c>
      <c r="C251" s="15" t="s">
        <v>321</v>
      </c>
      <c r="D251" s="15" t="s">
        <v>715</v>
      </c>
      <c r="E251" s="15" t="s">
        <v>2351</v>
      </c>
      <c r="F251" s="16" t="n">
        <v>110</v>
      </c>
      <c r="G251" s="15" t="n">
        <v>35</v>
      </c>
      <c r="H251" s="15" t="s">
        <v>5227</v>
      </c>
      <c r="I251" s="15" t="s">
        <v>5444</v>
      </c>
      <c r="J251" s="15" t="n">
        <v>3</v>
      </c>
      <c r="K251" s="15" t="s">
        <v>3761</v>
      </c>
      <c r="L251" s="15" t="str">
        <f aca="false">IF(K251="","No","Yes")</f>
        <v>Yes</v>
      </c>
      <c r="M251" s="18" t="str">
        <f aca="false">IF(K251="","",IFERROR(IF(ISNUMBER(SEARCH(A251,INDEX(Pages!$J$2:$J$824,MATCH(K251,Pages!$B$2:$B$824,0)))),"Yes","No"),"Page not found"))</f>
        <v>Yes</v>
      </c>
      <c r="N251" s="3" t="s">
        <v>5426</v>
      </c>
      <c r="O251" s="3" t="s">
        <v>5483</v>
      </c>
      <c r="P251" s="19"/>
      <c r="Q251" s="17"/>
      <c r="R251" s="17"/>
    </row>
    <row r="252" customFormat="false" ht="15" hidden="false" customHeight="false" outlineLevel="0" collapsed="false">
      <c r="A252" s="15" t="s">
        <v>4101</v>
      </c>
      <c r="B252" s="15" t="s">
        <v>81</v>
      </c>
      <c r="C252" s="15" t="s">
        <v>349</v>
      </c>
      <c r="D252" s="15" t="s">
        <v>715</v>
      </c>
      <c r="E252" s="15" t="s">
        <v>2337</v>
      </c>
      <c r="F252" s="16" t="n">
        <v>110</v>
      </c>
      <c r="G252" s="15" t="n">
        <v>36</v>
      </c>
      <c r="H252" s="15" t="s">
        <v>5227</v>
      </c>
      <c r="I252" s="15" t="s">
        <v>5235</v>
      </c>
      <c r="J252" s="15" t="n">
        <v>3</v>
      </c>
      <c r="K252" s="15" t="s">
        <v>4097</v>
      </c>
      <c r="L252" s="15" t="str">
        <f aca="false">IF(K252="","No","Yes")</f>
        <v>Yes</v>
      </c>
      <c r="M252" s="18" t="str">
        <f aca="false">IF(K252="","",IFERROR(IF(ISNUMBER(SEARCH(A252,INDEX(Pages!$J$2:$J$824,MATCH(K252,Pages!$B$2:$B$824,0)))),"Yes","No"),"Page not found"))</f>
        <v>Yes</v>
      </c>
      <c r="N252" s="3" t="s">
        <v>5426</v>
      </c>
      <c r="O252" s="3"/>
      <c r="P252" s="19"/>
      <c r="Q252" s="17"/>
      <c r="R252" s="17"/>
    </row>
    <row r="253" customFormat="false" ht="23.85" hidden="false" customHeight="false" outlineLevel="0" collapsed="false">
      <c r="A253" s="15" t="s">
        <v>4359</v>
      </c>
      <c r="B253" s="15" t="s">
        <v>86</v>
      </c>
      <c r="C253" s="15" t="s">
        <v>356</v>
      </c>
      <c r="D253" s="15" t="s">
        <v>715</v>
      </c>
      <c r="E253" s="15" t="s">
        <v>2232</v>
      </c>
      <c r="F253" s="16" t="n">
        <v>110</v>
      </c>
      <c r="G253" s="15" t="n">
        <v>32</v>
      </c>
      <c r="H253" s="15" t="s">
        <v>5227</v>
      </c>
      <c r="I253" s="15" t="s">
        <v>5392</v>
      </c>
      <c r="J253" s="15" t="n">
        <v>5</v>
      </c>
      <c r="K253" s="15" t="s">
        <v>4355</v>
      </c>
      <c r="L253" s="15" t="str">
        <f aca="false">IF(K253="","No","Yes")</f>
        <v>Yes</v>
      </c>
      <c r="M253" s="18" t="str">
        <f aca="false">IF(K253="","",IFERROR(IF(ISNUMBER(SEARCH(A253,INDEX(Pages!$J$2:$J$824,MATCH(K253,Pages!$B$2:$B$824,0)))),"Yes","No"),"Page not found"))</f>
        <v>Yes</v>
      </c>
      <c r="N253" s="3" t="s">
        <v>5426</v>
      </c>
      <c r="O253" s="3" t="s">
        <v>5483</v>
      </c>
      <c r="P253" s="19"/>
      <c r="Q253" s="17"/>
      <c r="R253" s="17"/>
    </row>
    <row r="254" customFormat="false" ht="15" hidden="false" customHeight="false" outlineLevel="0" collapsed="false">
      <c r="A254" s="15" t="s">
        <v>4401</v>
      </c>
      <c r="B254" s="15" t="s">
        <v>86</v>
      </c>
      <c r="C254" s="15" t="s">
        <v>356</v>
      </c>
      <c r="D254" s="15" t="s">
        <v>715</v>
      </c>
      <c r="E254" s="15" t="s">
        <v>2281</v>
      </c>
      <c r="F254" s="16" t="n">
        <v>110</v>
      </c>
      <c r="G254" s="15" t="n">
        <v>40</v>
      </c>
      <c r="H254" s="15" t="s">
        <v>5227</v>
      </c>
      <c r="I254" s="15" t="s">
        <v>5392</v>
      </c>
      <c r="J254" s="15" t="n">
        <v>5</v>
      </c>
      <c r="K254" s="15" t="s">
        <v>4397</v>
      </c>
      <c r="L254" s="15" t="str">
        <f aca="false">IF(K254="","No","Yes")</f>
        <v>Yes</v>
      </c>
      <c r="M254" s="18" t="str">
        <f aca="false">IF(K254="","",IFERROR(IF(ISNUMBER(SEARCH(A254,INDEX(Pages!$J$2:$J$824,MATCH(K254,Pages!$B$2:$B$824,0)))),"Yes","No"),"Page not found"))</f>
        <v>Yes</v>
      </c>
      <c r="N254" s="3" t="s">
        <v>5426</v>
      </c>
      <c r="O254" s="3"/>
      <c r="P254" s="19"/>
      <c r="Q254" s="17"/>
      <c r="R254" s="17"/>
    </row>
    <row r="255" customFormat="false" ht="23.85" hidden="false" customHeight="false" outlineLevel="0" collapsed="false">
      <c r="A255" s="15" t="s">
        <v>4281</v>
      </c>
      <c r="B255" s="15" t="s">
        <v>86</v>
      </c>
      <c r="C255" s="15" t="s">
        <v>356</v>
      </c>
      <c r="D255" s="15" t="s">
        <v>666</v>
      </c>
      <c r="E255" s="15" t="s">
        <v>2141</v>
      </c>
      <c r="F255" s="16" t="n">
        <v>110</v>
      </c>
      <c r="G255" s="15" t="n">
        <v>24</v>
      </c>
      <c r="H255" s="15" t="s">
        <v>5227</v>
      </c>
      <c r="I255" s="15" t="s">
        <v>5392</v>
      </c>
      <c r="J255" s="15" t="n">
        <v>5</v>
      </c>
      <c r="K255" s="15" t="s">
        <v>4277</v>
      </c>
      <c r="L255" s="15" t="str">
        <f aca="false">IF(K255="","No","Yes")</f>
        <v>Yes</v>
      </c>
      <c r="M255" s="18" t="str">
        <f aca="false">IF(K255="","",IFERROR(IF(ISNUMBER(SEARCH(A255,INDEX(Pages!$J$2:$J$824,MATCH(K255,Pages!$B$2:$B$824,0)))),"Yes","No"),"Page not found"))</f>
        <v>Yes</v>
      </c>
      <c r="N255" s="3" t="s">
        <v>5426</v>
      </c>
      <c r="O255" s="3" t="s">
        <v>5483</v>
      </c>
      <c r="P255" s="19"/>
      <c r="Q255" s="17"/>
      <c r="R255" s="17"/>
    </row>
    <row r="256" customFormat="false" ht="23.85" hidden="false" customHeight="false" outlineLevel="0" collapsed="false">
      <c r="A256" s="15" t="s">
        <v>4425</v>
      </c>
      <c r="B256" s="15" t="s">
        <v>86</v>
      </c>
      <c r="C256" s="15" t="s">
        <v>356</v>
      </c>
      <c r="D256" s="15" t="s">
        <v>715</v>
      </c>
      <c r="E256" s="15" t="s">
        <v>2309</v>
      </c>
      <c r="F256" s="16" t="n">
        <v>110</v>
      </c>
      <c r="G256" s="15" t="n">
        <v>32</v>
      </c>
      <c r="H256" s="15" t="s">
        <v>5227</v>
      </c>
      <c r="I256" s="15" t="s">
        <v>5392</v>
      </c>
      <c r="J256" s="15" t="n">
        <v>5</v>
      </c>
      <c r="K256" s="15" t="s">
        <v>4421</v>
      </c>
      <c r="L256" s="15" t="str">
        <f aca="false">IF(K256="","No","Yes")</f>
        <v>Yes</v>
      </c>
      <c r="M256" s="18" t="str">
        <f aca="false">IF(K256="","",IFERROR(IF(ISNUMBER(SEARCH(A256,INDEX(Pages!$J$2:$J$824,MATCH(K256,Pages!$B$2:$B$824,0)))),"Yes","No"),"Page not found"))</f>
        <v>Yes</v>
      </c>
      <c r="N256" s="3" t="s">
        <v>5426</v>
      </c>
      <c r="O256" s="3" t="s">
        <v>5483</v>
      </c>
      <c r="P256" s="19"/>
      <c r="Q256" s="17"/>
      <c r="R256" s="17"/>
    </row>
    <row r="257" customFormat="false" ht="15" hidden="false" customHeight="false" outlineLevel="0" collapsed="false">
      <c r="A257" s="15" t="s">
        <v>4545</v>
      </c>
      <c r="B257" s="15" t="s">
        <v>86</v>
      </c>
      <c r="C257" s="15" t="s">
        <v>356</v>
      </c>
      <c r="D257" s="15" t="s">
        <v>729</v>
      </c>
      <c r="E257" s="15" t="s">
        <v>2449</v>
      </c>
      <c r="F257" s="16" t="n">
        <v>110</v>
      </c>
      <c r="G257" s="15" t="n">
        <v>44</v>
      </c>
      <c r="H257" s="15" t="s">
        <v>5227</v>
      </c>
      <c r="I257" s="15" t="s">
        <v>5392</v>
      </c>
      <c r="J257" s="15" t="n">
        <v>5</v>
      </c>
      <c r="K257" s="15" t="s">
        <v>4541</v>
      </c>
      <c r="L257" s="15" t="str">
        <f aca="false">IF(K257="","No","Yes")</f>
        <v>Yes</v>
      </c>
      <c r="M257" s="18" t="str">
        <f aca="false">IF(K257="","",IFERROR(IF(ISNUMBER(SEARCH(A257,INDEX(Pages!$J$2:$J$824,MATCH(K257,Pages!$B$2:$B$824,0)))),"Yes","No"),"Page not found"))</f>
        <v>Yes</v>
      </c>
      <c r="N257" s="3" t="s">
        <v>5408</v>
      </c>
      <c r="O257" s="3" t="s">
        <v>5427</v>
      </c>
      <c r="P257" s="19"/>
      <c r="Q257" s="17"/>
      <c r="R257" s="17"/>
    </row>
    <row r="258" customFormat="false" ht="15" hidden="false" customHeight="false" outlineLevel="0" collapsed="false">
      <c r="A258" s="15" t="s">
        <v>4497</v>
      </c>
      <c r="B258" s="15" t="s">
        <v>86</v>
      </c>
      <c r="C258" s="15" t="s">
        <v>356</v>
      </c>
      <c r="D258" s="15" t="s">
        <v>715</v>
      </c>
      <c r="E258" s="15" t="s">
        <v>2393</v>
      </c>
      <c r="F258" s="16" t="n">
        <v>110</v>
      </c>
      <c r="G258" s="15" t="n">
        <v>40</v>
      </c>
      <c r="H258" s="15" t="s">
        <v>5227</v>
      </c>
      <c r="I258" s="15" t="s">
        <v>5392</v>
      </c>
      <c r="J258" s="15" t="n">
        <v>5</v>
      </c>
      <c r="K258" s="15" t="s">
        <v>4493</v>
      </c>
      <c r="L258" s="15" t="str">
        <f aca="false">IF(K258="","No","Yes")</f>
        <v>Yes</v>
      </c>
      <c r="M258" s="18" t="str">
        <f aca="false">IF(K258="","",IFERROR(IF(ISNUMBER(SEARCH(A258,INDEX(Pages!$J$2:$J$824,MATCH(K258,Pages!$B$2:$B$824,0)))),"Yes","No"),"Page not found"))</f>
        <v>Yes</v>
      </c>
      <c r="N258" s="3" t="s">
        <v>5426</v>
      </c>
      <c r="O258" s="3"/>
      <c r="P258" s="19"/>
      <c r="Q258" s="17"/>
      <c r="R258" s="17"/>
    </row>
    <row r="259" customFormat="false" ht="23.85" hidden="false" customHeight="false" outlineLevel="0" collapsed="false">
      <c r="A259" s="15" t="s">
        <v>3183</v>
      </c>
      <c r="B259" s="15" t="s">
        <v>84</v>
      </c>
      <c r="C259" s="15" t="s">
        <v>314</v>
      </c>
      <c r="D259" s="15" t="s">
        <v>657</v>
      </c>
      <c r="E259" s="15" t="s">
        <v>2077</v>
      </c>
      <c r="F259" s="16" t="n">
        <v>100</v>
      </c>
      <c r="G259" s="15" t="n">
        <v>32</v>
      </c>
      <c r="H259" s="15" t="s">
        <v>5227</v>
      </c>
      <c r="I259" s="15" t="s">
        <v>5392</v>
      </c>
      <c r="J259" s="15" t="n">
        <v>4</v>
      </c>
      <c r="K259" s="15" t="s">
        <v>3179</v>
      </c>
      <c r="L259" s="15" t="str">
        <f aca="false">IF(K259="","No","Yes")</f>
        <v>Yes</v>
      </c>
      <c r="M259" s="18" t="str">
        <f aca="false">IF(K259="","",IFERROR(IF(ISNUMBER(SEARCH(A259,INDEX(Pages!$J$2:$J$824,MATCH(K259,Pages!$B$2:$B$824,0)))),"Yes","No"),"Page not found"))</f>
        <v>Yes</v>
      </c>
      <c r="N259" s="3" t="s">
        <v>5426</v>
      </c>
      <c r="O259" s="3" t="s">
        <v>5483</v>
      </c>
      <c r="P259" s="19"/>
      <c r="Q259" s="17"/>
      <c r="R259" s="17"/>
    </row>
    <row r="260" customFormat="false" ht="15" hidden="false" customHeight="false" outlineLevel="0" collapsed="false">
      <c r="A260" s="15" t="s">
        <v>4811</v>
      </c>
      <c r="B260" s="15" t="s">
        <v>94</v>
      </c>
      <c r="C260" s="15"/>
      <c r="D260" s="15" t="s">
        <v>715</v>
      </c>
      <c r="E260" s="15" t="s">
        <v>2288</v>
      </c>
      <c r="F260" s="16" t="n">
        <v>100</v>
      </c>
      <c r="G260" s="15" t="n">
        <v>30</v>
      </c>
      <c r="H260" s="15" t="s">
        <v>5227</v>
      </c>
      <c r="I260" s="15" t="s">
        <v>5243</v>
      </c>
      <c r="J260" s="15" t="n">
        <v>3</v>
      </c>
      <c r="K260" s="15" t="s">
        <v>4807</v>
      </c>
      <c r="L260" s="15" t="str">
        <f aca="false">IF(K260="","No","Yes")</f>
        <v>Yes</v>
      </c>
      <c r="M260" s="18" t="str">
        <f aca="false">IF(K260="","",IFERROR(IF(ISNUMBER(SEARCH(A260,INDEX(Pages!$J$2:$J$824,MATCH(K260,Pages!$B$2:$B$824,0)))),"Yes","No"),"Page not found"))</f>
        <v>No</v>
      </c>
      <c r="N260" s="3" t="s">
        <v>5471</v>
      </c>
      <c r="O260" s="3" t="s">
        <v>5472</v>
      </c>
      <c r="P260" s="19"/>
      <c r="Q260" s="17"/>
      <c r="R260" s="17"/>
    </row>
    <row r="261" customFormat="false" ht="15" hidden="false" customHeight="false" outlineLevel="0" collapsed="false">
      <c r="A261" s="15" t="s">
        <v>4985</v>
      </c>
      <c r="B261" s="15" t="s">
        <v>94</v>
      </c>
      <c r="C261" s="15"/>
      <c r="D261" s="15" t="s">
        <v>736</v>
      </c>
      <c r="E261" s="15" t="s">
        <v>2470</v>
      </c>
      <c r="F261" s="16" t="n">
        <v>100</v>
      </c>
      <c r="G261" s="15" t="n">
        <v>30</v>
      </c>
      <c r="H261" s="15" t="s">
        <v>5227</v>
      </c>
      <c r="I261" s="15" t="s">
        <v>5243</v>
      </c>
      <c r="J261" s="15" t="n">
        <v>3</v>
      </c>
      <c r="K261" s="15" t="s">
        <v>4981</v>
      </c>
      <c r="L261" s="15" t="str">
        <f aca="false">IF(K261="","No","Yes")</f>
        <v>Yes</v>
      </c>
      <c r="M261" s="18" t="str">
        <f aca="false">IF(K261="","",IFERROR(IF(ISNUMBER(SEARCH(A261,INDEX(Pages!$J$2:$J$824,MATCH(K261,Pages!$B$2:$B$824,0)))),"Yes","No"),"Page not found"))</f>
        <v>No</v>
      </c>
      <c r="N261" s="3" t="s">
        <v>5471</v>
      </c>
      <c r="O261" s="3" t="s">
        <v>5472</v>
      </c>
      <c r="P261" s="19"/>
      <c r="Q261" s="17"/>
      <c r="R261" s="17"/>
    </row>
    <row r="262" customFormat="false" ht="23.85" hidden="false" customHeight="false" outlineLevel="0" collapsed="false">
      <c r="A262" s="15" t="s">
        <v>3681</v>
      </c>
      <c r="B262" s="15" t="s">
        <v>74</v>
      </c>
      <c r="C262" s="15" t="s">
        <v>321</v>
      </c>
      <c r="D262" s="15" t="s">
        <v>715</v>
      </c>
      <c r="E262" s="15" t="s">
        <v>2253</v>
      </c>
      <c r="F262" s="16" t="n">
        <v>100</v>
      </c>
      <c r="G262" s="15" t="n">
        <v>35</v>
      </c>
      <c r="H262" s="15" t="s">
        <v>5227</v>
      </c>
      <c r="I262" s="15" t="s">
        <v>5444</v>
      </c>
      <c r="J262" s="15" t="n">
        <v>3</v>
      </c>
      <c r="K262" s="15" t="s">
        <v>3677</v>
      </c>
      <c r="L262" s="15" t="str">
        <f aca="false">IF(K262="","No","Yes")</f>
        <v>Yes</v>
      </c>
      <c r="M262" s="18" t="str">
        <f aca="false">IF(K262="","",IFERROR(IF(ISNUMBER(SEARCH(A262,INDEX(Pages!$J$2:$J$824,MATCH(K262,Pages!$B$2:$B$824,0)))),"Yes","No"),"Page not found"))</f>
        <v>Yes</v>
      </c>
      <c r="N262" s="3" t="s">
        <v>5426</v>
      </c>
      <c r="O262" s="3" t="s">
        <v>5483</v>
      </c>
      <c r="P262" s="19"/>
      <c r="Q262" s="17"/>
      <c r="R262" s="17"/>
    </row>
    <row r="263" customFormat="false" ht="15" hidden="false" customHeight="false" outlineLevel="0" collapsed="false">
      <c r="A263" s="15" t="s">
        <v>3951</v>
      </c>
      <c r="B263" s="15" t="s">
        <v>81</v>
      </c>
      <c r="C263" s="15" t="s">
        <v>349</v>
      </c>
      <c r="D263" s="15" t="s">
        <v>666</v>
      </c>
      <c r="E263" s="15" t="s">
        <v>2162</v>
      </c>
      <c r="F263" s="16" t="n">
        <v>100</v>
      </c>
      <c r="G263" s="15" t="n">
        <v>36</v>
      </c>
      <c r="H263" s="15" t="s">
        <v>5227</v>
      </c>
      <c r="I263" s="15" t="s">
        <v>5235</v>
      </c>
      <c r="J263" s="15" t="n">
        <v>3</v>
      </c>
      <c r="K263" s="15" t="s">
        <v>3947</v>
      </c>
      <c r="L263" s="15" t="str">
        <f aca="false">IF(K263="","No","Yes")</f>
        <v>Yes</v>
      </c>
      <c r="M263" s="18" t="str">
        <f aca="false">IF(K263="","",IFERROR(IF(ISNUMBER(SEARCH(A263,INDEX(Pages!$J$2:$J$824,MATCH(K263,Pages!$B$2:$B$824,0)))),"Yes","No"),"Page not found"))</f>
        <v>Yes</v>
      </c>
      <c r="N263" s="3" t="s">
        <v>5426</v>
      </c>
      <c r="O263" s="3"/>
      <c r="P263" s="19"/>
      <c r="Q263" s="17"/>
      <c r="R263" s="17"/>
    </row>
    <row r="264" customFormat="false" ht="15" hidden="false" customHeight="false" outlineLevel="0" collapsed="false">
      <c r="A264" s="15" t="s">
        <v>3291</v>
      </c>
      <c r="B264" s="15" t="s">
        <v>84</v>
      </c>
      <c r="C264" s="15" t="s">
        <v>314</v>
      </c>
      <c r="D264" s="15" t="s">
        <v>680</v>
      </c>
      <c r="E264" s="15" t="s">
        <v>2204</v>
      </c>
      <c r="F264" s="16" t="n">
        <v>99</v>
      </c>
      <c r="G264" s="15" t="n">
        <v>40</v>
      </c>
      <c r="H264" s="15" t="s">
        <v>5227</v>
      </c>
      <c r="I264" s="15" t="s">
        <v>5392</v>
      </c>
      <c r="J264" s="15" t="n">
        <v>3</v>
      </c>
      <c r="K264" s="15" t="s">
        <v>3287</v>
      </c>
      <c r="L264" s="15" t="str">
        <f aca="false">IF(K264="","No","Yes")</f>
        <v>Yes</v>
      </c>
      <c r="M264" s="18" t="str">
        <f aca="false">IF(K264="","",IFERROR(IF(ISNUMBER(SEARCH(A264,INDEX(Pages!$J$2:$J$824,MATCH(K264,Pages!$B$2:$B$824,0)))),"Yes","No"),"Page not found"))</f>
        <v>Yes</v>
      </c>
      <c r="N264" s="3" t="s">
        <v>5426</v>
      </c>
      <c r="O264" s="3"/>
      <c r="P264" s="19"/>
      <c r="Q264" s="17"/>
      <c r="R264" s="17"/>
    </row>
    <row r="265" customFormat="false" ht="15" hidden="false" customHeight="false" outlineLevel="0" collapsed="false">
      <c r="A265" s="15" t="s">
        <v>4625</v>
      </c>
      <c r="B265" s="15" t="s">
        <v>94</v>
      </c>
      <c r="C265" s="15"/>
      <c r="D265" s="15" t="s">
        <v>666</v>
      </c>
      <c r="E265" s="15" t="s">
        <v>2120</v>
      </c>
      <c r="F265" s="16" t="n">
        <v>99</v>
      </c>
      <c r="G265" s="15" t="n">
        <v>30</v>
      </c>
      <c r="H265" s="15" t="s">
        <v>5227</v>
      </c>
      <c r="I265" s="15" t="s">
        <v>5243</v>
      </c>
      <c r="J265" s="15" t="n">
        <v>3</v>
      </c>
      <c r="K265" s="15" t="s">
        <v>4621</v>
      </c>
      <c r="L265" s="15" t="str">
        <f aca="false">IF(K265="","No","Yes")</f>
        <v>Yes</v>
      </c>
      <c r="M265" s="18" t="str">
        <f aca="false">IF(K265="","",IFERROR(IF(ISNUMBER(SEARCH(A265,INDEX(Pages!$J$2:$J$824,MATCH(K265,Pages!$B$2:$B$824,0)))),"Yes","No"),"Page not found"))</f>
        <v>No</v>
      </c>
      <c r="N265" s="3" t="s">
        <v>5471</v>
      </c>
      <c r="O265" s="3" t="s">
        <v>5472</v>
      </c>
      <c r="P265" s="19"/>
      <c r="Q265" s="17"/>
      <c r="R265" s="17"/>
    </row>
    <row r="266" customFormat="false" ht="15" hidden="false" customHeight="false" outlineLevel="0" collapsed="false">
      <c r="A266" s="15" t="s">
        <v>4341</v>
      </c>
      <c r="B266" s="15" t="s">
        <v>86</v>
      </c>
      <c r="C266" s="15" t="s">
        <v>356</v>
      </c>
      <c r="D266" s="15" t="s">
        <v>687</v>
      </c>
      <c r="E266" s="15" t="s">
        <v>2211</v>
      </c>
      <c r="F266" s="16" t="n">
        <v>98</v>
      </c>
      <c r="G266" s="15" t="n">
        <v>40</v>
      </c>
      <c r="H266" s="15" t="s">
        <v>5227</v>
      </c>
      <c r="I266" s="15" t="s">
        <v>5392</v>
      </c>
      <c r="J266" s="15" t="n">
        <v>5</v>
      </c>
      <c r="K266" s="15" t="s">
        <v>4337</v>
      </c>
      <c r="L266" s="15" t="str">
        <f aca="false">IF(K266="","No","Yes")</f>
        <v>Yes</v>
      </c>
      <c r="M266" s="18" t="str">
        <f aca="false">IF(K266="","",IFERROR(IF(ISNUMBER(SEARCH(A266,INDEX(Pages!$J$2:$J$824,MATCH(K266,Pages!$B$2:$B$824,0)))),"Yes","No"),"Page not found"))</f>
        <v>No</v>
      </c>
      <c r="N266" s="3" t="s">
        <v>5426</v>
      </c>
      <c r="O266" s="3"/>
      <c r="P266" s="19"/>
      <c r="Q266" s="17"/>
      <c r="R266" s="17"/>
    </row>
    <row r="267" customFormat="false" ht="23.85" hidden="false" customHeight="false" outlineLevel="0" collapsed="false">
      <c r="A267" s="15" t="s">
        <v>4479</v>
      </c>
      <c r="B267" s="15" t="s">
        <v>86</v>
      </c>
      <c r="C267" s="15" t="s">
        <v>356</v>
      </c>
      <c r="D267" s="15" t="s">
        <v>715</v>
      </c>
      <c r="E267" s="15" t="s">
        <v>2372</v>
      </c>
      <c r="F267" s="16" t="n">
        <v>97</v>
      </c>
      <c r="G267" s="15" t="n">
        <v>32</v>
      </c>
      <c r="H267" s="15" t="s">
        <v>5227</v>
      </c>
      <c r="I267" s="15" t="s">
        <v>5392</v>
      </c>
      <c r="J267" s="15" t="n">
        <v>5</v>
      </c>
      <c r="K267" s="15" t="s">
        <v>4475</v>
      </c>
      <c r="L267" s="15" t="str">
        <f aca="false">IF(K267="","No","Yes")</f>
        <v>Yes</v>
      </c>
      <c r="M267" s="18" t="str">
        <f aca="false">IF(K267="","",IFERROR(IF(ISNUMBER(SEARCH(A267,INDEX(Pages!$J$2:$J$824,MATCH(K267,Pages!$B$2:$B$824,0)))),"Yes","No"),"Page not found"))</f>
        <v>Yes</v>
      </c>
      <c r="N267" s="3" t="s">
        <v>5426</v>
      </c>
      <c r="O267" s="3" t="s">
        <v>5483</v>
      </c>
      <c r="P267" s="19"/>
      <c r="Q267" s="17"/>
      <c r="R267" s="17"/>
    </row>
    <row r="268" customFormat="false" ht="23.85" hidden="false" customHeight="false" outlineLevel="0" collapsed="false">
      <c r="A268" s="15" t="s">
        <v>3747</v>
      </c>
      <c r="B268" s="15" t="s">
        <v>74</v>
      </c>
      <c r="C268" s="15" t="s">
        <v>321</v>
      </c>
      <c r="D268" s="15" t="s">
        <v>715</v>
      </c>
      <c r="E268" s="15" t="s">
        <v>2330</v>
      </c>
      <c r="F268" s="16" t="n">
        <v>96</v>
      </c>
      <c r="G268" s="15" t="n">
        <v>35</v>
      </c>
      <c r="H268" s="15" t="s">
        <v>5227</v>
      </c>
      <c r="I268" s="15" t="s">
        <v>5444</v>
      </c>
      <c r="J268" s="15" t="n">
        <v>3</v>
      </c>
      <c r="K268" s="15" t="s">
        <v>3743</v>
      </c>
      <c r="L268" s="15" t="str">
        <f aca="false">IF(K268="","No","Yes")</f>
        <v>Yes</v>
      </c>
      <c r="M268" s="18" t="str">
        <f aca="false">IF(K268="","",IFERROR(IF(ISNUMBER(SEARCH(A268,INDEX(Pages!$J$2:$J$824,MATCH(K268,Pages!$B$2:$B$824,0)))),"Yes","No"),"Page not found"))</f>
        <v>Yes</v>
      </c>
      <c r="N268" s="3" t="s">
        <v>5426</v>
      </c>
      <c r="O268" s="3" t="s">
        <v>5483</v>
      </c>
      <c r="P268" s="19"/>
      <c r="Q268" s="17"/>
      <c r="R268" s="17"/>
    </row>
    <row r="269" customFormat="false" ht="15" hidden="false" customHeight="false" outlineLevel="0" collapsed="false">
      <c r="A269" s="15" t="s">
        <v>3477</v>
      </c>
      <c r="B269" s="15" t="s">
        <v>84</v>
      </c>
      <c r="C269" s="15" t="s">
        <v>314</v>
      </c>
      <c r="D269" s="15" t="s">
        <v>729</v>
      </c>
      <c r="E269" s="15" t="s">
        <v>2421</v>
      </c>
      <c r="F269" s="16" t="n">
        <v>93</v>
      </c>
      <c r="G269" s="15" t="n">
        <v>40</v>
      </c>
      <c r="H269" s="15" t="s">
        <v>5227</v>
      </c>
      <c r="I269" s="15" t="s">
        <v>5392</v>
      </c>
      <c r="J269" s="15" t="n">
        <v>5</v>
      </c>
      <c r="K269" s="15" t="s">
        <v>3473</v>
      </c>
      <c r="L269" s="15" t="str">
        <f aca="false">IF(K269="","No","Yes")</f>
        <v>Yes</v>
      </c>
      <c r="M269" s="18" t="str">
        <f aca="false">IF(K269="","",IFERROR(IF(ISNUMBER(SEARCH(A269,INDEX(Pages!$J$2:$J$824,MATCH(K269,Pages!$B$2:$B$824,0)))),"Yes","No"),"Page not found"))</f>
        <v>Yes</v>
      </c>
      <c r="N269" s="3" t="s">
        <v>5426</v>
      </c>
      <c r="O269" s="3" t="s">
        <v>5427</v>
      </c>
      <c r="P269" s="19"/>
      <c r="Q269" s="17"/>
      <c r="R269" s="17"/>
    </row>
    <row r="270" customFormat="false" ht="15" hidden="false" customHeight="false" outlineLevel="0" collapsed="false">
      <c r="A270" s="15" t="s">
        <v>3279</v>
      </c>
      <c r="B270" s="15" t="s">
        <v>84</v>
      </c>
      <c r="C270" s="15" t="s">
        <v>314</v>
      </c>
      <c r="D270" s="15" t="s">
        <v>680</v>
      </c>
      <c r="E270" s="15" t="s">
        <v>2190</v>
      </c>
      <c r="F270" s="16" t="n">
        <v>92</v>
      </c>
      <c r="G270" s="15" t="n">
        <v>44</v>
      </c>
      <c r="H270" s="15" t="s">
        <v>5227</v>
      </c>
      <c r="I270" s="15" t="s">
        <v>5392</v>
      </c>
      <c r="J270" s="15" t="n">
        <v>4</v>
      </c>
      <c r="K270" s="15" t="s">
        <v>3275</v>
      </c>
      <c r="L270" s="15" t="str">
        <f aca="false">IF(K270="","No","Yes")</f>
        <v>Yes</v>
      </c>
      <c r="M270" s="18" t="str">
        <f aca="false">IF(K270="","",IFERROR(IF(ISNUMBER(SEARCH(A270,INDEX(Pages!$J$2:$J$824,MATCH(K270,Pages!$B$2:$B$824,0)))),"Yes","No"),"Page not found"))</f>
        <v>Yes</v>
      </c>
      <c r="N270" s="3" t="s">
        <v>5376</v>
      </c>
      <c r="O270" s="3"/>
      <c r="P270" s="19"/>
      <c r="Q270" s="17"/>
      <c r="R270" s="17"/>
    </row>
    <row r="271" customFormat="false" ht="15" hidden="false" customHeight="false" outlineLevel="0" collapsed="false">
      <c r="A271" s="15" t="s">
        <v>4913</v>
      </c>
      <c r="B271" s="15" t="s">
        <v>94</v>
      </c>
      <c r="C271" s="15"/>
      <c r="D271" s="15" t="s">
        <v>715</v>
      </c>
      <c r="E271" s="15" t="s">
        <v>2407</v>
      </c>
      <c r="F271" s="16" t="n">
        <v>92</v>
      </c>
      <c r="G271" s="15" t="n">
        <v>30</v>
      </c>
      <c r="H271" s="15" t="s">
        <v>5227</v>
      </c>
      <c r="I271" s="15" t="s">
        <v>5243</v>
      </c>
      <c r="J271" s="15" t="n">
        <v>3</v>
      </c>
      <c r="K271" s="15" t="s">
        <v>4909</v>
      </c>
      <c r="L271" s="15" t="str">
        <f aca="false">IF(K271="","No","Yes")</f>
        <v>Yes</v>
      </c>
      <c r="M271" s="18" t="str">
        <f aca="false">IF(K271="","",IFERROR(IF(ISNUMBER(SEARCH(A271,INDEX(Pages!$J$2:$J$824,MATCH(K271,Pages!$B$2:$B$824,0)))),"Yes","No"),"Page not found"))</f>
        <v>No</v>
      </c>
      <c r="N271" s="3" t="s">
        <v>5471</v>
      </c>
      <c r="O271" s="3" t="s">
        <v>5472</v>
      </c>
      <c r="P271" s="19"/>
      <c r="Q271" s="17"/>
      <c r="R271" s="17"/>
    </row>
    <row r="272" customFormat="false" ht="23.85" hidden="false" customHeight="false" outlineLevel="0" collapsed="false">
      <c r="A272" s="15" t="s">
        <v>3777</v>
      </c>
      <c r="B272" s="15" t="s">
        <v>74</v>
      </c>
      <c r="C272" s="15" t="s">
        <v>321</v>
      </c>
      <c r="D272" s="15" t="s">
        <v>715</v>
      </c>
      <c r="E272" s="15" t="s">
        <v>2365</v>
      </c>
      <c r="F272" s="16" t="n">
        <v>92</v>
      </c>
      <c r="G272" s="15" t="n">
        <v>27</v>
      </c>
      <c r="H272" s="15" t="s">
        <v>5227</v>
      </c>
      <c r="I272" s="15" t="s">
        <v>5444</v>
      </c>
      <c r="J272" s="15" t="n">
        <v>3</v>
      </c>
      <c r="K272" s="15" t="s">
        <v>3773</v>
      </c>
      <c r="L272" s="15" t="str">
        <f aca="false">IF(K272="","No","Yes")</f>
        <v>Yes</v>
      </c>
      <c r="M272" s="18" t="str">
        <f aca="false">IF(K272="","",IFERROR(IF(ISNUMBER(SEARCH(A272,INDEX(Pages!$J$2:$J$824,MATCH(K272,Pages!$B$2:$B$824,0)))),"Yes","No"),"Page not found"))</f>
        <v>Yes</v>
      </c>
      <c r="N272" s="3" t="s">
        <v>5426</v>
      </c>
      <c r="O272" s="3" t="s">
        <v>5483</v>
      </c>
      <c r="P272" s="19"/>
      <c r="Q272" s="17"/>
      <c r="R272" s="17"/>
    </row>
    <row r="273" customFormat="false" ht="15" hidden="false" customHeight="false" outlineLevel="0" collapsed="false">
      <c r="A273" s="15" t="s">
        <v>4979</v>
      </c>
      <c r="B273" s="15" t="s">
        <v>94</v>
      </c>
      <c r="C273" s="15"/>
      <c r="D273" s="15" t="s">
        <v>736</v>
      </c>
      <c r="E273" s="15" t="s">
        <v>2463</v>
      </c>
      <c r="F273" s="16" t="n">
        <v>91</v>
      </c>
      <c r="G273" s="15" t="n">
        <v>30</v>
      </c>
      <c r="H273" s="15" t="s">
        <v>5227</v>
      </c>
      <c r="I273" s="15" t="s">
        <v>5243</v>
      </c>
      <c r="J273" s="15" t="n">
        <v>3</v>
      </c>
      <c r="K273" s="15" t="s">
        <v>4975</v>
      </c>
      <c r="L273" s="15" t="str">
        <f aca="false">IF(K273="","No","Yes")</f>
        <v>Yes</v>
      </c>
      <c r="M273" s="18" t="str">
        <f aca="false">IF(K273="","",IFERROR(IF(ISNUMBER(SEARCH(A273,INDEX(Pages!$J$2:$J$824,MATCH(K273,Pages!$B$2:$B$824,0)))),"Yes","No"),"Page not found"))</f>
        <v>No</v>
      </c>
      <c r="N273" s="3" t="s">
        <v>5471</v>
      </c>
      <c r="O273" s="3" t="s">
        <v>5472</v>
      </c>
      <c r="P273" s="19"/>
      <c r="Q273" s="17"/>
      <c r="R273" s="17"/>
    </row>
    <row r="274" customFormat="false" ht="15" hidden="false" customHeight="false" outlineLevel="0" collapsed="false">
      <c r="A274" s="15" t="s">
        <v>4251</v>
      </c>
      <c r="B274" s="15" t="s">
        <v>86</v>
      </c>
      <c r="C274" s="15" t="s">
        <v>356</v>
      </c>
      <c r="D274" s="15" t="s">
        <v>657</v>
      </c>
      <c r="E274" s="15" t="s">
        <v>2106</v>
      </c>
      <c r="F274" s="16" t="n">
        <v>91</v>
      </c>
      <c r="G274" s="15" t="n">
        <v>32</v>
      </c>
      <c r="H274" s="15" t="s">
        <v>5227</v>
      </c>
      <c r="I274" s="15" t="s">
        <v>5392</v>
      </c>
      <c r="J274" s="15" t="n">
        <v>5</v>
      </c>
      <c r="K274" s="15" t="s">
        <v>4247</v>
      </c>
      <c r="L274" s="15" t="str">
        <f aca="false">IF(K274="","No","Yes")</f>
        <v>Yes</v>
      </c>
      <c r="M274" s="18" t="str">
        <f aca="false">IF(K274="","",IFERROR(IF(ISNUMBER(SEARCH(A274,INDEX(Pages!$J$2:$J$824,MATCH(K274,Pages!$B$2:$B$824,0)))),"Yes","No"),"Page not found"))</f>
        <v>Yes</v>
      </c>
      <c r="N274" s="3" t="s">
        <v>5426</v>
      </c>
      <c r="O274" s="3"/>
      <c r="P274" s="19"/>
      <c r="Q274" s="17"/>
      <c r="R274" s="17"/>
    </row>
    <row r="275" customFormat="false" ht="15" hidden="false" customHeight="false" outlineLevel="0" collapsed="false">
      <c r="A275" s="15" t="s">
        <v>2474</v>
      </c>
      <c r="B275" s="15" t="s">
        <v>89</v>
      </c>
      <c r="C275" s="15" t="s">
        <v>258</v>
      </c>
      <c r="D275" s="15" t="s">
        <v>736</v>
      </c>
      <c r="E275" s="15" t="s">
        <v>2470</v>
      </c>
      <c r="F275" s="16" t="n">
        <v>90</v>
      </c>
      <c r="G275" s="15" t="n">
        <v>33</v>
      </c>
      <c r="H275" s="15" t="s">
        <v>5227</v>
      </c>
      <c r="I275" s="15" t="s">
        <v>5473</v>
      </c>
      <c r="J275" s="15" t="n">
        <v>2</v>
      </c>
      <c r="K275" s="15" t="s">
        <v>2469</v>
      </c>
      <c r="L275" s="15" t="str">
        <f aca="false">IF(K275="","No","Yes")</f>
        <v>Yes</v>
      </c>
      <c r="M275" s="18" t="str">
        <f aca="false">IF(K275="","",IFERROR(IF(ISNUMBER(SEARCH(A275,INDEX(Pages!$J$2:$J$824,MATCH(K275,Pages!$B$2:$B$824,0)))),"Yes","No"),"Page not found"))</f>
        <v>Yes</v>
      </c>
      <c r="N275" s="3" t="s">
        <v>5426</v>
      </c>
      <c r="O275" s="3"/>
      <c r="P275" s="19"/>
      <c r="Q275" s="17"/>
      <c r="R275" s="17"/>
    </row>
    <row r="276" customFormat="false" ht="15" hidden="false" customHeight="false" outlineLevel="0" collapsed="false">
      <c r="A276" s="15" t="s">
        <v>3171</v>
      </c>
      <c r="B276" s="15" t="s">
        <v>85</v>
      </c>
      <c r="C276" s="15" t="s">
        <v>272</v>
      </c>
      <c r="D276" s="15" t="s">
        <v>736</v>
      </c>
      <c r="E276" s="15" t="s">
        <v>2470</v>
      </c>
      <c r="F276" s="16" t="n">
        <v>90</v>
      </c>
      <c r="G276" s="15" t="n">
        <v>40</v>
      </c>
      <c r="H276" s="15" t="s">
        <v>5227</v>
      </c>
      <c r="I276" s="15" t="s">
        <v>5392</v>
      </c>
      <c r="J276" s="15" t="n">
        <v>4</v>
      </c>
      <c r="K276" s="15" t="s">
        <v>3167</v>
      </c>
      <c r="L276" s="15" t="str">
        <f aca="false">IF(K276="","No","Yes")</f>
        <v>Yes</v>
      </c>
      <c r="M276" s="18" t="str">
        <f aca="false">IF(K276="","",IFERROR(IF(ISNUMBER(SEARCH(A276,INDEX(Pages!$J$2:$J$824,MATCH(K276,Pages!$B$2:$B$824,0)))),"Yes","No"),"Page not found"))</f>
        <v>Yes</v>
      </c>
      <c r="N276" s="3" t="s">
        <v>5426</v>
      </c>
      <c r="O276" s="3"/>
      <c r="P276" s="19"/>
      <c r="Q276" s="17"/>
      <c r="R276" s="17"/>
    </row>
    <row r="277" customFormat="false" ht="15" hidden="false" customHeight="false" outlineLevel="0" collapsed="false">
      <c r="A277" s="15" t="s">
        <v>5434</v>
      </c>
      <c r="B277" s="15" t="s">
        <v>84</v>
      </c>
      <c r="C277" s="15" t="s">
        <v>314</v>
      </c>
      <c r="D277" s="15" t="s">
        <v>657</v>
      </c>
      <c r="E277" s="15" t="s">
        <v>2106</v>
      </c>
      <c r="F277" s="16" t="n">
        <v>90</v>
      </c>
      <c r="G277" s="15" t="n">
        <v>15</v>
      </c>
      <c r="H277" s="15" t="s">
        <v>5227</v>
      </c>
      <c r="I277" s="15" t="s">
        <v>5285</v>
      </c>
      <c r="J277" s="15" t="n">
        <v>3</v>
      </c>
      <c r="K277" s="15" t="s">
        <v>5007</v>
      </c>
      <c r="L277" s="15" t="str">
        <f aca="false">IF(K277="","No","Yes")</f>
        <v>Yes</v>
      </c>
      <c r="M277" s="18" t="str">
        <f aca="false">IF(K277="","",IFERROR(IF(ISNUMBER(SEARCH(A277,INDEX(Pages!$J$2:$J$824,MATCH(K277,Pages!$B$2:$B$824,0)))),"Yes","No"),"Page not found"))</f>
        <v>No</v>
      </c>
      <c r="N277" s="3" t="s">
        <v>5426</v>
      </c>
      <c r="O277" s="3"/>
      <c r="P277" s="19"/>
      <c r="Q277" s="17"/>
      <c r="R277" s="17"/>
    </row>
    <row r="278" customFormat="false" ht="23.85" hidden="false" customHeight="false" outlineLevel="0" collapsed="false">
      <c r="A278" s="15" t="s">
        <v>4455</v>
      </c>
      <c r="B278" s="15" t="s">
        <v>86</v>
      </c>
      <c r="C278" s="15" t="s">
        <v>356</v>
      </c>
      <c r="D278" s="15" t="s">
        <v>715</v>
      </c>
      <c r="E278" s="15" t="s">
        <v>2344</v>
      </c>
      <c r="F278" s="16" t="n">
        <v>90</v>
      </c>
      <c r="G278" s="15" t="n">
        <v>32</v>
      </c>
      <c r="H278" s="15" t="s">
        <v>5227</v>
      </c>
      <c r="I278" s="15" t="s">
        <v>5392</v>
      </c>
      <c r="J278" s="15" t="n">
        <v>5</v>
      </c>
      <c r="K278" s="15" t="s">
        <v>4451</v>
      </c>
      <c r="L278" s="15" t="str">
        <f aca="false">IF(K278="","No","Yes")</f>
        <v>Yes</v>
      </c>
      <c r="M278" s="18" t="str">
        <f aca="false">IF(K278="","",IFERROR(IF(ISNUMBER(SEARCH(A278,INDEX(Pages!$J$2:$J$824,MATCH(K278,Pages!$B$2:$B$824,0)))),"Yes","No"),"Page not found"))</f>
        <v>Yes</v>
      </c>
      <c r="N278" s="3" t="s">
        <v>5426</v>
      </c>
      <c r="O278" s="3" t="s">
        <v>5483</v>
      </c>
      <c r="P278" s="19"/>
      <c r="Q278" s="17"/>
      <c r="R278" s="17"/>
    </row>
    <row r="279" customFormat="false" ht="23.85" hidden="false" customHeight="false" outlineLevel="0" collapsed="false">
      <c r="A279" s="15" t="s">
        <v>2571</v>
      </c>
      <c r="B279" s="15" t="s">
        <v>82</v>
      </c>
      <c r="C279" s="15" t="s">
        <v>265</v>
      </c>
      <c r="D279" s="15" t="s">
        <v>673</v>
      </c>
      <c r="E279" s="15" t="s">
        <v>2176</v>
      </c>
      <c r="F279" s="16" t="n">
        <v>89</v>
      </c>
      <c r="G279" s="15" t="n">
        <v>44</v>
      </c>
      <c r="H279" s="15" t="s">
        <v>5227</v>
      </c>
      <c r="I279" s="15" t="s">
        <v>5228</v>
      </c>
      <c r="J279" s="15" t="n">
        <v>5</v>
      </c>
      <c r="K279" s="15" t="s">
        <v>2567</v>
      </c>
      <c r="L279" s="15" t="str">
        <f aca="false">IF(K279="","No","Yes")</f>
        <v>Yes</v>
      </c>
      <c r="M279" s="18" t="str">
        <f aca="false">IF(K279="","",IFERROR(IF(ISNUMBER(SEARCH(A279,INDEX(Pages!$J$2:$J$824,MATCH(K279,Pages!$B$2:$B$824,0)))),"Yes","No"),"Page not found"))</f>
        <v>Yes</v>
      </c>
      <c r="N279" s="3" t="s">
        <v>5426</v>
      </c>
      <c r="O279" s="3" t="s">
        <v>5499</v>
      </c>
      <c r="P279" s="19"/>
      <c r="Q279" s="17"/>
      <c r="R279" s="17"/>
    </row>
    <row r="280" customFormat="false" ht="15" hidden="false" customHeight="false" outlineLevel="0" collapsed="false">
      <c r="A280" s="15" t="s">
        <v>4245</v>
      </c>
      <c r="B280" s="15" t="s">
        <v>86</v>
      </c>
      <c r="C280" s="15" t="s">
        <v>356</v>
      </c>
      <c r="D280" s="15" t="s">
        <v>657</v>
      </c>
      <c r="E280" s="15" t="s">
        <v>2099</v>
      </c>
      <c r="F280" s="16" t="n">
        <v>89</v>
      </c>
      <c r="G280" s="15" t="n">
        <v>32</v>
      </c>
      <c r="H280" s="15" t="s">
        <v>5227</v>
      </c>
      <c r="I280" s="15" t="s">
        <v>5392</v>
      </c>
      <c r="J280" s="15" t="n">
        <v>5</v>
      </c>
      <c r="K280" s="15" t="s">
        <v>4241</v>
      </c>
      <c r="L280" s="15" t="str">
        <f aca="false">IF(K280="","No","Yes")</f>
        <v>Yes</v>
      </c>
      <c r="M280" s="18" t="str">
        <f aca="false">IF(K280="","",IFERROR(IF(ISNUMBER(SEARCH(A280,INDEX(Pages!$J$2:$J$824,MATCH(K280,Pages!$B$2:$B$824,0)))),"Yes","No"),"Page not found"))</f>
        <v>Yes</v>
      </c>
      <c r="N280" s="3" t="s">
        <v>5426</v>
      </c>
      <c r="O280" s="3"/>
      <c r="P280" s="19"/>
      <c r="Q280" s="17"/>
      <c r="R280" s="17"/>
    </row>
    <row r="281" customFormat="false" ht="15" hidden="false" customHeight="false" outlineLevel="0" collapsed="false">
      <c r="A281" s="15" t="s">
        <v>2292</v>
      </c>
      <c r="B281" s="15" t="s">
        <v>89</v>
      </c>
      <c r="C281" s="15" t="s">
        <v>258</v>
      </c>
      <c r="D281" s="15" t="s">
        <v>715</v>
      </c>
      <c r="E281" s="15" t="s">
        <v>2288</v>
      </c>
      <c r="F281" s="16" t="n">
        <v>88</v>
      </c>
      <c r="G281" s="15" t="n">
        <v>41</v>
      </c>
      <c r="H281" s="15" t="s">
        <v>5227</v>
      </c>
      <c r="I281" s="15" t="s">
        <v>5473</v>
      </c>
      <c r="J281" s="15" t="n">
        <v>3</v>
      </c>
      <c r="K281" s="15" t="s">
        <v>2287</v>
      </c>
      <c r="L281" s="15" t="str">
        <f aca="false">IF(K281="","No","Yes")</f>
        <v>Yes</v>
      </c>
      <c r="M281" s="18" t="str">
        <f aca="false">IF(K281="","",IFERROR(IF(ISNUMBER(SEARCH(A281,INDEX(Pages!$J$2:$J$824,MATCH(K281,Pages!$B$2:$B$824,0)))),"Yes","No"),"Page not found"))</f>
        <v>Yes</v>
      </c>
      <c r="N281" s="3" t="s">
        <v>5426</v>
      </c>
      <c r="O281" s="3"/>
      <c r="P281" s="19"/>
      <c r="Q281" s="17"/>
      <c r="R281" s="17"/>
    </row>
    <row r="282" customFormat="false" ht="15" hidden="false" customHeight="false" outlineLevel="0" collapsed="false">
      <c r="A282" s="15" t="s">
        <v>3015</v>
      </c>
      <c r="B282" s="15" t="s">
        <v>85</v>
      </c>
      <c r="C282" s="15" t="s">
        <v>272</v>
      </c>
      <c r="D282" s="15" t="s">
        <v>715</v>
      </c>
      <c r="E282" s="15" t="s">
        <v>2288</v>
      </c>
      <c r="F282" s="16" t="n">
        <v>88</v>
      </c>
      <c r="G282" s="15" t="n">
        <v>48</v>
      </c>
      <c r="H282" s="15" t="s">
        <v>5227</v>
      </c>
      <c r="I282" s="15" t="s">
        <v>5392</v>
      </c>
      <c r="J282" s="15" t="n">
        <v>4</v>
      </c>
      <c r="K282" s="15" t="s">
        <v>3011</v>
      </c>
      <c r="L282" s="15" t="str">
        <f aca="false">IF(K282="","No","Yes")</f>
        <v>Yes</v>
      </c>
      <c r="M282" s="18" t="str">
        <f aca="false">IF(K282="","",IFERROR(IF(ISNUMBER(SEARCH(A282,INDEX(Pages!$J$2:$J$824,MATCH(K282,Pages!$B$2:$B$824,0)))),"Yes","No"),"Page not found"))</f>
        <v>Yes</v>
      </c>
      <c r="N282" s="3" t="s">
        <v>5426</v>
      </c>
      <c r="O282" s="3"/>
      <c r="P282" s="19"/>
      <c r="Q282" s="17"/>
      <c r="R282" s="17"/>
    </row>
    <row r="283" customFormat="false" ht="15" hidden="false" customHeight="false" outlineLevel="0" collapsed="false">
      <c r="A283" s="15" t="s">
        <v>4071</v>
      </c>
      <c r="B283" s="15" t="s">
        <v>81</v>
      </c>
      <c r="C283" s="15" t="s">
        <v>349</v>
      </c>
      <c r="D283" s="15" t="s">
        <v>715</v>
      </c>
      <c r="E283" s="15" t="s">
        <v>2302</v>
      </c>
      <c r="F283" s="16" t="n">
        <v>88</v>
      </c>
      <c r="G283" s="15" t="n">
        <v>36</v>
      </c>
      <c r="H283" s="15" t="s">
        <v>5227</v>
      </c>
      <c r="I283" s="15" t="s">
        <v>5235</v>
      </c>
      <c r="J283" s="15" t="n">
        <v>4</v>
      </c>
      <c r="K283" s="15" t="s">
        <v>4067</v>
      </c>
      <c r="L283" s="15" t="str">
        <f aca="false">IF(K283="","No","Yes")</f>
        <v>Yes</v>
      </c>
      <c r="M283" s="18" t="str">
        <f aca="false">IF(K283="","",IFERROR(IF(ISNUMBER(SEARCH(A283,INDEX(Pages!$J$2:$J$824,MATCH(K283,Pages!$B$2:$B$824,0)))),"Yes","No"),"Page not found"))</f>
        <v>Yes</v>
      </c>
      <c r="N283" s="3" t="s">
        <v>5426</v>
      </c>
      <c r="O283" s="3"/>
      <c r="P283" s="19"/>
      <c r="Q283" s="17"/>
      <c r="R283" s="17"/>
    </row>
    <row r="284" customFormat="false" ht="15" hidden="false" customHeight="false" outlineLevel="0" collapsed="false">
      <c r="A284" s="15" t="s">
        <v>4527</v>
      </c>
      <c r="B284" s="15" t="s">
        <v>86</v>
      </c>
      <c r="C284" s="15" t="s">
        <v>356</v>
      </c>
      <c r="D284" s="15" t="s">
        <v>729</v>
      </c>
      <c r="E284" s="15" t="s">
        <v>2428</v>
      </c>
      <c r="F284" s="16" t="n">
        <v>88</v>
      </c>
      <c r="G284" s="15" t="n">
        <v>44</v>
      </c>
      <c r="H284" s="15" t="s">
        <v>5227</v>
      </c>
      <c r="I284" s="15" t="s">
        <v>5392</v>
      </c>
      <c r="J284" s="15" t="n">
        <v>5</v>
      </c>
      <c r="K284" s="15" t="s">
        <v>4523</v>
      </c>
      <c r="L284" s="15" t="str">
        <f aca="false">IF(K284="","No","Yes")</f>
        <v>Yes</v>
      </c>
      <c r="M284" s="18" t="str">
        <f aca="false">IF(K284="","",IFERROR(IF(ISNUMBER(SEARCH(A284,INDEX(Pages!$J$2:$J$824,MATCH(K284,Pages!$B$2:$B$824,0)))),"Yes","No"),"Page not found"))</f>
        <v>Yes</v>
      </c>
      <c r="N284" s="3" t="s">
        <v>5408</v>
      </c>
      <c r="O284" s="3" t="s">
        <v>5427</v>
      </c>
      <c r="P284" s="19"/>
      <c r="Q284" s="17"/>
      <c r="R284" s="17"/>
    </row>
    <row r="285" customFormat="false" ht="15" hidden="false" customHeight="false" outlineLevel="0" collapsed="false">
      <c r="A285" s="15" t="s">
        <v>2124</v>
      </c>
      <c r="B285" s="15" t="s">
        <v>89</v>
      </c>
      <c r="C285" s="15" t="s">
        <v>258</v>
      </c>
      <c r="D285" s="15" t="s">
        <v>666</v>
      </c>
      <c r="E285" s="15" t="s">
        <v>2120</v>
      </c>
      <c r="F285" s="16" t="n">
        <v>86</v>
      </c>
      <c r="G285" s="15" t="n">
        <v>33</v>
      </c>
      <c r="H285" s="15" t="s">
        <v>5227</v>
      </c>
      <c r="I285" s="15" t="s">
        <v>5473</v>
      </c>
      <c r="J285" s="15" t="n">
        <v>2</v>
      </c>
      <c r="K285" s="15" t="s">
        <v>2119</v>
      </c>
      <c r="L285" s="15" t="str">
        <f aca="false">IF(K285="","No","Yes")</f>
        <v>Yes</v>
      </c>
      <c r="M285" s="18" t="str">
        <f aca="false">IF(K285="","",IFERROR(IF(ISNUMBER(SEARCH(A285,INDEX(Pages!$J$2:$J$824,MATCH(K285,Pages!$B$2:$B$824,0)))),"Yes","No"),"Page not found"))</f>
        <v>Yes</v>
      </c>
      <c r="N285" s="3" t="s">
        <v>5426</v>
      </c>
      <c r="O285" s="3"/>
      <c r="P285" s="19"/>
      <c r="Q285" s="17"/>
      <c r="R285" s="17"/>
    </row>
    <row r="286" customFormat="false" ht="15" hidden="false" customHeight="false" outlineLevel="0" collapsed="false">
      <c r="A286" s="15" t="s">
        <v>2871</v>
      </c>
      <c r="B286" s="15" t="s">
        <v>85</v>
      </c>
      <c r="C286" s="15" t="s">
        <v>272</v>
      </c>
      <c r="D286" s="15" t="s">
        <v>666</v>
      </c>
      <c r="E286" s="15" t="s">
        <v>2120</v>
      </c>
      <c r="F286" s="16" t="n">
        <v>86</v>
      </c>
      <c r="G286" s="15" t="n">
        <v>40</v>
      </c>
      <c r="H286" s="15" t="s">
        <v>5227</v>
      </c>
      <c r="I286" s="15" t="s">
        <v>5392</v>
      </c>
      <c r="J286" s="15" t="n">
        <v>4</v>
      </c>
      <c r="K286" s="15" t="s">
        <v>2867</v>
      </c>
      <c r="L286" s="15" t="str">
        <f aca="false">IF(K286="","No","Yes")</f>
        <v>Yes</v>
      </c>
      <c r="M286" s="18" t="str">
        <f aca="false">IF(K286="","",IFERROR(IF(ISNUMBER(SEARCH(A286,INDEX(Pages!$J$2:$J$824,MATCH(K286,Pages!$B$2:$B$824,0)))),"Yes","No"),"Page not found"))</f>
        <v>Yes</v>
      </c>
      <c r="N286" s="3" t="s">
        <v>5426</v>
      </c>
      <c r="O286" s="3"/>
      <c r="P286" s="19"/>
      <c r="Q286" s="17"/>
      <c r="R286" s="17"/>
    </row>
    <row r="287" customFormat="false" ht="23.85" hidden="false" customHeight="false" outlineLevel="0" collapsed="false">
      <c r="A287" s="15" t="s">
        <v>3561</v>
      </c>
      <c r="B287" s="15" t="s">
        <v>74</v>
      </c>
      <c r="C287" s="15" t="s">
        <v>321</v>
      </c>
      <c r="D287" s="15" t="s">
        <v>666</v>
      </c>
      <c r="E287" s="15" t="s">
        <v>2113</v>
      </c>
      <c r="F287" s="16" t="n">
        <v>86</v>
      </c>
      <c r="G287" s="15" t="n">
        <v>27</v>
      </c>
      <c r="H287" s="15" t="s">
        <v>5227</v>
      </c>
      <c r="I287" s="15" t="s">
        <v>5444</v>
      </c>
      <c r="J287" s="15" t="n">
        <v>3</v>
      </c>
      <c r="K287" s="15" t="s">
        <v>3557</v>
      </c>
      <c r="L287" s="15" t="str">
        <f aca="false">IF(K287="","No","Yes")</f>
        <v>Yes</v>
      </c>
      <c r="M287" s="18" t="str">
        <f aca="false">IF(K287="","",IFERROR(IF(ISNUMBER(SEARCH(A287,INDEX(Pages!$J$2:$J$824,MATCH(K287,Pages!$B$2:$B$824,0)))),"Yes","No"),"Page not found"))</f>
        <v>Yes</v>
      </c>
      <c r="N287" s="3" t="s">
        <v>5426</v>
      </c>
      <c r="O287" s="3" t="s">
        <v>5483</v>
      </c>
      <c r="P287" s="19"/>
      <c r="Q287" s="17"/>
      <c r="R287" s="17"/>
    </row>
    <row r="288" customFormat="false" ht="15" hidden="false" customHeight="false" outlineLevel="0" collapsed="false">
      <c r="A288" s="15" t="s">
        <v>3489</v>
      </c>
      <c r="B288" s="15" t="s">
        <v>84</v>
      </c>
      <c r="C288" s="15" t="s">
        <v>314</v>
      </c>
      <c r="D288" s="15" t="s">
        <v>729</v>
      </c>
      <c r="E288" s="15" t="s">
        <v>2435</v>
      </c>
      <c r="F288" s="16" t="n">
        <v>84</v>
      </c>
      <c r="G288" s="15" t="n">
        <v>40</v>
      </c>
      <c r="H288" s="15" t="s">
        <v>5227</v>
      </c>
      <c r="I288" s="15" t="s">
        <v>5392</v>
      </c>
      <c r="J288" s="15" t="n">
        <v>5</v>
      </c>
      <c r="K288" s="15" t="s">
        <v>3485</v>
      </c>
      <c r="L288" s="15" t="str">
        <f aca="false">IF(K288="","No","Yes")</f>
        <v>Yes</v>
      </c>
      <c r="M288" s="18" t="str">
        <f aca="false">IF(K288="","",IFERROR(IF(ISNUMBER(SEARCH(A288,INDEX(Pages!$J$2:$J$824,MATCH(K288,Pages!$B$2:$B$824,0)))),"Yes","No"),"Page not found"))</f>
        <v>Yes</v>
      </c>
      <c r="N288" s="3" t="s">
        <v>5426</v>
      </c>
      <c r="O288" s="3" t="s">
        <v>5427</v>
      </c>
      <c r="P288" s="19"/>
      <c r="Q288" s="17"/>
      <c r="R288" s="17"/>
    </row>
    <row r="289" customFormat="false" ht="23.85" hidden="false" customHeight="false" outlineLevel="0" collapsed="false">
      <c r="A289" s="15" t="s">
        <v>3573</v>
      </c>
      <c r="B289" s="15" t="s">
        <v>74</v>
      </c>
      <c r="C289" s="15" t="s">
        <v>321</v>
      </c>
      <c r="D289" s="15" t="s">
        <v>666</v>
      </c>
      <c r="E289" s="15" t="s">
        <v>2127</v>
      </c>
      <c r="F289" s="16" t="n">
        <v>84</v>
      </c>
      <c r="G289" s="15" t="n">
        <v>27</v>
      </c>
      <c r="H289" s="15" t="s">
        <v>5227</v>
      </c>
      <c r="I289" s="15" t="s">
        <v>5444</v>
      </c>
      <c r="J289" s="15" t="n">
        <v>3</v>
      </c>
      <c r="K289" s="15" t="s">
        <v>3569</v>
      </c>
      <c r="L289" s="15" t="str">
        <f aca="false">IF(K289="","No","Yes")</f>
        <v>Yes</v>
      </c>
      <c r="M289" s="18" t="str">
        <f aca="false">IF(K289="","",IFERROR(IF(ISNUMBER(SEARCH(A289,INDEX(Pages!$J$2:$J$824,MATCH(K289,Pages!$B$2:$B$824,0)))),"Yes","No"),"Page not found"))</f>
        <v>Yes</v>
      </c>
      <c r="N289" s="3" t="s">
        <v>5426</v>
      </c>
      <c r="O289" s="3" t="s">
        <v>5483</v>
      </c>
      <c r="P289" s="19"/>
      <c r="Q289" s="17"/>
      <c r="R289" s="17"/>
    </row>
    <row r="290" customFormat="false" ht="15" hidden="false" customHeight="false" outlineLevel="0" collapsed="false">
      <c r="A290" s="15" t="s">
        <v>4305</v>
      </c>
      <c r="B290" s="15" t="s">
        <v>86</v>
      </c>
      <c r="C290" s="15" t="s">
        <v>356</v>
      </c>
      <c r="D290" s="15" t="s">
        <v>666</v>
      </c>
      <c r="E290" s="15" t="s">
        <v>2169</v>
      </c>
      <c r="F290" s="16" t="n">
        <v>84</v>
      </c>
      <c r="G290" s="15" t="n">
        <v>40</v>
      </c>
      <c r="H290" s="15" t="s">
        <v>5227</v>
      </c>
      <c r="I290" s="15" t="s">
        <v>5392</v>
      </c>
      <c r="J290" s="15" t="n">
        <v>5</v>
      </c>
      <c r="K290" s="15" t="s">
        <v>4301</v>
      </c>
      <c r="L290" s="15" t="str">
        <f aca="false">IF(K290="","No","Yes")</f>
        <v>Yes</v>
      </c>
      <c r="M290" s="18" t="str">
        <f aca="false">IF(K290="","",IFERROR(IF(ISNUMBER(SEARCH(A290,INDEX(Pages!$J$2:$J$824,MATCH(K290,Pages!$B$2:$B$824,0)))),"Yes","No"),"Page not found"))</f>
        <v>Yes</v>
      </c>
      <c r="N290" s="3" t="s">
        <v>5426</v>
      </c>
      <c r="O290" s="3"/>
      <c r="P290" s="19"/>
      <c r="Q290" s="17"/>
      <c r="R290" s="17"/>
    </row>
    <row r="291" customFormat="false" ht="23.85" hidden="false" customHeight="false" outlineLevel="0" collapsed="false">
      <c r="A291" s="15" t="s">
        <v>3669</v>
      </c>
      <c r="B291" s="15" t="s">
        <v>74</v>
      </c>
      <c r="C291" s="15" t="s">
        <v>321</v>
      </c>
      <c r="D291" s="15" t="s">
        <v>715</v>
      </c>
      <c r="E291" s="15" t="s">
        <v>2239</v>
      </c>
      <c r="F291" s="16" t="n">
        <v>83</v>
      </c>
      <c r="G291" s="15" t="n">
        <v>35</v>
      </c>
      <c r="H291" s="15" t="s">
        <v>5227</v>
      </c>
      <c r="I291" s="15" t="s">
        <v>5444</v>
      </c>
      <c r="J291" s="15" t="n">
        <v>3</v>
      </c>
      <c r="K291" s="15" t="s">
        <v>3665</v>
      </c>
      <c r="L291" s="15" t="str">
        <f aca="false">IF(K291="","No","Yes")</f>
        <v>Yes</v>
      </c>
      <c r="M291" s="18" t="str">
        <f aca="false">IF(K291="","",IFERROR(IF(ISNUMBER(SEARCH(A291,INDEX(Pages!$J$2:$J$824,MATCH(K291,Pages!$B$2:$B$824,0)))),"Yes","No"),"Page not found"))</f>
        <v>Yes</v>
      </c>
      <c r="N291" s="3" t="s">
        <v>5426</v>
      </c>
      <c r="O291" s="3" t="s">
        <v>5483</v>
      </c>
      <c r="P291" s="19"/>
      <c r="Q291" s="17"/>
      <c r="R291" s="17"/>
    </row>
    <row r="292" customFormat="false" ht="23.85" hidden="false" customHeight="false" outlineLevel="0" collapsed="false">
      <c r="A292" s="15" t="s">
        <v>3693</v>
      </c>
      <c r="B292" s="15" t="s">
        <v>74</v>
      </c>
      <c r="C292" s="15" t="s">
        <v>321</v>
      </c>
      <c r="D292" s="15" t="s">
        <v>715</v>
      </c>
      <c r="E292" s="15" t="s">
        <v>2267</v>
      </c>
      <c r="F292" s="16" t="n">
        <v>82</v>
      </c>
      <c r="G292" s="15" t="n">
        <v>35</v>
      </c>
      <c r="H292" s="15" t="s">
        <v>5227</v>
      </c>
      <c r="I292" s="15" t="s">
        <v>5444</v>
      </c>
      <c r="J292" s="15" t="n">
        <v>3</v>
      </c>
      <c r="K292" s="15" t="s">
        <v>3689</v>
      </c>
      <c r="L292" s="15" t="str">
        <f aca="false">IF(K292="","No","Yes")</f>
        <v>Yes</v>
      </c>
      <c r="M292" s="18" t="str">
        <f aca="false">IF(K292="","",IFERROR(IF(ISNUMBER(SEARCH(A292,INDEX(Pages!$J$2:$J$824,MATCH(K292,Pages!$B$2:$B$824,0)))),"Yes","No"),"Page not found"))</f>
        <v>Yes</v>
      </c>
      <c r="N292" s="3" t="s">
        <v>5426</v>
      </c>
      <c r="O292" s="3" t="s">
        <v>5483</v>
      </c>
      <c r="P292" s="19"/>
      <c r="Q292" s="17"/>
      <c r="R292" s="17"/>
    </row>
    <row r="293" customFormat="false" ht="15" hidden="false" customHeight="false" outlineLevel="0" collapsed="false">
      <c r="A293" s="15" t="s">
        <v>3579</v>
      </c>
      <c r="B293" s="15" t="s">
        <v>74</v>
      </c>
      <c r="C293" s="15" t="s">
        <v>321</v>
      </c>
      <c r="D293" s="15" t="s">
        <v>666</v>
      </c>
      <c r="E293" s="15" t="s">
        <v>2134</v>
      </c>
      <c r="F293" s="16" t="n">
        <v>82</v>
      </c>
      <c r="G293" s="15" t="n">
        <v>35</v>
      </c>
      <c r="H293" s="15" t="s">
        <v>5227</v>
      </c>
      <c r="I293" s="15" t="s">
        <v>5444</v>
      </c>
      <c r="J293" s="15" t="n">
        <v>2</v>
      </c>
      <c r="K293" s="15" t="s">
        <v>3575</v>
      </c>
      <c r="L293" s="15" t="str">
        <f aca="false">IF(K293="","No","Yes")</f>
        <v>Yes</v>
      </c>
      <c r="M293" s="18" t="str">
        <f aca="false">IF(K293="","",IFERROR(IF(ISNUMBER(SEARCH(A293,INDEX(Pages!$J$2:$J$824,MATCH(K293,Pages!$B$2:$B$824,0)))),"Yes","No"),"Page not found"))</f>
        <v>Yes</v>
      </c>
      <c r="N293" s="3" t="s">
        <v>5426</v>
      </c>
      <c r="O293" s="3"/>
      <c r="P293" s="19"/>
      <c r="Q293" s="17"/>
      <c r="R293" s="17"/>
    </row>
    <row r="294" customFormat="false" ht="15" hidden="false" customHeight="false" outlineLevel="0" collapsed="false">
      <c r="A294" s="15" t="s">
        <v>2411</v>
      </c>
      <c r="B294" s="15" t="s">
        <v>89</v>
      </c>
      <c r="C294" s="15" t="s">
        <v>258</v>
      </c>
      <c r="D294" s="15" t="s">
        <v>715</v>
      </c>
      <c r="E294" s="15" t="s">
        <v>2407</v>
      </c>
      <c r="F294" s="16" t="n">
        <v>80</v>
      </c>
      <c r="G294" s="15" t="n">
        <v>41</v>
      </c>
      <c r="H294" s="15" t="s">
        <v>5227</v>
      </c>
      <c r="I294" s="15" t="s">
        <v>5473</v>
      </c>
      <c r="J294" s="15" t="n">
        <v>3</v>
      </c>
      <c r="K294" s="15" t="s">
        <v>2406</v>
      </c>
      <c r="L294" s="15" t="str">
        <f aca="false">IF(K294="","No","Yes")</f>
        <v>Yes</v>
      </c>
      <c r="M294" s="18" t="str">
        <f aca="false">IF(K294="","",IFERROR(IF(ISNUMBER(SEARCH(A294,INDEX(Pages!$J$2:$J$824,MATCH(K294,Pages!$B$2:$B$824,0)))),"Yes","No"),"Page not found"))</f>
        <v>Yes</v>
      </c>
      <c r="N294" s="3" t="s">
        <v>5426</v>
      </c>
      <c r="O294" s="3"/>
      <c r="P294" s="19"/>
      <c r="Q294" s="17"/>
      <c r="R294" s="17"/>
    </row>
    <row r="295" customFormat="false" ht="15" hidden="false" customHeight="false" outlineLevel="0" collapsed="false">
      <c r="A295" s="15" t="s">
        <v>3117</v>
      </c>
      <c r="B295" s="15" t="s">
        <v>85</v>
      </c>
      <c r="C295" s="15" t="s">
        <v>272</v>
      </c>
      <c r="D295" s="15" t="s">
        <v>715</v>
      </c>
      <c r="E295" s="15" t="s">
        <v>2407</v>
      </c>
      <c r="F295" s="16" t="n">
        <v>80</v>
      </c>
      <c r="G295" s="15" t="n">
        <v>48</v>
      </c>
      <c r="H295" s="15" t="s">
        <v>5227</v>
      </c>
      <c r="I295" s="15" t="s">
        <v>5392</v>
      </c>
      <c r="J295" s="15" t="n">
        <v>4</v>
      </c>
      <c r="K295" s="15" t="s">
        <v>3113</v>
      </c>
      <c r="L295" s="15" t="str">
        <f aca="false">IF(K295="","No","Yes")</f>
        <v>Yes</v>
      </c>
      <c r="M295" s="18" t="str">
        <f aca="false">IF(K295="","",IFERROR(IF(ISNUMBER(SEARCH(A295,INDEX(Pages!$J$2:$J$824,MATCH(K295,Pages!$B$2:$B$824,0)))),"Yes","No"),"Page not found"))</f>
        <v>Yes</v>
      </c>
      <c r="N295" s="3" t="s">
        <v>5426</v>
      </c>
      <c r="O295" s="3"/>
      <c r="P295" s="19"/>
      <c r="Q295" s="17"/>
      <c r="R295" s="17"/>
    </row>
    <row r="296" customFormat="false" ht="15" hidden="false" customHeight="false" outlineLevel="0" collapsed="false">
      <c r="A296" s="15" t="s">
        <v>2467</v>
      </c>
      <c r="B296" s="15" t="s">
        <v>89</v>
      </c>
      <c r="C296" s="15" t="s">
        <v>258</v>
      </c>
      <c r="D296" s="15" t="s">
        <v>736</v>
      </c>
      <c r="E296" s="15" t="s">
        <v>2463</v>
      </c>
      <c r="F296" s="16" t="n">
        <v>79</v>
      </c>
      <c r="G296" s="15" t="n">
        <v>33</v>
      </c>
      <c r="H296" s="15" t="s">
        <v>5227</v>
      </c>
      <c r="I296" s="15" t="s">
        <v>5473</v>
      </c>
      <c r="J296" s="15" t="n">
        <v>3</v>
      </c>
      <c r="K296" s="15" t="s">
        <v>2462</v>
      </c>
      <c r="L296" s="15" t="str">
        <f aca="false">IF(K296="","No","Yes")</f>
        <v>Yes</v>
      </c>
      <c r="M296" s="18" t="str">
        <f aca="false">IF(K296="","",IFERROR(IF(ISNUMBER(SEARCH(A296,INDEX(Pages!$J$2:$J$824,MATCH(K296,Pages!$B$2:$B$824,0)))),"Yes","No"),"Page not found"))</f>
        <v>Yes</v>
      </c>
      <c r="N296" s="3" t="s">
        <v>5426</v>
      </c>
      <c r="O296" s="3"/>
      <c r="P296" s="19"/>
      <c r="Q296" s="17"/>
      <c r="R296" s="17"/>
    </row>
    <row r="297" customFormat="false" ht="15" hidden="false" customHeight="false" outlineLevel="0" collapsed="false">
      <c r="A297" s="15" t="s">
        <v>3165</v>
      </c>
      <c r="B297" s="15" t="s">
        <v>85</v>
      </c>
      <c r="C297" s="15" t="s">
        <v>272</v>
      </c>
      <c r="D297" s="15" t="s">
        <v>736</v>
      </c>
      <c r="E297" s="15" t="s">
        <v>2463</v>
      </c>
      <c r="F297" s="16" t="n">
        <v>79</v>
      </c>
      <c r="G297" s="15" t="n">
        <v>40</v>
      </c>
      <c r="H297" s="15" t="s">
        <v>5227</v>
      </c>
      <c r="I297" s="15" t="s">
        <v>5392</v>
      </c>
      <c r="J297" s="15" t="n">
        <v>4</v>
      </c>
      <c r="K297" s="15" t="s">
        <v>3161</v>
      </c>
      <c r="L297" s="15" t="str">
        <f aca="false">IF(K297="","No","Yes")</f>
        <v>Yes</v>
      </c>
      <c r="M297" s="18" t="str">
        <f aca="false">IF(K297="","",IFERROR(IF(ISNUMBER(SEARCH(A297,INDEX(Pages!$J$2:$J$824,MATCH(K297,Pages!$B$2:$B$824,0)))),"Yes","No"),"Page not found"))</f>
        <v>Yes</v>
      </c>
      <c r="N297" s="3" t="s">
        <v>5426</v>
      </c>
      <c r="O297" s="3"/>
      <c r="P297" s="19"/>
      <c r="Q297" s="17"/>
      <c r="R297" s="17"/>
    </row>
    <row r="298" customFormat="false" ht="23.85" hidden="false" customHeight="false" outlineLevel="0" collapsed="false">
      <c r="A298" s="15" t="s">
        <v>3687</v>
      </c>
      <c r="B298" s="15" t="s">
        <v>74</v>
      </c>
      <c r="C298" s="15" t="s">
        <v>321</v>
      </c>
      <c r="D298" s="15" t="s">
        <v>715</v>
      </c>
      <c r="E298" s="15" t="s">
        <v>2260</v>
      </c>
      <c r="F298" s="16" t="n">
        <v>79</v>
      </c>
      <c r="G298" s="15" t="n">
        <v>27</v>
      </c>
      <c r="H298" s="15" t="s">
        <v>5227</v>
      </c>
      <c r="I298" s="15" t="s">
        <v>5444</v>
      </c>
      <c r="J298" s="15" t="n">
        <v>3</v>
      </c>
      <c r="K298" s="15" t="s">
        <v>3683</v>
      </c>
      <c r="L298" s="15" t="str">
        <f aca="false">IF(K298="","No","Yes")</f>
        <v>Yes</v>
      </c>
      <c r="M298" s="18" t="str">
        <f aca="false">IF(K298="","",IFERROR(IF(ISNUMBER(SEARCH(A298,INDEX(Pages!$J$2:$J$824,MATCH(K298,Pages!$B$2:$B$824,0)))),"Yes","No"),"Page not found"))</f>
        <v>Yes</v>
      </c>
      <c r="N298" s="3" t="s">
        <v>5426</v>
      </c>
      <c r="O298" s="3" t="s">
        <v>5483</v>
      </c>
      <c r="P298" s="19"/>
      <c r="Q298" s="17"/>
      <c r="R298" s="17"/>
    </row>
    <row r="299" customFormat="false" ht="23.85" hidden="false" customHeight="false" outlineLevel="0" collapsed="false">
      <c r="A299" s="15" t="s">
        <v>3807</v>
      </c>
      <c r="B299" s="15" t="s">
        <v>74</v>
      </c>
      <c r="C299" s="15" t="s">
        <v>321</v>
      </c>
      <c r="D299" s="15" t="s">
        <v>715</v>
      </c>
      <c r="E299" s="15" t="s">
        <v>2400</v>
      </c>
      <c r="F299" s="16" t="n">
        <v>79</v>
      </c>
      <c r="G299" s="15" t="n">
        <v>27</v>
      </c>
      <c r="H299" s="15" t="s">
        <v>5227</v>
      </c>
      <c r="I299" s="15" t="s">
        <v>5444</v>
      </c>
      <c r="J299" s="15" t="n">
        <v>3</v>
      </c>
      <c r="K299" s="15" t="s">
        <v>3803</v>
      </c>
      <c r="L299" s="15" t="str">
        <f aca="false">IF(K299="","No","Yes")</f>
        <v>Yes</v>
      </c>
      <c r="M299" s="18" t="str">
        <f aca="false">IF(K299="","",IFERROR(IF(ISNUMBER(SEARCH(A299,INDEX(Pages!$J$2:$J$824,MATCH(K299,Pages!$B$2:$B$824,0)))),"Yes","No"),"Page not found"))</f>
        <v>Yes</v>
      </c>
      <c r="N299" s="3" t="s">
        <v>5426</v>
      </c>
      <c r="O299" s="3" t="s">
        <v>5483</v>
      </c>
      <c r="P299" s="19"/>
      <c r="Q299" s="17"/>
      <c r="R299" s="17"/>
    </row>
    <row r="300" customFormat="false" ht="23.85" hidden="false" customHeight="false" outlineLevel="0" collapsed="false">
      <c r="A300" s="15" t="s">
        <v>3267</v>
      </c>
      <c r="B300" s="15" t="s">
        <v>84</v>
      </c>
      <c r="C300" s="15" t="s">
        <v>314</v>
      </c>
      <c r="D300" s="15" t="s">
        <v>673</v>
      </c>
      <c r="E300" s="15" t="s">
        <v>2176</v>
      </c>
      <c r="F300" s="16" t="n">
        <v>78</v>
      </c>
      <c r="G300" s="15" t="n">
        <v>32</v>
      </c>
      <c r="H300" s="15" t="s">
        <v>5227</v>
      </c>
      <c r="I300" s="15" t="s">
        <v>5392</v>
      </c>
      <c r="J300" s="15" t="n">
        <v>4</v>
      </c>
      <c r="K300" s="15" t="s">
        <v>3263</v>
      </c>
      <c r="L300" s="15" t="str">
        <f aca="false">IF(K300="","No","Yes")</f>
        <v>Yes</v>
      </c>
      <c r="M300" s="18" t="str">
        <f aca="false">IF(K300="","",IFERROR(IF(ISNUMBER(SEARCH(A300,INDEX(Pages!$J$2:$J$824,MATCH(K300,Pages!$B$2:$B$824,0)))),"Yes","No"),"Page not found"))</f>
        <v>Yes</v>
      </c>
      <c r="N300" s="3" t="s">
        <v>5426</v>
      </c>
      <c r="O300" s="3" t="s">
        <v>5483</v>
      </c>
      <c r="P300" s="19"/>
      <c r="Q300" s="17"/>
      <c r="R300" s="17"/>
    </row>
    <row r="301" customFormat="false" ht="23.85" hidden="false" customHeight="false" outlineLevel="0" collapsed="false">
      <c r="A301" s="15" t="s">
        <v>3771</v>
      </c>
      <c r="B301" s="15" t="s">
        <v>74</v>
      </c>
      <c r="C301" s="15" t="s">
        <v>321</v>
      </c>
      <c r="D301" s="15" t="s">
        <v>715</v>
      </c>
      <c r="E301" s="15" t="s">
        <v>2358</v>
      </c>
      <c r="F301" s="16" t="n">
        <v>78</v>
      </c>
      <c r="G301" s="15" t="n">
        <v>35</v>
      </c>
      <c r="H301" s="15" t="s">
        <v>5227</v>
      </c>
      <c r="I301" s="15" t="s">
        <v>5444</v>
      </c>
      <c r="J301" s="15" t="n">
        <v>3</v>
      </c>
      <c r="K301" s="15" t="s">
        <v>3767</v>
      </c>
      <c r="L301" s="15" t="str">
        <f aca="false">IF(K301="","No","Yes")</f>
        <v>Yes</v>
      </c>
      <c r="M301" s="18" t="str">
        <f aca="false">IF(K301="","",IFERROR(IF(ISNUMBER(SEARCH(A301,INDEX(Pages!$J$2:$J$824,MATCH(K301,Pages!$B$2:$B$824,0)))),"Yes","No"),"Page not found"))</f>
        <v>No</v>
      </c>
      <c r="N301" s="3" t="s">
        <v>5426</v>
      </c>
      <c r="O301" s="3" t="s">
        <v>5483</v>
      </c>
      <c r="P301" s="19"/>
      <c r="Q301" s="17"/>
      <c r="R301" s="17"/>
    </row>
    <row r="302" customFormat="false" ht="23.85" hidden="false" customHeight="false" outlineLevel="0" collapsed="false">
      <c r="A302" s="15" t="s">
        <v>3729</v>
      </c>
      <c r="B302" s="15" t="s">
        <v>74</v>
      </c>
      <c r="C302" s="15" t="s">
        <v>321</v>
      </c>
      <c r="D302" s="15" t="s">
        <v>715</v>
      </c>
      <c r="E302" s="15" t="s">
        <v>2309</v>
      </c>
      <c r="F302" s="16" t="n">
        <v>77</v>
      </c>
      <c r="G302" s="15" t="n">
        <v>27</v>
      </c>
      <c r="H302" s="15" t="s">
        <v>5227</v>
      </c>
      <c r="I302" s="15" t="s">
        <v>5444</v>
      </c>
      <c r="J302" s="15" t="n">
        <v>3</v>
      </c>
      <c r="K302" s="15" t="s">
        <v>3725</v>
      </c>
      <c r="L302" s="15" t="str">
        <f aca="false">IF(K302="","No","Yes")</f>
        <v>Yes</v>
      </c>
      <c r="M302" s="18" t="str">
        <f aca="false">IF(K302="","",IFERROR(IF(ISNUMBER(SEARCH(A302,INDEX(Pages!$J$2:$J$824,MATCH(K302,Pages!$B$2:$B$824,0)))),"Yes","No"),"Page not found"))</f>
        <v>Yes</v>
      </c>
      <c r="N302" s="3" t="s">
        <v>5426</v>
      </c>
      <c r="O302" s="3" t="s">
        <v>5483</v>
      </c>
      <c r="P302" s="19"/>
      <c r="Q302" s="17"/>
      <c r="R302" s="17"/>
    </row>
    <row r="303" customFormat="false" ht="23.85" hidden="false" customHeight="false" outlineLevel="0" collapsed="false">
      <c r="A303" s="15" t="s">
        <v>2327</v>
      </c>
      <c r="B303" s="15" t="s">
        <v>89</v>
      </c>
      <c r="C303" s="15" t="s">
        <v>258</v>
      </c>
      <c r="D303" s="15" t="s">
        <v>715</v>
      </c>
      <c r="E303" s="15" t="s">
        <v>2323</v>
      </c>
      <c r="F303" s="16" t="n">
        <v>76</v>
      </c>
      <c r="G303" s="15" t="n">
        <v>33</v>
      </c>
      <c r="H303" s="15" t="s">
        <v>5227</v>
      </c>
      <c r="I303" s="15" t="s">
        <v>5473</v>
      </c>
      <c r="J303" s="15" t="n">
        <v>4</v>
      </c>
      <c r="K303" s="15" t="s">
        <v>2322</v>
      </c>
      <c r="L303" s="15" t="str">
        <f aca="false">IF(K303="","No","Yes")</f>
        <v>Yes</v>
      </c>
      <c r="M303" s="18" t="str">
        <f aca="false">IF(K303="","",IFERROR(IF(ISNUMBER(SEARCH(A303,INDEX(Pages!$J$2:$J$824,MATCH(K303,Pages!$B$2:$B$824,0)))),"Yes","No"),"Page not found"))</f>
        <v>Yes</v>
      </c>
      <c r="N303" s="3" t="s">
        <v>5426</v>
      </c>
      <c r="O303" s="3" t="s">
        <v>5483</v>
      </c>
      <c r="P303" s="19"/>
      <c r="Q303" s="17"/>
      <c r="R303" s="17"/>
    </row>
    <row r="304" customFormat="false" ht="15" hidden="false" customHeight="false" outlineLevel="0" collapsed="false">
      <c r="A304" s="15" t="s">
        <v>3045</v>
      </c>
      <c r="B304" s="15" t="s">
        <v>85</v>
      </c>
      <c r="C304" s="15" t="s">
        <v>272</v>
      </c>
      <c r="D304" s="15" t="s">
        <v>715</v>
      </c>
      <c r="E304" s="15" t="s">
        <v>2323</v>
      </c>
      <c r="F304" s="16" t="n">
        <v>76</v>
      </c>
      <c r="G304" s="15" t="n">
        <v>40</v>
      </c>
      <c r="H304" s="15" t="s">
        <v>5227</v>
      </c>
      <c r="I304" s="15" t="s">
        <v>5392</v>
      </c>
      <c r="J304" s="15" t="n">
        <v>4</v>
      </c>
      <c r="K304" s="15" t="s">
        <v>3041</v>
      </c>
      <c r="L304" s="15" t="str">
        <f aca="false">IF(K304="","No","Yes")</f>
        <v>Yes</v>
      </c>
      <c r="M304" s="18" t="str">
        <f aca="false">IF(K304="","",IFERROR(IF(ISNUMBER(SEARCH(A304,INDEX(Pages!$J$2:$J$824,MATCH(K304,Pages!$B$2:$B$824,0)))),"Yes","No"),"Page not found"))</f>
        <v>Yes</v>
      </c>
      <c r="N304" s="3" t="s">
        <v>5426</v>
      </c>
      <c r="O304" s="3"/>
      <c r="P304" s="19"/>
      <c r="Q304" s="17"/>
      <c r="R304" s="17"/>
    </row>
    <row r="305" customFormat="false" ht="23.85" hidden="false" customHeight="false" outlineLevel="0" collapsed="false">
      <c r="A305" s="15" t="s">
        <v>3705</v>
      </c>
      <c r="B305" s="15" t="s">
        <v>74</v>
      </c>
      <c r="C305" s="15" t="s">
        <v>321</v>
      </c>
      <c r="D305" s="15" t="s">
        <v>715</v>
      </c>
      <c r="E305" s="15" t="s">
        <v>2281</v>
      </c>
      <c r="F305" s="16" t="n">
        <v>76</v>
      </c>
      <c r="G305" s="15" t="n">
        <v>35</v>
      </c>
      <c r="H305" s="15" t="s">
        <v>5227</v>
      </c>
      <c r="I305" s="15" t="s">
        <v>5444</v>
      </c>
      <c r="J305" s="15" t="n">
        <v>3</v>
      </c>
      <c r="K305" s="15" t="s">
        <v>3701</v>
      </c>
      <c r="L305" s="15" t="str">
        <f aca="false">IF(K305="","No","Yes")</f>
        <v>Yes</v>
      </c>
      <c r="M305" s="18" t="str">
        <f aca="false">IF(K305="","",IFERROR(IF(ISNUMBER(SEARCH(A305,INDEX(Pages!$J$2:$J$824,MATCH(K305,Pages!$B$2:$B$824,0)))),"Yes","No"),"Page not found"))</f>
        <v>Yes</v>
      </c>
      <c r="N305" s="3" t="s">
        <v>5426</v>
      </c>
      <c r="O305" s="3" t="s">
        <v>5483</v>
      </c>
      <c r="P305" s="19"/>
      <c r="Q305" s="17"/>
      <c r="R305" s="17"/>
    </row>
    <row r="306" customFormat="false" ht="23.85" hidden="false" customHeight="false" outlineLevel="0" collapsed="false">
      <c r="A306" s="15" t="s">
        <v>3585</v>
      </c>
      <c r="B306" s="15" t="s">
        <v>74</v>
      </c>
      <c r="C306" s="15" t="s">
        <v>321</v>
      </c>
      <c r="D306" s="15" t="s">
        <v>666</v>
      </c>
      <c r="E306" s="15" t="s">
        <v>2141</v>
      </c>
      <c r="F306" s="16" t="n">
        <v>76</v>
      </c>
      <c r="G306" s="15" t="n">
        <v>19</v>
      </c>
      <c r="H306" s="15" t="s">
        <v>5227</v>
      </c>
      <c r="I306" s="15" t="s">
        <v>5444</v>
      </c>
      <c r="J306" s="15" t="n">
        <v>3</v>
      </c>
      <c r="K306" s="15" t="s">
        <v>3581</v>
      </c>
      <c r="L306" s="15" t="str">
        <f aca="false">IF(K306="","No","Yes")</f>
        <v>Yes</v>
      </c>
      <c r="M306" s="18" t="str">
        <f aca="false">IF(K306="","",IFERROR(IF(ISNUMBER(SEARCH(A306,INDEX(Pages!$J$2:$J$824,MATCH(K306,Pages!$B$2:$B$824,0)))),"Yes","No"),"Page not found"))</f>
        <v>Yes</v>
      </c>
      <c r="N306" s="3" t="s">
        <v>5426</v>
      </c>
      <c r="O306" s="3" t="s">
        <v>5483</v>
      </c>
      <c r="P306" s="19"/>
      <c r="Q306" s="17"/>
      <c r="R306" s="17"/>
    </row>
    <row r="307" customFormat="false" ht="23.85" hidden="false" customHeight="false" outlineLevel="0" collapsed="false">
      <c r="A307" s="15" t="s">
        <v>2152</v>
      </c>
      <c r="B307" s="15" t="s">
        <v>89</v>
      </c>
      <c r="C307" s="15" t="s">
        <v>258</v>
      </c>
      <c r="D307" s="15" t="s">
        <v>666</v>
      </c>
      <c r="E307" s="15" t="s">
        <v>2148</v>
      </c>
      <c r="F307" s="16" t="n">
        <v>75</v>
      </c>
      <c r="G307" s="15" t="n">
        <v>25</v>
      </c>
      <c r="H307" s="15" t="s">
        <v>5227</v>
      </c>
      <c r="I307" s="15" t="s">
        <v>5473</v>
      </c>
      <c r="J307" s="15" t="n">
        <v>3</v>
      </c>
      <c r="K307" s="15" t="s">
        <v>2147</v>
      </c>
      <c r="L307" s="15" t="str">
        <f aca="false">IF(K307="","No","Yes")</f>
        <v>Yes</v>
      </c>
      <c r="M307" s="18" t="str">
        <f aca="false">IF(K307="","",IFERROR(IF(ISNUMBER(SEARCH(A307,INDEX(Pages!$J$2:$J$824,MATCH(K307,Pages!$B$2:$B$824,0)))),"Yes","No"),"Page not found"))</f>
        <v>No</v>
      </c>
      <c r="N307" s="3" t="s">
        <v>5426</v>
      </c>
      <c r="O307" s="3" t="s">
        <v>5483</v>
      </c>
      <c r="P307" s="19"/>
      <c r="Q307" s="17"/>
      <c r="R307" s="17"/>
    </row>
    <row r="308" customFormat="false" ht="15" hidden="false" customHeight="false" outlineLevel="0" collapsed="false">
      <c r="A308" s="15" t="s">
        <v>2895</v>
      </c>
      <c r="B308" s="15" t="s">
        <v>85</v>
      </c>
      <c r="C308" s="15" t="s">
        <v>272</v>
      </c>
      <c r="D308" s="15" t="s">
        <v>666</v>
      </c>
      <c r="E308" s="15" t="s">
        <v>2148</v>
      </c>
      <c r="F308" s="16" t="n">
        <v>75</v>
      </c>
      <c r="G308" s="15" t="n">
        <v>32</v>
      </c>
      <c r="H308" s="15" t="s">
        <v>5227</v>
      </c>
      <c r="I308" s="15" t="s">
        <v>5392</v>
      </c>
      <c r="J308" s="15" t="n">
        <v>4</v>
      </c>
      <c r="K308" s="15" t="s">
        <v>2891</v>
      </c>
      <c r="L308" s="15" t="str">
        <f aca="false">IF(K308="","No","Yes")</f>
        <v>Yes</v>
      </c>
      <c r="M308" s="18" t="str">
        <f aca="false">IF(K308="","",IFERROR(IF(ISNUMBER(SEARCH(A308,INDEX(Pages!$J$2:$J$824,MATCH(K308,Pages!$B$2:$B$824,0)))),"Yes","No"),"Page not found"))</f>
        <v>No</v>
      </c>
      <c r="N308" s="3" t="s">
        <v>5426</v>
      </c>
      <c r="O308" s="3"/>
      <c r="P308" s="19"/>
      <c r="Q308" s="17"/>
      <c r="R308" s="17"/>
    </row>
    <row r="309" customFormat="false" ht="15" hidden="false" customHeight="false" outlineLevel="0" collapsed="false">
      <c r="A309" s="15" t="s">
        <v>4329</v>
      </c>
      <c r="B309" s="15" t="s">
        <v>86</v>
      </c>
      <c r="C309" s="15" t="s">
        <v>356</v>
      </c>
      <c r="D309" s="15" t="s">
        <v>680</v>
      </c>
      <c r="E309" s="15" t="s">
        <v>2197</v>
      </c>
      <c r="F309" s="16" t="n">
        <v>75</v>
      </c>
      <c r="G309" s="15" t="n">
        <v>32</v>
      </c>
      <c r="H309" s="15" t="s">
        <v>5227</v>
      </c>
      <c r="I309" s="15" t="s">
        <v>5392</v>
      </c>
      <c r="J309" s="15" t="n">
        <v>5</v>
      </c>
      <c r="K309" s="15" t="s">
        <v>4325</v>
      </c>
      <c r="L309" s="15" t="str">
        <f aca="false">IF(K309="","No","Yes")</f>
        <v>Yes</v>
      </c>
      <c r="M309" s="18" t="str">
        <f aca="false">IF(K309="","",IFERROR(IF(ISNUMBER(SEARCH(A309,INDEX(Pages!$J$2:$J$824,MATCH(K309,Pages!$B$2:$B$824,0)))),"Yes","No"),"Page not found"))</f>
        <v>Yes</v>
      </c>
      <c r="N309" s="3" t="s">
        <v>5426</v>
      </c>
      <c r="O309" s="3"/>
      <c r="P309" s="19"/>
      <c r="Q309" s="17"/>
      <c r="R309" s="17"/>
    </row>
    <row r="310" customFormat="false" ht="23.85" hidden="false" customHeight="false" outlineLevel="0" collapsed="false">
      <c r="A310" s="15" t="s">
        <v>3663</v>
      </c>
      <c r="B310" s="15" t="s">
        <v>74</v>
      </c>
      <c r="C310" s="15" t="s">
        <v>321</v>
      </c>
      <c r="D310" s="15" t="s">
        <v>715</v>
      </c>
      <c r="E310" s="15" t="s">
        <v>2232</v>
      </c>
      <c r="F310" s="16" t="n">
        <v>74</v>
      </c>
      <c r="G310" s="15" t="n">
        <v>27</v>
      </c>
      <c r="H310" s="15" t="s">
        <v>5227</v>
      </c>
      <c r="I310" s="15" t="s">
        <v>5444</v>
      </c>
      <c r="J310" s="15" t="n">
        <v>3</v>
      </c>
      <c r="K310" s="15" t="s">
        <v>3659</v>
      </c>
      <c r="L310" s="15" t="str">
        <f aca="false">IF(K310="","No","Yes")</f>
        <v>Yes</v>
      </c>
      <c r="M310" s="18" t="str">
        <f aca="false">IF(K310="","",IFERROR(IF(ISNUMBER(SEARCH(A310,INDEX(Pages!$J$2:$J$824,MATCH(K310,Pages!$B$2:$B$824,0)))),"Yes","No"),"Page not found"))</f>
        <v>Yes</v>
      </c>
      <c r="N310" s="3" t="s">
        <v>5426</v>
      </c>
      <c r="O310" s="3" t="s">
        <v>5483</v>
      </c>
      <c r="P310" s="19"/>
      <c r="Q310" s="17"/>
      <c r="R310" s="17"/>
    </row>
    <row r="311" customFormat="false" ht="23.85" hidden="false" customHeight="false" outlineLevel="0" collapsed="false">
      <c r="A311" s="15" t="s">
        <v>2355</v>
      </c>
      <c r="B311" s="15" t="s">
        <v>89</v>
      </c>
      <c r="C311" s="15" t="s">
        <v>258</v>
      </c>
      <c r="D311" s="15" t="s">
        <v>715</v>
      </c>
      <c r="E311" s="15" t="s">
        <v>2351</v>
      </c>
      <c r="F311" s="16" t="n">
        <v>72</v>
      </c>
      <c r="G311" s="15" t="n">
        <v>33</v>
      </c>
      <c r="H311" s="15" t="s">
        <v>5227</v>
      </c>
      <c r="I311" s="15" t="s">
        <v>5473</v>
      </c>
      <c r="J311" s="15" t="n">
        <v>4</v>
      </c>
      <c r="K311" s="15" t="s">
        <v>2350</v>
      </c>
      <c r="L311" s="15" t="str">
        <f aca="false">IF(K311="","No","Yes")</f>
        <v>Yes</v>
      </c>
      <c r="M311" s="18" t="str">
        <f aca="false">IF(K311="","",IFERROR(IF(ISNUMBER(SEARCH(A311,INDEX(Pages!$J$2:$J$824,MATCH(K311,Pages!$B$2:$B$824,0)))),"Yes","No"),"Page not found"))</f>
        <v>Yes</v>
      </c>
      <c r="N311" s="3" t="s">
        <v>5426</v>
      </c>
      <c r="O311" s="3" t="s">
        <v>5483</v>
      </c>
      <c r="P311" s="19"/>
      <c r="Q311" s="17"/>
      <c r="R311" s="17"/>
    </row>
    <row r="312" customFormat="false" ht="15" hidden="false" customHeight="false" outlineLevel="0" collapsed="false">
      <c r="A312" s="15" t="s">
        <v>3069</v>
      </c>
      <c r="B312" s="15" t="s">
        <v>85</v>
      </c>
      <c r="C312" s="15" t="s">
        <v>272</v>
      </c>
      <c r="D312" s="15" t="s">
        <v>715</v>
      </c>
      <c r="E312" s="15" t="s">
        <v>2351</v>
      </c>
      <c r="F312" s="16" t="n">
        <v>72</v>
      </c>
      <c r="G312" s="15" t="n">
        <v>40</v>
      </c>
      <c r="H312" s="15" t="s">
        <v>5227</v>
      </c>
      <c r="I312" s="15" t="s">
        <v>5392</v>
      </c>
      <c r="J312" s="15" t="n">
        <v>4</v>
      </c>
      <c r="K312" s="15" t="s">
        <v>3065</v>
      </c>
      <c r="L312" s="15" t="str">
        <f aca="false">IF(K312="","No","Yes")</f>
        <v>Yes</v>
      </c>
      <c r="M312" s="18" t="str">
        <f aca="false">IF(K312="","",IFERROR(IF(ISNUMBER(SEARCH(A312,INDEX(Pages!$J$2:$J$824,MATCH(K312,Pages!$B$2:$B$824,0)))),"Yes","No"),"Page not found"))</f>
        <v>Yes</v>
      </c>
      <c r="N312" s="3" t="s">
        <v>5426</v>
      </c>
      <c r="O312" s="3"/>
      <c r="P312" s="19"/>
      <c r="Q312" s="17"/>
      <c r="R312" s="17"/>
    </row>
    <row r="313" customFormat="false" ht="15" hidden="false" customHeight="false" outlineLevel="0" collapsed="false">
      <c r="A313" s="15" t="s">
        <v>3849</v>
      </c>
      <c r="B313" s="15" t="s">
        <v>74</v>
      </c>
      <c r="C313" s="15" t="s">
        <v>321</v>
      </c>
      <c r="D313" s="15" t="s">
        <v>729</v>
      </c>
      <c r="E313" s="15" t="s">
        <v>2449</v>
      </c>
      <c r="F313" s="16" t="n">
        <v>72</v>
      </c>
      <c r="G313" s="15" t="n">
        <v>35</v>
      </c>
      <c r="H313" s="15" t="s">
        <v>5227</v>
      </c>
      <c r="I313" s="15" t="s">
        <v>5444</v>
      </c>
      <c r="J313" s="15" t="n">
        <v>4</v>
      </c>
      <c r="K313" s="15" t="s">
        <v>3845</v>
      </c>
      <c r="L313" s="15" t="str">
        <f aca="false">IF(K313="","No","Yes")</f>
        <v>Yes</v>
      </c>
      <c r="M313" s="18" t="str">
        <f aca="false">IF(K313="","",IFERROR(IF(ISNUMBER(SEARCH(A313,INDEX(Pages!$J$2:$J$824,MATCH(K313,Pages!$B$2:$B$824,0)))),"Yes","No"),"Page not found"))</f>
        <v>Yes</v>
      </c>
      <c r="N313" s="3" t="s">
        <v>5426</v>
      </c>
      <c r="O313" s="3" t="s">
        <v>5427</v>
      </c>
      <c r="P313" s="19"/>
      <c r="Q313" s="17"/>
      <c r="R313" s="17"/>
    </row>
    <row r="314" customFormat="false" ht="23.85" hidden="false" customHeight="false" outlineLevel="0" collapsed="false">
      <c r="A314" s="15" t="s">
        <v>5481</v>
      </c>
      <c r="B314" s="15" t="s">
        <v>82</v>
      </c>
      <c r="C314" s="15" t="s">
        <v>265</v>
      </c>
      <c r="D314" s="15" t="s">
        <v>687</v>
      </c>
      <c r="E314" s="15" t="s">
        <v>2211</v>
      </c>
      <c r="F314" s="16" t="n">
        <v>71</v>
      </c>
      <c r="G314" s="15" t="n">
        <v>59</v>
      </c>
      <c r="H314" s="15" t="s">
        <v>5177</v>
      </c>
      <c r="I314" s="15" t="s">
        <v>5228</v>
      </c>
      <c r="J314" s="15" t="n">
        <v>5</v>
      </c>
      <c r="K314" s="15" t="s">
        <v>2597</v>
      </c>
      <c r="L314" s="15" t="str">
        <f aca="false">IF(K314="","No","Yes")</f>
        <v>Yes</v>
      </c>
      <c r="M314" s="18" t="str">
        <f aca="false">IF(K314="","",IFERROR(IF(ISNUMBER(SEARCH(A314,INDEX(Pages!$J$2:$J$824,MATCH(K314,Pages!$B$2:$B$824,0)))),"Yes","No"),"Page not found"))</f>
        <v>No</v>
      </c>
      <c r="N314" s="3" t="s">
        <v>5376</v>
      </c>
      <c r="O314" s="3" t="s">
        <v>5234</v>
      </c>
      <c r="P314" s="19"/>
      <c r="Q314" s="17"/>
      <c r="R314" s="17"/>
    </row>
    <row r="315" customFormat="false" ht="23.85" hidden="false" customHeight="false" outlineLevel="0" collapsed="false">
      <c r="A315" s="15" t="s">
        <v>3801</v>
      </c>
      <c r="B315" s="15" t="s">
        <v>74</v>
      </c>
      <c r="C315" s="15" t="s">
        <v>321</v>
      </c>
      <c r="D315" s="15" t="s">
        <v>715</v>
      </c>
      <c r="E315" s="15" t="s">
        <v>2393</v>
      </c>
      <c r="F315" s="16" t="n">
        <v>71</v>
      </c>
      <c r="G315" s="15" t="n">
        <v>35</v>
      </c>
      <c r="H315" s="15" t="s">
        <v>5227</v>
      </c>
      <c r="I315" s="15" t="s">
        <v>5444</v>
      </c>
      <c r="J315" s="15" t="n">
        <v>3</v>
      </c>
      <c r="K315" s="15" t="s">
        <v>3797</v>
      </c>
      <c r="L315" s="15" t="str">
        <f aca="false">IF(K315="","No","Yes")</f>
        <v>Yes</v>
      </c>
      <c r="M315" s="18" t="str">
        <f aca="false">IF(K315="","",IFERROR(IF(ISNUMBER(SEARCH(A315,INDEX(Pages!$J$2:$J$824,MATCH(K315,Pages!$B$2:$B$824,0)))),"Yes","No"),"Page not found"))</f>
        <v>Yes</v>
      </c>
      <c r="N315" s="3" t="s">
        <v>5426</v>
      </c>
      <c r="O315" s="3" t="s">
        <v>5483</v>
      </c>
      <c r="P315" s="19"/>
      <c r="Q315" s="17"/>
      <c r="R315" s="17"/>
    </row>
    <row r="316" customFormat="false" ht="23.85" hidden="false" customHeight="false" outlineLevel="0" collapsed="false">
      <c r="A316" s="15" t="s">
        <v>4227</v>
      </c>
      <c r="B316" s="15" t="s">
        <v>86</v>
      </c>
      <c r="C316" s="15" t="s">
        <v>356</v>
      </c>
      <c r="D316" s="15" t="s">
        <v>657</v>
      </c>
      <c r="E316" s="15" t="s">
        <v>2077</v>
      </c>
      <c r="F316" s="16" t="n">
        <v>71</v>
      </c>
      <c r="G316" s="15" t="n">
        <v>24</v>
      </c>
      <c r="H316" s="15" t="s">
        <v>5227</v>
      </c>
      <c r="I316" s="15" t="s">
        <v>5392</v>
      </c>
      <c r="J316" s="15" t="n">
        <v>5</v>
      </c>
      <c r="K316" s="15" t="s">
        <v>4223</v>
      </c>
      <c r="L316" s="15" t="str">
        <f aca="false">IF(K316="","No","Yes")</f>
        <v>Yes</v>
      </c>
      <c r="M316" s="18" t="str">
        <f aca="false">IF(K316="","",IFERROR(IF(ISNUMBER(SEARCH(A316,INDEX(Pages!$J$2:$J$824,MATCH(K316,Pages!$B$2:$B$824,0)))),"Yes","No"),"Page not found"))</f>
        <v>Yes</v>
      </c>
      <c r="N316" s="3" t="s">
        <v>5426</v>
      </c>
      <c r="O316" s="3" t="s">
        <v>5483</v>
      </c>
      <c r="P316" s="19"/>
      <c r="Q316" s="17"/>
      <c r="R316" s="17"/>
    </row>
    <row r="317" customFormat="false" ht="23.85" hidden="false" customHeight="false" outlineLevel="0" collapsed="false">
      <c r="A317" s="15" t="s">
        <v>3909</v>
      </c>
      <c r="B317" s="15" t="s">
        <v>81</v>
      </c>
      <c r="C317" s="15" t="s">
        <v>349</v>
      </c>
      <c r="D317" s="15" t="s">
        <v>666</v>
      </c>
      <c r="E317" s="15" t="s">
        <v>2113</v>
      </c>
      <c r="F317" s="16" t="n">
        <v>69</v>
      </c>
      <c r="G317" s="15" t="n">
        <v>20</v>
      </c>
      <c r="H317" s="15" t="s">
        <v>5227</v>
      </c>
      <c r="I317" s="15" t="s">
        <v>5235</v>
      </c>
      <c r="J317" s="15" t="n">
        <v>4</v>
      </c>
      <c r="K317" s="15" t="s">
        <v>3905</v>
      </c>
      <c r="L317" s="15" t="str">
        <f aca="false">IF(K317="","No","Yes")</f>
        <v>Yes</v>
      </c>
      <c r="M317" s="18" t="str">
        <f aca="false">IF(K317="","",IFERROR(IF(ISNUMBER(SEARCH(A317,INDEX(Pages!$J$2:$J$824,MATCH(K317,Pages!$B$2:$B$824,0)))),"Yes","No"),"Page not found"))</f>
        <v>Yes</v>
      </c>
      <c r="N317" s="3" t="s">
        <v>5426</v>
      </c>
      <c r="O317" s="3" t="s">
        <v>5483</v>
      </c>
      <c r="P317" s="19"/>
      <c r="Q317" s="17"/>
      <c r="R317" s="17"/>
    </row>
    <row r="318" customFormat="false" ht="23.85" hidden="false" customHeight="false" outlineLevel="0" collapsed="false">
      <c r="A318" s="15" t="s">
        <v>2257</v>
      </c>
      <c r="B318" s="15" t="s">
        <v>89</v>
      </c>
      <c r="C318" s="15" t="s">
        <v>258</v>
      </c>
      <c r="D318" s="15" t="s">
        <v>715</v>
      </c>
      <c r="E318" s="15" t="s">
        <v>2253</v>
      </c>
      <c r="F318" s="16" t="n">
        <v>68</v>
      </c>
      <c r="G318" s="15" t="n">
        <v>33</v>
      </c>
      <c r="H318" s="15" t="s">
        <v>5227</v>
      </c>
      <c r="I318" s="15" t="s">
        <v>5473</v>
      </c>
      <c r="J318" s="15" t="n">
        <v>4</v>
      </c>
      <c r="K318" s="15" t="s">
        <v>2252</v>
      </c>
      <c r="L318" s="15" t="str">
        <f aca="false">IF(K318="","No","Yes")</f>
        <v>Yes</v>
      </c>
      <c r="M318" s="18" t="str">
        <f aca="false">IF(K318="","",IFERROR(IF(ISNUMBER(SEARCH(A318,INDEX(Pages!$J$2:$J$824,MATCH(K318,Pages!$B$2:$B$824,0)))),"Yes","No"),"Page not found"))</f>
        <v>Yes</v>
      </c>
      <c r="N318" s="3" t="s">
        <v>5426</v>
      </c>
      <c r="O318" s="3" t="s">
        <v>5483</v>
      </c>
      <c r="P318" s="19"/>
      <c r="Q318" s="17"/>
      <c r="R318" s="17"/>
    </row>
    <row r="319" customFormat="false" ht="15" hidden="false" customHeight="false" outlineLevel="0" collapsed="false">
      <c r="A319" s="15" t="s">
        <v>2985</v>
      </c>
      <c r="B319" s="15" t="s">
        <v>85</v>
      </c>
      <c r="C319" s="15" t="s">
        <v>272</v>
      </c>
      <c r="D319" s="15" t="s">
        <v>715</v>
      </c>
      <c r="E319" s="15" t="s">
        <v>2253</v>
      </c>
      <c r="F319" s="16" t="n">
        <v>68</v>
      </c>
      <c r="G319" s="15" t="n">
        <v>40</v>
      </c>
      <c r="H319" s="15" t="s">
        <v>5227</v>
      </c>
      <c r="I319" s="15" t="s">
        <v>5392</v>
      </c>
      <c r="J319" s="15" t="n">
        <v>4</v>
      </c>
      <c r="K319" s="15" t="s">
        <v>2981</v>
      </c>
      <c r="L319" s="15" t="str">
        <f aca="false">IF(K319="","No","Yes")</f>
        <v>Yes</v>
      </c>
      <c r="M319" s="18" t="str">
        <f aca="false">IF(K319="","",IFERROR(IF(ISNUMBER(SEARCH(A319,INDEX(Pages!$J$2:$J$824,MATCH(K319,Pages!$B$2:$B$824,0)))),"Yes","No"),"Page not found"))</f>
        <v>Yes</v>
      </c>
      <c r="N319" s="3" t="s">
        <v>5426</v>
      </c>
      <c r="O319" s="3"/>
      <c r="P319" s="19"/>
      <c r="Q319" s="17"/>
      <c r="R319" s="17"/>
    </row>
    <row r="320" customFormat="false" ht="15" hidden="false" customHeight="false" outlineLevel="0" collapsed="false">
      <c r="A320" s="15" t="s">
        <v>4335</v>
      </c>
      <c r="B320" s="15" t="s">
        <v>86</v>
      </c>
      <c r="C320" s="15" t="s">
        <v>356</v>
      </c>
      <c r="D320" s="15" t="s">
        <v>680</v>
      </c>
      <c r="E320" s="15" t="s">
        <v>2204</v>
      </c>
      <c r="F320" s="16" t="n">
        <v>68</v>
      </c>
      <c r="G320" s="15" t="n">
        <v>32</v>
      </c>
      <c r="H320" s="15" t="s">
        <v>5227</v>
      </c>
      <c r="I320" s="15" t="s">
        <v>5392</v>
      </c>
      <c r="J320" s="15" t="n">
        <v>5</v>
      </c>
      <c r="K320" s="15" t="s">
        <v>4331</v>
      </c>
      <c r="L320" s="15" t="str">
        <f aca="false">IF(K320="","No","Yes")</f>
        <v>Yes</v>
      </c>
      <c r="M320" s="18" t="str">
        <f aca="false">IF(K320="","",IFERROR(IF(ISNUMBER(SEARCH(A320,INDEX(Pages!$J$2:$J$824,MATCH(K320,Pages!$B$2:$B$824,0)))),"Yes","No"),"Page not found"))</f>
        <v>Yes</v>
      </c>
      <c r="N320" s="3" t="s">
        <v>5426</v>
      </c>
      <c r="O320" s="3"/>
      <c r="P320" s="19"/>
      <c r="Q320" s="17"/>
      <c r="R320" s="17"/>
    </row>
    <row r="321" customFormat="false" ht="15" hidden="false" customHeight="false" outlineLevel="0" collapsed="false">
      <c r="A321" s="15" t="s">
        <v>3645</v>
      </c>
      <c r="B321" s="15" t="s">
        <v>74</v>
      </c>
      <c r="C321" s="15" t="s">
        <v>321</v>
      </c>
      <c r="D321" s="15" t="s">
        <v>687</v>
      </c>
      <c r="E321" s="15" t="s">
        <v>2211</v>
      </c>
      <c r="F321" s="16" t="n">
        <v>66</v>
      </c>
      <c r="G321" s="15" t="n">
        <v>35</v>
      </c>
      <c r="H321" s="15" t="s">
        <v>5227</v>
      </c>
      <c r="I321" s="15" t="s">
        <v>5444</v>
      </c>
      <c r="J321" s="15" t="n">
        <v>2</v>
      </c>
      <c r="K321" s="15" t="s">
        <v>3641</v>
      </c>
      <c r="L321" s="15" t="str">
        <f aca="false">IF(K321="","No","Yes")</f>
        <v>Yes</v>
      </c>
      <c r="M321" s="18" t="str">
        <f aca="false">IF(K321="","",IFERROR(IF(ISNUMBER(SEARCH(A321,INDEX(Pages!$J$2:$J$824,MATCH(K321,Pages!$B$2:$B$824,0)))),"Yes","No"),"Page not found"))</f>
        <v>No</v>
      </c>
      <c r="N321" s="3" t="s">
        <v>5426</v>
      </c>
      <c r="O321" s="3"/>
      <c r="P321" s="19"/>
      <c r="Q321" s="17"/>
      <c r="R321" s="17"/>
    </row>
    <row r="322" customFormat="false" ht="23.85" hidden="false" customHeight="false" outlineLevel="0" collapsed="false">
      <c r="A322" s="15" t="s">
        <v>2334</v>
      </c>
      <c r="B322" s="15" t="s">
        <v>89</v>
      </c>
      <c r="C322" s="15" t="s">
        <v>258</v>
      </c>
      <c r="D322" s="15" t="s">
        <v>715</v>
      </c>
      <c r="E322" s="15" t="s">
        <v>2330</v>
      </c>
      <c r="F322" s="16" t="n">
        <v>65</v>
      </c>
      <c r="G322" s="15" t="n">
        <v>33</v>
      </c>
      <c r="H322" s="15" t="s">
        <v>5227</v>
      </c>
      <c r="I322" s="15" t="s">
        <v>5473</v>
      </c>
      <c r="J322" s="15" t="n">
        <v>4</v>
      </c>
      <c r="K322" s="15" t="s">
        <v>2329</v>
      </c>
      <c r="L322" s="15" t="str">
        <f aca="false">IF(K322="","No","Yes")</f>
        <v>Yes</v>
      </c>
      <c r="M322" s="18" t="str">
        <f aca="false">IF(K322="","",IFERROR(IF(ISNUMBER(SEARCH(A322,INDEX(Pages!$J$2:$J$824,MATCH(K322,Pages!$B$2:$B$824,0)))),"Yes","No"),"Page not found"))</f>
        <v>Yes</v>
      </c>
      <c r="N322" s="3" t="s">
        <v>5426</v>
      </c>
      <c r="O322" s="3" t="s">
        <v>5483</v>
      </c>
      <c r="P322" s="19"/>
      <c r="Q322" s="17"/>
      <c r="R322" s="17"/>
    </row>
    <row r="323" customFormat="false" ht="15" hidden="false" customHeight="false" outlineLevel="0" collapsed="false">
      <c r="A323" s="15" t="s">
        <v>3051</v>
      </c>
      <c r="B323" s="15" t="s">
        <v>85</v>
      </c>
      <c r="C323" s="15" t="s">
        <v>272</v>
      </c>
      <c r="D323" s="15" t="s">
        <v>715</v>
      </c>
      <c r="E323" s="15" t="s">
        <v>2330</v>
      </c>
      <c r="F323" s="16" t="n">
        <v>65</v>
      </c>
      <c r="G323" s="15" t="n">
        <v>40</v>
      </c>
      <c r="H323" s="15" t="s">
        <v>5227</v>
      </c>
      <c r="I323" s="15" t="s">
        <v>5392</v>
      </c>
      <c r="J323" s="15" t="n">
        <v>4</v>
      </c>
      <c r="K323" s="15" t="s">
        <v>3047</v>
      </c>
      <c r="L323" s="15" t="str">
        <f aca="false">IF(K323="","No","Yes")</f>
        <v>Yes</v>
      </c>
      <c r="M323" s="18" t="str">
        <f aca="false">IF(K323="","",IFERROR(IF(ISNUMBER(SEARCH(A323,INDEX(Pages!$J$2:$J$824,MATCH(K323,Pages!$B$2:$B$824,0)))),"Yes","No"),"Page not found"))</f>
        <v>Yes</v>
      </c>
      <c r="N323" s="3" t="s">
        <v>5426</v>
      </c>
      <c r="O323" s="3"/>
      <c r="P323" s="19"/>
      <c r="Q323" s="17"/>
      <c r="R323" s="17"/>
    </row>
    <row r="324" customFormat="false" ht="23.85" hidden="false" customHeight="false" outlineLevel="0" collapsed="false">
      <c r="A324" s="15" t="s">
        <v>3783</v>
      </c>
      <c r="B324" s="15" t="s">
        <v>74</v>
      </c>
      <c r="C324" s="15" t="s">
        <v>321</v>
      </c>
      <c r="D324" s="15" t="s">
        <v>715</v>
      </c>
      <c r="E324" s="15" t="s">
        <v>2372</v>
      </c>
      <c r="F324" s="16" t="n">
        <v>65</v>
      </c>
      <c r="G324" s="15" t="n">
        <v>27</v>
      </c>
      <c r="H324" s="15" t="s">
        <v>5227</v>
      </c>
      <c r="I324" s="15" t="s">
        <v>5444</v>
      </c>
      <c r="J324" s="15" t="n">
        <v>3</v>
      </c>
      <c r="K324" s="15" t="s">
        <v>3779</v>
      </c>
      <c r="L324" s="15" t="str">
        <f aca="false">IF(K324="","No","Yes")</f>
        <v>Yes</v>
      </c>
      <c r="M324" s="18" t="str">
        <f aca="false">IF(K324="","",IFERROR(IF(ISNUMBER(SEARCH(A324,INDEX(Pages!$J$2:$J$824,MATCH(K324,Pages!$B$2:$B$824,0)))),"Yes","No"),"Page not found"))</f>
        <v>Yes</v>
      </c>
      <c r="N324" s="3" t="s">
        <v>5426</v>
      </c>
      <c r="O324" s="3" t="s">
        <v>5483</v>
      </c>
      <c r="P324" s="19"/>
      <c r="Q324" s="17"/>
      <c r="R324" s="17"/>
    </row>
    <row r="325" customFormat="false" ht="15" hidden="false" customHeight="false" outlineLevel="0" collapsed="false">
      <c r="A325" s="15" t="s">
        <v>4637</v>
      </c>
      <c r="B325" s="15" t="s">
        <v>94</v>
      </c>
      <c r="C325" s="15"/>
      <c r="D325" s="15" t="s">
        <v>666</v>
      </c>
      <c r="E325" s="15" t="s">
        <v>2134</v>
      </c>
      <c r="F325" s="16" t="n">
        <v>64</v>
      </c>
      <c r="G325" s="15" t="n">
        <v>30</v>
      </c>
      <c r="H325" s="15" t="s">
        <v>5227</v>
      </c>
      <c r="I325" s="15" t="s">
        <v>5243</v>
      </c>
      <c r="J325" s="15" t="n">
        <v>3</v>
      </c>
      <c r="K325" s="15" t="s">
        <v>4633</v>
      </c>
      <c r="L325" s="15" t="str">
        <f aca="false">IF(K325="","No","Yes")</f>
        <v>Yes</v>
      </c>
      <c r="M325" s="18" t="str">
        <f aca="false">IF(K325="","",IFERROR(IF(ISNUMBER(SEARCH(A325,INDEX(Pages!$J$2:$J$824,MATCH(K325,Pages!$B$2:$B$824,0)))),"Yes","No"),"Page not found"))</f>
        <v>No</v>
      </c>
      <c r="N325" s="3" t="s">
        <v>5471</v>
      </c>
      <c r="O325" s="3" t="s">
        <v>5472</v>
      </c>
      <c r="P325" s="19"/>
      <c r="Q325" s="17"/>
      <c r="R325" s="17"/>
    </row>
    <row r="326" customFormat="false" ht="15" hidden="false" customHeight="false" outlineLevel="0" collapsed="false">
      <c r="A326" s="15" t="s">
        <v>4521</v>
      </c>
      <c r="B326" s="15" t="s">
        <v>86</v>
      </c>
      <c r="C326" s="15" t="s">
        <v>356</v>
      </c>
      <c r="D326" s="15" t="s">
        <v>729</v>
      </c>
      <c r="E326" s="15" t="s">
        <v>2421</v>
      </c>
      <c r="F326" s="16" t="n">
        <v>64</v>
      </c>
      <c r="G326" s="15" t="n">
        <v>32</v>
      </c>
      <c r="H326" s="15" t="s">
        <v>5227</v>
      </c>
      <c r="I326" s="15" t="s">
        <v>5392</v>
      </c>
      <c r="J326" s="15" t="n">
        <v>5</v>
      </c>
      <c r="K326" s="15" t="s">
        <v>4517</v>
      </c>
      <c r="L326" s="15" t="str">
        <f aca="false">IF(K326="","No","Yes")</f>
        <v>Yes</v>
      </c>
      <c r="M326" s="18" t="str">
        <f aca="false">IF(K326="","",IFERROR(IF(ISNUMBER(SEARCH(A326,INDEX(Pages!$J$2:$J$824,MATCH(K326,Pages!$B$2:$B$824,0)))),"Yes","No"),"Page not found"))</f>
        <v>Yes</v>
      </c>
      <c r="N326" s="3" t="s">
        <v>5426</v>
      </c>
      <c r="O326" s="3" t="s">
        <v>5427</v>
      </c>
      <c r="P326" s="19"/>
      <c r="Q326" s="17"/>
      <c r="R326" s="17"/>
    </row>
    <row r="327" customFormat="false" ht="15" hidden="false" customHeight="false" outlineLevel="0" collapsed="false">
      <c r="A327" s="15" t="s">
        <v>4323</v>
      </c>
      <c r="B327" s="15" t="s">
        <v>86</v>
      </c>
      <c r="C327" s="15" t="s">
        <v>356</v>
      </c>
      <c r="D327" s="15" t="s">
        <v>680</v>
      </c>
      <c r="E327" s="15" t="s">
        <v>2190</v>
      </c>
      <c r="F327" s="16" t="n">
        <v>63</v>
      </c>
      <c r="G327" s="15" t="n">
        <v>32</v>
      </c>
      <c r="H327" s="15" t="s">
        <v>5227</v>
      </c>
      <c r="I327" s="15" t="s">
        <v>5392</v>
      </c>
      <c r="J327" s="15" t="n">
        <v>5</v>
      </c>
      <c r="K327" s="15" t="s">
        <v>4319</v>
      </c>
      <c r="L327" s="15" t="str">
        <f aca="false">IF(K327="","No","Yes")</f>
        <v>Yes</v>
      </c>
      <c r="M327" s="18" t="str">
        <f aca="false">IF(K327="","",IFERROR(IF(ISNUMBER(SEARCH(A327,INDEX(Pages!$J$2:$J$824,MATCH(K327,Pages!$B$2:$B$824,0)))),"Yes","No"),"Page not found"))</f>
        <v>Yes</v>
      </c>
      <c r="N327" s="3" t="s">
        <v>5426</v>
      </c>
      <c r="O327" s="3"/>
      <c r="P327" s="19"/>
      <c r="Q327" s="17"/>
      <c r="R327" s="17"/>
    </row>
    <row r="328" customFormat="false" ht="23.85" hidden="false" customHeight="false" outlineLevel="0" collapsed="false">
      <c r="A328" s="15" t="s">
        <v>2369</v>
      </c>
      <c r="B328" s="15" t="s">
        <v>89</v>
      </c>
      <c r="C328" s="15" t="s">
        <v>258</v>
      </c>
      <c r="D328" s="15" t="s">
        <v>715</v>
      </c>
      <c r="E328" s="15" t="s">
        <v>2365</v>
      </c>
      <c r="F328" s="16" t="n">
        <v>62</v>
      </c>
      <c r="G328" s="15" t="n">
        <v>25</v>
      </c>
      <c r="H328" s="15" t="s">
        <v>5227</v>
      </c>
      <c r="I328" s="15" t="s">
        <v>5473</v>
      </c>
      <c r="J328" s="15" t="n">
        <v>4</v>
      </c>
      <c r="K328" s="15" t="s">
        <v>2364</v>
      </c>
      <c r="L328" s="15" t="str">
        <f aca="false">IF(K328="","No","Yes")</f>
        <v>Yes</v>
      </c>
      <c r="M328" s="18" t="str">
        <f aca="false">IF(K328="","",IFERROR(IF(ISNUMBER(SEARCH(A328,INDEX(Pages!$J$2:$J$824,MATCH(K328,Pages!$B$2:$B$824,0)))),"Yes","No"),"Page not found"))</f>
        <v>Yes</v>
      </c>
      <c r="N328" s="3" t="s">
        <v>5426</v>
      </c>
      <c r="O328" s="3" t="s">
        <v>5483</v>
      </c>
      <c r="P328" s="19"/>
      <c r="Q328" s="17"/>
      <c r="R328" s="17"/>
    </row>
    <row r="329" customFormat="false" ht="23.85" hidden="false" customHeight="false" outlineLevel="0" collapsed="false">
      <c r="A329" s="15" t="s">
        <v>3081</v>
      </c>
      <c r="B329" s="15" t="s">
        <v>85</v>
      </c>
      <c r="C329" s="15" t="s">
        <v>272</v>
      </c>
      <c r="D329" s="15" t="s">
        <v>715</v>
      </c>
      <c r="E329" s="15" t="s">
        <v>2365</v>
      </c>
      <c r="F329" s="16" t="n">
        <v>62</v>
      </c>
      <c r="G329" s="15" t="n">
        <v>32</v>
      </c>
      <c r="H329" s="15" t="s">
        <v>5227</v>
      </c>
      <c r="I329" s="15" t="s">
        <v>5392</v>
      </c>
      <c r="J329" s="15" t="n">
        <v>5</v>
      </c>
      <c r="K329" s="15" t="s">
        <v>3077</v>
      </c>
      <c r="L329" s="15" t="str">
        <f aca="false">IF(K329="","No","Yes")</f>
        <v>Yes</v>
      </c>
      <c r="M329" s="18" t="str">
        <f aca="false">IF(K329="","",IFERROR(IF(ISNUMBER(SEARCH(A329,INDEX(Pages!$J$2:$J$824,MATCH(K329,Pages!$B$2:$B$824,0)))),"Yes","No"),"Page not found"))</f>
        <v>Yes</v>
      </c>
      <c r="N329" s="3" t="s">
        <v>5426</v>
      </c>
      <c r="O329" s="3" t="s">
        <v>5483</v>
      </c>
      <c r="P329" s="19"/>
      <c r="Q329" s="17"/>
      <c r="R329" s="17"/>
    </row>
    <row r="330" customFormat="false" ht="15" hidden="false" customHeight="false" outlineLevel="0" collapsed="false">
      <c r="A330" s="15" t="s">
        <v>3471</v>
      </c>
      <c r="B330" s="15" t="s">
        <v>84</v>
      </c>
      <c r="C330" s="15" t="s">
        <v>314</v>
      </c>
      <c r="D330" s="15" t="s">
        <v>722</v>
      </c>
      <c r="E330" s="15" t="s">
        <v>2414</v>
      </c>
      <c r="F330" s="16" t="n">
        <v>62</v>
      </c>
      <c r="G330" s="15" t="n">
        <v>40</v>
      </c>
      <c r="H330" s="15" t="s">
        <v>5227</v>
      </c>
      <c r="I330" s="15" t="s">
        <v>5392</v>
      </c>
      <c r="J330" s="15" t="n">
        <v>4</v>
      </c>
      <c r="K330" s="15" t="s">
        <v>3467</v>
      </c>
      <c r="L330" s="15" t="str">
        <f aca="false">IF(K330="","No","Yes")</f>
        <v>Yes</v>
      </c>
      <c r="M330" s="18" t="str">
        <f aca="false">IF(K330="","",IFERROR(IF(ISNUMBER(SEARCH(A330,INDEX(Pages!$J$2:$J$824,MATCH(K330,Pages!$B$2:$B$824,0)))),"Yes","No"),"Page not found"))</f>
        <v>Yes</v>
      </c>
      <c r="N330" s="3" t="s">
        <v>5426</v>
      </c>
      <c r="O330" s="3"/>
      <c r="P330" s="19"/>
      <c r="Q330" s="17"/>
      <c r="R330" s="17"/>
    </row>
    <row r="331" customFormat="false" ht="23.85" hidden="false" customHeight="false" outlineLevel="0" collapsed="false">
      <c r="A331" s="15" t="s">
        <v>3507</v>
      </c>
      <c r="B331" s="15" t="s">
        <v>84</v>
      </c>
      <c r="C331" s="15" t="s">
        <v>314</v>
      </c>
      <c r="D331" s="15" t="s">
        <v>729</v>
      </c>
      <c r="E331" s="15" t="s">
        <v>2456</v>
      </c>
      <c r="F331" s="16" t="n">
        <v>62</v>
      </c>
      <c r="G331" s="15" t="n">
        <v>32</v>
      </c>
      <c r="H331" s="15" t="s">
        <v>5227</v>
      </c>
      <c r="I331" s="15" t="s">
        <v>5392</v>
      </c>
      <c r="J331" s="15" t="n">
        <v>5</v>
      </c>
      <c r="K331" s="15" t="s">
        <v>3503</v>
      </c>
      <c r="L331" s="15" t="str">
        <f aca="false">IF(K331="","No","Yes")</f>
        <v>Yes</v>
      </c>
      <c r="M331" s="18" t="str">
        <f aca="false">IF(K331="","",IFERROR(IF(ISNUMBER(SEARCH(A331,INDEX(Pages!$J$2:$J$824,MATCH(K331,Pages!$B$2:$B$824,0)))),"Yes","No"),"Page not found"))</f>
        <v>Yes</v>
      </c>
      <c r="N331" s="3" t="s">
        <v>5426</v>
      </c>
      <c r="O331" s="3" t="s">
        <v>5497</v>
      </c>
      <c r="P331" s="19"/>
      <c r="Q331" s="17"/>
      <c r="R331" s="17"/>
    </row>
    <row r="332" customFormat="false" ht="23.85" hidden="false" customHeight="false" outlineLevel="0" collapsed="false">
      <c r="A332" s="15" t="s">
        <v>3759</v>
      </c>
      <c r="B332" s="15" t="s">
        <v>74</v>
      </c>
      <c r="C332" s="15" t="s">
        <v>321</v>
      </c>
      <c r="D332" s="15" t="s">
        <v>715</v>
      </c>
      <c r="E332" s="15" t="s">
        <v>2344</v>
      </c>
      <c r="F332" s="16" t="n">
        <v>61</v>
      </c>
      <c r="G332" s="15" t="n">
        <v>27</v>
      </c>
      <c r="H332" s="15" t="s">
        <v>5227</v>
      </c>
      <c r="I332" s="15" t="s">
        <v>5444</v>
      </c>
      <c r="J332" s="15" t="n">
        <v>3</v>
      </c>
      <c r="K332" s="15" t="s">
        <v>3755</v>
      </c>
      <c r="L332" s="15" t="str">
        <f aca="false">IF(K332="","No","Yes")</f>
        <v>Yes</v>
      </c>
      <c r="M332" s="18" t="str">
        <f aca="false">IF(K332="","",IFERROR(IF(ISNUMBER(SEARCH(A332,INDEX(Pages!$J$2:$J$824,MATCH(K332,Pages!$B$2:$B$824,0)))),"Yes","No"),"Page not found"))</f>
        <v>Yes</v>
      </c>
      <c r="N332" s="3" t="s">
        <v>5426</v>
      </c>
      <c r="O332" s="3" t="s">
        <v>5483</v>
      </c>
      <c r="P332" s="19"/>
      <c r="Q332" s="17"/>
      <c r="R332" s="17"/>
    </row>
    <row r="333" customFormat="false" ht="23.85" hidden="false" customHeight="false" outlineLevel="0" collapsed="false">
      <c r="A333" s="15" t="s">
        <v>3555</v>
      </c>
      <c r="B333" s="15" t="s">
        <v>74</v>
      </c>
      <c r="C333" s="15" t="s">
        <v>321</v>
      </c>
      <c r="D333" s="15" t="s">
        <v>657</v>
      </c>
      <c r="E333" s="15" t="s">
        <v>2106</v>
      </c>
      <c r="F333" s="16" t="n">
        <v>61</v>
      </c>
      <c r="G333" s="15" t="n">
        <v>27</v>
      </c>
      <c r="H333" s="15" t="s">
        <v>5227</v>
      </c>
      <c r="I333" s="15" t="s">
        <v>5444</v>
      </c>
      <c r="J333" s="15" t="n">
        <v>3</v>
      </c>
      <c r="K333" s="15" t="s">
        <v>3551</v>
      </c>
      <c r="L333" s="15" t="str">
        <f aca="false">IF(K333="","No","Yes")</f>
        <v>Yes</v>
      </c>
      <c r="M333" s="18" t="str">
        <f aca="false">IF(K333="","",IFERROR(IF(ISNUMBER(SEARCH(A333,INDEX(Pages!$J$2:$J$824,MATCH(K333,Pages!$B$2:$B$824,0)))),"Yes","No"),"Page not found"))</f>
        <v>Yes</v>
      </c>
      <c r="N333" s="3" t="s">
        <v>5426</v>
      </c>
      <c r="O333" s="3" t="s">
        <v>5483</v>
      </c>
      <c r="P333" s="19"/>
      <c r="Q333" s="17"/>
      <c r="R333" s="17"/>
    </row>
    <row r="334" customFormat="false" ht="15" hidden="false" customHeight="false" outlineLevel="0" collapsed="false">
      <c r="A334" s="15" t="s">
        <v>3831</v>
      </c>
      <c r="B334" s="15" t="s">
        <v>74</v>
      </c>
      <c r="C334" s="15" t="s">
        <v>321</v>
      </c>
      <c r="D334" s="15" t="s">
        <v>729</v>
      </c>
      <c r="E334" s="15" t="s">
        <v>2428</v>
      </c>
      <c r="F334" s="16" t="n">
        <v>60</v>
      </c>
      <c r="G334" s="15" t="n">
        <v>35</v>
      </c>
      <c r="H334" s="15" t="s">
        <v>5227</v>
      </c>
      <c r="I334" s="15" t="s">
        <v>5444</v>
      </c>
      <c r="J334" s="15" t="n">
        <v>4</v>
      </c>
      <c r="K334" s="15" t="s">
        <v>3827</v>
      </c>
      <c r="L334" s="15" t="str">
        <f aca="false">IF(K334="","No","Yes")</f>
        <v>Yes</v>
      </c>
      <c r="M334" s="18" t="str">
        <f aca="false">IF(K334="","",IFERROR(IF(ISNUMBER(SEARCH(A334,INDEX(Pages!$J$2:$J$824,MATCH(K334,Pages!$B$2:$B$824,0)))),"Yes","No"),"Page not found"))</f>
        <v>Yes</v>
      </c>
      <c r="N334" s="3" t="s">
        <v>5426</v>
      </c>
      <c r="O334" s="3" t="s">
        <v>5427</v>
      </c>
      <c r="P334" s="19"/>
      <c r="Q334" s="17"/>
      <c r="R334" s="17"/>
    </row>
    <row r="335" customFormat="false" ht="23.85" hidden="false" customHeight="false" outlineLevel="0" collapsed="false">
      <c r="A335" s="15" t="s">
        <v>3549</v>
      </c>
      <c r="B335" s="15" t="s">
        <v>74</v>
      </c>
      <c r="C335" s="15" t="s">
        <v>321</v>
      </c>
      <c r="D335" s="15" t="s">
        <v>657</v>
      </c>
      <c r="E335" s="15" t="s">
        <v>2099</v>
      </c>
      <c r="F335" s="16" t="n">
        <v>60</v>
      </c>
      <c r="G335" s="15" t="n">
        <v>27</v>
      </c>
      <c r="H335" s="15" t="s">
        <v>5227</v>
      </c>
      <c r="I335" s="15" t="s">
        <v>5444</v>
      </c>
      <c r="J335" s="15" t="n">
        <v>3</v>
      </c>
      <c r="K335" s="15" t="s">
        <v>3545</v>
      </c>
      <c r="L335" s="15" t="str">
        <f aca="false">IF(K335="","No","Yes")</f>
        <v>Yes</v>
      </c>
      <c r="M335" s="18" t="str">
        <f aca="false">IF(K335="","",IFERROR(IF(ISNUMBER(SEARCH(A335,INDEX(Pages!$J$2:$J$824,MATCH(K335,Pages!$B$2:$B$824,0)))),"Yes","No"),"Page not found"))</f>
        <v>Yes</v>
      </c>
      <c r="N335" s="3" t="s">
        <v>5426</v>
      </c>
      <c r="O335" s="3" t="s">
        <v>5483</v>
      </c>
      <c r="P335" s="19"/>
      <c r="Q335" s="17"/>
      <c r="R335" s="17"/>
    </row>
    <row r="336" customFormat="false" ht="15" hidden="false" customHeight="false" outlineLevel="0" collapsed="false">
      <c r="A336" s="15" t="s">
        <v>3915</v>
      </c>
      <c r="B336" s="15" t="s">
        <v>81</v>
      </c>
      <c r="C336" s="15" t="s">
        <v>349</v>
      </c>
      <c r="D336" s="15" t="s">
        <v>666</v>
      </c>
      <c r="E336" s="15" t="s">
        <v>2120</v>
      </c>
      <c r="F336" s="16" t="n">
        <v>60</v>
      </c>
      <c r="G336" s="15" t="n">
        <v>28</v>
      </c>
      <c r="H336" s="15" t="s">
        <v>5227</v>
      </c>
      <c r="I336" s="15" t="s">
        <v>5235</v>
      </c>
      <c r="J336" s="15" t="n">
        <v>4</v>
      </c>
      <c r="K336" s="15" t="s">
        <v>3911</v>
      </c>
      <c r="L336" s="15" t="str">
        <f aca="false">IF(K336="","No","Yes")</f>
        <v>Yes</v>
      </c>
      <c r="M336" s="18" t="str">
        <f aca="false">IF(K336="","",IFERROR(IF(ISNUMBER(SEARCH(A336,INDEX(Pages!$J$2:$J$824,MATCH(K336,Pages!$B$2:$B$824,0)))),"Yes","No"),"Page not found"))</f>
        <v>Yes</v>
      </c>
      <c r="N336" s="3" t="s">
        <v>5426</v>
      </c>
      <c r="O336" s="3"/>
      <c r="P336" s="19"/>
      <c r="Q336" s="17"/>
      <c r="R336" s="17"/>
    </row>
    <row r="337" customFormat="false" ht="23.85" hidden="false" customHeight="false" outlineLevel="0" collapsed="false">
      <c r="A337" s="15" t="s">
        <v>3939</v>
      </c>
      <c r="B337" s="15" t="s">
        <v>81</v>
      </c>
      <c r="C337" s="15" t="s">
        <v>349</v>
      </c>
      <c r="D337" s="15" t="s">
        <v>666</v>
      </c>
      <c r="E337" s="15" t="s">
        <v>2148</v>
      </c>
      <c r="F337" s="16" t="n">
        <v>60</v>
      </c>
      <c r="G337" s="15" t="n">
        <v>20</v>
      </c>
      <c r="H337" s="15" t="s">
        <v>5227</v>
      </c>
      <c r="I337" s="15" t="s">
        <v>5235</v>
      </c>
      <c r="J337" s="15" t="n">
        <v>4</v>
      </c>
      <c r="K337" s="15" t="s">
        <v>3935</v>
      </c>
      <c r="L337" s="15" t="str">
        <f aca="false">IF(K337="","No","Yes")</f>
        <v>Yes</v>
      </c>
      <c r="M337" s="18" t="str">
        <f aca="false">IF(K337="","",IFERROR(IF(ISNUMBER(SEARCH(A337,INDEX(Pages!$J$2:$J$824,MATCH(K337,Pages!$B$2:$B$824,0)))),"Yes","No"),"Page not found"))</f>
        <v>No</v>
      </c>
      <c r="N337" s="3" t="s">
        <v>5426</v>
      </c>
      <c r="O337" s="3" t="s">
        <v>5483</v>
      </c>
      <c r="P337" s="19"/>
      <c r="Q337" s="17"/>
      <c r="R337" s="17"/>
    </row>
    <row r="338" customFormat="false" ht="23.85" hidden="false" customHeight="false" outlineLevel="0" collapsed="false">
      <c r="A338" s="15" t="s">
        <v>2117</v>
      </c>
      <c r="B338" s="15" t="s">
        <v>89</v>
      </c>
      <c r="C338" s="15" t="s">
        <v>258</v>
      </c>
      <c r="D338" s="15" t="s">
        <v>666</v>
      </c>
      <c r="E338" s="15" t="s">
        <v>2113</v>
      </c>
      <c r="F338" s="16" t="n">
        <v>58</v>
      </c>
      <c r="G338" s="15" t="n">
        <v>25</v>
      </c>
      <c r="H338" s="15" t="s">
        <v>5227</v>
      </c>
      <c r="I338" s="15" t="s">
        <v>5473</v>
      </c>
      <c r="J338" s="15" t="n">
        <v>4</v>
      </c>
      <c r="K338" s="15" t="s">
        <v>2112</v>
      </c>
      <c r="L338" s="15" t="str">
        <f aca="false">IF(K338="","No","Yes")</f>
        <v>Yes</v>
      </c>
      <c r="M338" s="18" t="str">
        <f aca="false">IF(K338="","",IFERROR(IF(ISNUMBER(SEARCH(A338,INDEX(Pages!$J$2:$J$824,MATCH(K338,Pages!$B$2:$B$824,0)))),"Yes","No"),"Page not found"))</f>
        <v>Yes</v>
      </c>
      <c r="N338" s="3" t="s">
        <v>5426</v>
      </c>
      <c r="O338" s="3" t="s">
        <v>5483</v>
      </c>
      <c r="P338" s="19"/>
      <c r="Q338" s="17"/>
      <c r="R338" s="17"/>
    </row>
    <row r="339" customFormat="false" ht="15" hidden="false" customHeight="false" outlineLevel="0" collapsed="false">
      <c r="A339" s="15" t="s">
        <v>2865</v>
      </c>
      <c r="B339" s="15" t="s">
        <v>85</v>
      </c>
      <c r="C339" s="15" t="s">
        <v>272</v>
      </c>
      <c r="D339" s="15" t="s">
        <v>666</v>
      </c>
      <c r="E339" s="15" t="s">
        <v>2113</v>
      </c>
      <c r="F339" s="16" t="n">
        <v>58</v>
      </c>
      <c r="G339" s="15" t="n">
        <v>32</v>
      </c>
      <c r="H339" s="15" t="s">
        <v>5227</v>
      </c>
      <c r="I339" s="15" t="s">
        <v>5392</v>
      </c>
      <c r="J339" s="15" t="n">
        <v>4</v>
      </c>
      <c r="K339" s="15" t="s">
        <v>2861</v>
      </c>
      <c r="L339" s="15" t="str">
        <f aca="false">IF(K339="","No","Yes")</f>
        <v>Yes</v>
      </c>
      <c r="M339" s="18" t="str">
        <f aca="false">IF(K339="","",IFERROR(IF(ISNUMBER(SEARCH(A339,INDEX(Pages!$J$2:$J$824,MATCH(K339,Pages!$B$2:$B$824,0)))),"Yes","No"),"Page not found"))</f>
        <v>Yes</v>
      </c>
      <c r="N339" s="3" t="s">
        <v>5426</v>
      </c>
      <c r="O339" s="3"/>
      <c r="P339" s="19"/>
      <c r="Q339" s="17"/>
      <c r="R339" s="17"/>
    </row>
    <row r="340" customFormat="false" ht="23.85" hidden="false" customHeight="false" outlineLevel="0" collapsed="false">
      <c r="A340" s="15" t="s">
        <v>2131</v>
      </c>
      <c r="B340" s="15" t="s">
        <v>89</v>
      </c>
      <c r="C340" s="15" t="s">
        <v>258</v>
      </c>
      <c r="D340" s="15" t="s">
        <v>666</v>
      </c>
      <c r="E340" s="15" t="s">
        <v>2127</v>
      </c>
      <c r="F340" s="16" t="n">
        <v>57</v>
      </c>
      <c r="G340" s="15" t="n">
        <v>25</v>
      </c>
      <c r="H340" s="15" t="s">
        <v>5227</v>
      </c>
      <c r="I340" s="15" t="s">
        <v>5473</v>
      </c>
      <c r="J340" s="15" t="n">
        <v>4</v>
      </c>
      <c r="K340" s="15" t="s">
        <v>2126</v>
      </c>
      <c r="L340" s="15" t="str">
        <f aca="false">IF(K340="","No","Yes")</f>
        <v>Yes</v>
      </c>
      <c r="M340" s="18" t="str">
        <f aca="false">IF(K340="","",IFERROR(IF(ISNUMBER(SEARCH(A340,INDEX(Pages!$J$2:$J$824,MATCH(K340,Pages!$B$2:$B$824,0)))),"Yes","No"),"Page not found"))</f>
        <v>Yes</v>
      </c>
      <c r="N340" s="3" t="s">
        <v>5426</v>
      </c>
      <c r="O340" s="3" t="s">
        <v>5483</v>
      </c>
      <c r="P340" s="19"/>
      <c r="Q340" s="17"/>
      <c r="R340" s="17"/>
    </row>
    <row r="341" customFormat="false" ht="15" hidden="false" customHeight="false" outlineLevel="0" collapsed="false">
      <c r="A341" s="15" t="s">
        <v>2877</v>
      </c>
      <c r="B341" s="15" t="s">
        <v>85</v>
      </c>
      <c r="C341" s="15" t="s">
        <v>272</v>
      </c>
      <c r="D341" s="15" t="s">
        <v>666</v>
      </c>
      <c r="E341" s="15" t="s">
        <v>2127</v>
      </c>
      <c r="F341" s="16" t="n">
        <v>57</v>
      </c>
      <c r="G341" s="15" t="n">
        <v>32</v>
      </c>
      <c r="H341" s="15" t="s">
        <v>5227</v>
      </c>
      <c r="I341" s="15" t="s">
        <v>5392</v>
      </c>
      <c r="J341" s="15" t="n">
        <v>4</v>
      </c>
      <c r="K341" s="15" t="s">
        <v>2873</v>
      </c>
      <c r="L341" s="15" t="str">
        <f aca="false">IF(K341="","No","Yes")</f>
        <v>Yes</v>
      </c>
      <c r="M341" s="18" t="str">
        <f aca="false">IF(K341="","",IFERROR(IF(ISNUMBER(SEARCH(A341,INDEX(Pages!$J$2:$J$824,MATCH(K341,Pages!$B$2:$B$824,0)))),"Yes","No"),"Page not found"))</f>
        <v>Yes</v>
      </c>
      <c r="N341" s="3" t="s">
        <v>5426</v>
      </c>
      <c r="O341" s="3"/>
      <c r="P341" s="19"/>
      <c r="Q341" s="17"/>
      <c r="R341" s="17"/>
    </row>
    <row r="342" customFormat="false" ht="15" hidden="false" customHeight="false" outlineLevel="0" collapsed="false">
      <c r="A342" s="15" t="s">
        <v>3609</v>
      </c>
      <c r="B342" s="15" t="s">
        <v>74</v>
      </c>
      <c r="C342" s="15" t="s">
        <v>321</v>
      </c>
      <c r="D342" s="15" t="s">
        <v>666</v>
      </c>
      <c r="E342" s="15" t="s">
        <v>2169</v>
      </c>
      <c r="F342" s="16" t="n">
        <v>57</v>
      </c>
      <c r="G342" s="15" t="n">
        <v>35</v>
      </c>
      <c r="H342" s="15" t="s">
        <v>5227</v>
      </c>
      <c r="I342" s="15" t="s">
        <v>5444</v>
      </c>
      <c r="J342" s="15" t="n">
        <v>3</v>
      </c>
      <c r="K342" s="15" t="s">
        <v>3605</v>
      </c>
      <c r="L342" s="15" t="str">
        <f aca="false">IF(K342="","No","Yes")</f>
        <v>Yes</v>
      </c>
      <c r="M342" s="18" t="str">
        <f aca="false">IF(K342="","",IFERROR(IF(ISNUMBER(SEARCH(A342,INDEX(Pages!$J$2:$J$824,MATCH(K342,Pages!$B$2:$B$824,0)))),"Yes","No"),"Page not found"))</f>
        <v>Yes</v>
      </c>
      <c r="N342" s="3" t="s">
        <v>5426</v>
      </c>
      <c r="O342" s="3"/>
      <c r="P342" s="19"/>
      <c r="Q342" s="17"/>
      <c r="R342" s="17"/>
    </row>
    <row r="343" customFormat="false" ht="15" hidden="false" customHeight="false" outlineLevel="0" collapsed="false">
      <c r="A343" s="15" t="s">
        <v>4533</v>
      </c>
      <c r="B343" s="15" t="s">
        <v>86</v>
      </c>
      <c r="C343" s="15" t="s">
        <v>356</v>
      </c>
      <c r="D343" s="15" t="s">
        <v>729</v>
      </c>
      <c r="E343" s="15" t="s">
        <v>2435</v>
      </c>
      <c r="F343" s="16" t="n">
        <v>57</v>
      </c>
      <c r="G343" s="15" t="n">
        <v>32</v>
      </c>
      <c r="H343" s="15" t="s">
        <v>5227</v>
      </c>
      <c r="I343" s="15" t="s">
        <v>5392</v>
      </c>
      <c r="J343" s="15" t="n">
        <v>5</v>
      </c>
      <c r="K343" s="15" t="s">
        <v>4529</v>
      </c>
      <c r="L343" s="15" t="str">
        <f aca="false">IF(K343="","No","Yes")</f>
        <v>Yes</v>
      </c>
      <c r="M343" s="18" t="str">
        <f aca="false">IF(K343="","",IFERROR(IF(ISNUMBER(SEARCH(A343,INDEX(Pages!$J$2:$J$824,MATCH(K343,Pages!$B$2:$B$824,0)))),"Yes","No"),"Page not found"))</f>
        <v>Yes</v>
      </c>
      <c r="N343" s="3" t="s">
        <v>5426</v>
      </c>
      <c r="O343" s="3" t="s">
        <v>5427</v>
      </c>
      <c r="P343" s="19"/>
      <c r="Q343" s="17"/>
      <c r="R343" s="17"/>
    </row>
    <row r="344" customFormat="false" ht="23.85" hidden="false" customHeight="false" outlineLevel="0" collapsed="false">
      <c r="A344" s="15" t="s">
        <v>2243</v>
      </c>
      <c r="B344" s="15" t="s">
        <v>89</v>
      </c>
      <c r="C344" s="15" t="s">
        <v>258</v>
      </c>
      <c r="D344" s="15" t="s">
        <v>715</v>
      </c>
      <c r="E344" s="15" t="s">
        <v>2239</v>
      </c>
      <c r="F344" s="16" t="n">
        <v>56</v>
      </c>
      <c r="G344" s="15" t="n">
        <v>33</v>
      </c>
      <c r="H344" s="15" t="s">
        <v>5227</v>
      </c>
      <c r="I344" s="15" t="s">
        <v>5473</v>
      </c>
      <c r="J344" s="15" t="n">
        <v>4</v>
      </c>
      <c r="K344" s="15" t="s">
        <v>2238</v>
      </c>
      <c r="L344" s="15" t="str">
        <f aca="false">IF(K344="","No","Yes")</f>
        <v>Yes</v>
      </c>
      <c r="M344" s="18" t="str">
        <f aca="false">IF(K344="","",IFERROR(IF(ISNUMBER(SEARCH(A344,INDEX(Pages!$J$2:$J$824,MATCH(K344,Pages!$B$2:$B$824,0)))),"Yes","No"),"Page not found"))</f>
        <v>Yes</v>
      </c>
      <c r="N344" s="3" t="s">
        <v>5426</v>
      </c>
      <c r="O344" s="3" t="s">
        <v>5483</v>
      </c>
      <c r="P344" s="19"/>
      <c r="Q344" s="17"/>
      <c r="R344" s="17"/>
    </row>
    <row r="345" customFormat="false" ht="15" hidden="false" customHeight="false" outlineLevel="0" collapsed="false">
      <c r="A345" s="15" t="s">
        <v>2973</v>
      </c>
      <c r="B345" s="15" t="s">
        <v>85</v>
      </c>
      <c r="C345" s="15" t="s">
        <v>272</v>
      </c>
      <c r="D345" s="15" t="s">
        <v>715</v>
      </c>
      <c r="E345" s="15" t="s">
        <v>2239</v>
      </c>
      <c r="F345" s="16" t="n">
        <v>56</v>
      </c>
      <c r="G345" s="15" t="n">
        <v>40</v>
      </c>
      <c r="H345" s="15" t="s">
        <v>5227</v>
      </c>
      <c r="I345" s="15" t="s">
        <v>5392</v>
      </c>
      <c r="J345" s="15" t="n">
        <v>5</v>
      </c>
      <c r="K345" s="15" t="s">
        <v>2969</v>
      </c>
      <c r="L345" s="15" t="str">
        <f aca="false">IF(K345="","No","Yes")</f>
        <v>Yes</v>
      </c>
      <c r="M345" s="18" t="str">
        <f aca="false">IF(K345="","",IFERROR(IF(ISNUMBER(SEARCH(A345,INDEX(Pages!$J$2:$J$824,MATCH(K345,Pages!$B$2:$B$824,0)))),"Yes","No"),"Page not found"))</f>
        <v>Yes</v>
      </c>
      <c r="N345" s="3" t="s">
        <v>5426</v>
      </c>
      <c r="O345" s="3"/>
      <c r="P345" s="19"/>
      <c r="Q345" s="17"/>
      <c r="R345" s="17"/>
    </row>
    <row r="346" customFormat="false" ht="23.85" hidden="false" customHeight="false" outlineLevel="0" collapsed="false">
      <c r="A346" s="15" t="s">
        <v>2271</v>
      </c>
      <c r="B346" s="15" t="s">
        <v>89</v>
      </c>
      <c r="C346" s="15" t="s">
        <v>258</v>
      </c>
      <c r="D346" s="15" t="s">
        <v>715</v>
      </c>
      <c r="E346" s="15" t="s">
        <v>2267</v>
      </c>
      <c r="F346" s="16" t="n">
        <v>55</v>
      </c>
      <c r="G346" s="15" t="n">
        <v>33</v>
      </c>
      <c r="H346" s="15" t="s">
        <v>5227</v>
      </c>
      <c r="I346" s="15" t="s">
        <v>5473</v>
      </c>
      <c r="J346" s="15" t="n">
        <v>4</v>
      </c>
      <c r="K346" s="15" t="s">
        <v>2266</v>
      </c>
      <c r="L346" s="15" t="str">
        <f aca="false">IF(K346="","No","Yes")</f>
        <v>Yes</v>
      </c>
      <c r="M346" s="18" t="str">
        <f aca="false">IF(K346="","",IFERROR(IF(ISNUMBER(SEARCH(A346,INDEX(Pages!$J$2:$J$824,MATCH(K346,Pages!$B$2:$B$824,0)))),"Yes","No"),"Page not found"))</f>
        <v>Yes</v>
      </c>
      <c r="N346" s="3" t="s">
        <v>5426</v>
      </c>
      <c r="O346" s="3" t="s">
        <v>5483</v>
      </c>
      <c r="P346" s="19"/>
      <c r="Q346" s="17"/>
      <c r="R346" s="17"/>
    </row>
    <row r="347" customFormat="false" ht="15" hidden="false" customHeight="false" outlineLevel="0" collapsed="false">
      <c r="A347" s="15" t="s">
        <v>2138</v>
      </c>
      <c r="B347" s="15" t="s">
        <v>89</v>
      </c>
      <c r="C347" s="15" t="s">
        <v>258</v>
      </c>
      <c r="D347" s="15" t="s">
        <v>666</v>
      </c>
      <c r="E347" s="15" t="s">
        <v>2134</v>
      </c>
      <c r="F347" s="16" t="n">
        <v>55</v>
      </c>
      <c r="G347" s="15" t="n">
        <v>33</v>
      </c>
      <c r="H347" s="15" t="s">
        <v>5227</v>
      </c>
      <c r="I347" s="15" t="s">
        <v>5473</v>
      </c>
      <c r="J347" s="15" t="n">
        <v>3</v>
      </c>
      <c r="K347" s="15" t="s">
        <v>2133</v>
      </c>
      <c r="L347" s="15" t="str">
        <f aca="false">IF(K347="","No","Yes")</f>
        <v>Yes</v>
      </c>
      <c r="M347" s="18" t="str">
        <f aca="false">IF(K347="","",IFERROR(IF(ISNUMBER(SEARCH(A347,INDEX(Pages!$J$2:$J$824,MATCH(K347,Pages!$B$2:$B$824,0)))),"Yes","No"),"Page not found"))</f>
        <v>Yes</v>
      </c>
      <c r="N347" s="3" t="s">
        <v>5426</v>
      </c>
      <c r="O347" s="3"/>
      <c r="P347" s="19"/>
      <c r="Q347" s="17"/>
      <c r="R347" s="17"/>
    </row>
    <row r="348" customFormat="false" ht="15" hidden="false" customHeight="false" outlineLevel="0" collapsed="false">
      <c r="A348" s="15" t="s">
        <v>2997</v>
      </c>
      <c r="B348" s="15" t="s">
        <v>85</v>
      </c>
      <c r="C348" s="15" t="s">
        <v>272</v>
      </c>
      <c r="D348" s="15" t="s">
        <v>715</v>
      </c>
      <c r="E348" s="15" t="s">
        <v>2267</v>
      </c>
      <c r="F348" s="16" t="n">
        <v>55</v>
      </c>
      <c r="G348" s="15" t="n">
        <v>40</v>
      </c>
      <c r="H348" s="15" t="s">
        <v>5227</v>
      </c>
      <c r="I348" s="15" t="s">
        <v>5392</v>
      </c>
      <c r="J348" s="15" t="n">
        <v>5</v>
      </c>
      <c r="K348" s="15" t="s">
        <v>2993</v>
      </c>
      <c r="L348" s="15" t="str">
        <f aca="false">IF(K348="","No","Yes")</f>
        <v>Yes</v>
      </c>
      <c r="M348" s="18" t="str">
        <f aca="false">IF(K348="","",IFERROR(IF(ISNUMBER(SEARCH(A348,INDEX(Pages!$J$2:$J$824,MATCH(K348,Pages!$B$2:$B$824,0)))),"Yes","No"),"Page not found"))</f>
        <v>Yes</v>
      </c>
      <c r="N348" s="3" t="s">
        <v>5426</v>
      </c>
      <c r="O348" s="3"/>
      <c r="P348" s="19"/>
      <c r="Q348" s="17"/>
      <c r="R348" s="17"/>
    </row>
    <row r="349" customFormat="false" ht="15" hidden="false" customHeight="false" outlineLevel="0" collapsed="false">
      <c r="A349" s="15" t="s">
        <v>2883</v>
      </c>
      <c r="B349" s="15" t="s">
        <v>85</v>
      </c>
      <c r="C349" s="15" t="s">
        <v>272</v>
      </c>
      <c r="D349" s="15" t="s">
        <v>666</v>
      </c>
      <c r="E349" s="15" t="s">
        <v>2134</v>
      </c>
      <c r="F349" s="16" t="n">
        <v>55</v>
      </c>
      <c r="G349" s="15" t="n">
        <v>40</v>
      </c>
      <c r="H349" s="15" t="s">
        <v>5227</v>
      </c>
      <c r="I349" s="15" t="s">
        <v>5392</v>
      </c>
      <c r="J349" s="15" t="n">
        <v>5</v>
      </c>
      <c r="K349" s="15" t="s">
        <v>2879</v>
      </c>
      <c r="L349" s="15" t="str">
        <f aca="false">IF(K349="","No","Yes")</f>
        <v>Yes</v>
      </c>
      <c r="M349" s="18" t="str">
        <f aca="false">IF(K349="","",IFERROR(IF(ISNUMBER(SEARCH(A349,INDEX(Pages!$J$2:$J$824,MATCH(K349,Pages!$B$2:$B$824,0)))),"Yes","No"),"Page not found"))</f>
        <v>Yes</v>
      </c>
      <c r="N349" s="3" t="s">
        <v>5426</v>
      </c>
      <c r="O349" s="3"/>
      <c r="P349" s="19"/>
      <c r="Q349" s="17"/>
      <c r="R349" s="17"/>
    </row>
    <row r="350" customFormat="false" ht="23.85" hidden="false" customHeight="false" outlineLevel="0" collapsed="false">
      <c r="A350" s="15" t="s">
        <v>2264</v>
      </c>
      <c r="B350" s="15" t="s">
        <v>89</v>
      </c>
      <c r="C350" s="15" t="s">
        <v>258</v>
      </c>
      <c r="D350" s="15" t="s">
        <v>715</v>
      </c>
      <c r="E350" s="15" t="s">
        <v>2260</v>
      </c>
      <c r="F350" s="16" t="n">
        <v>53</v>
      </c>
      <c r="G350" s="15" t="n">
        <v>25</v>
      </c>
      <c r="H350" s="15" t="s">
        <v>5227</v>
      </c>
      <c r="I350" s="15" t="s">
        <v>5473</v>
      </c>
      <c r="J350" s="15" t="n">
        <v>4</v>
      </c>
      <c r="K350" s="15" t="s">
        <v>2259</v>
      </c>
      <c r="L350" s="15" t="str">
        <f aca="false">IF(K350="","No","Yes")</f>
        <v>Yes</v>
      </c>
      <c r="M350" s="18" t="str">
        <f aca="false">IF(K350="","",IFERROR(IF(ISNUMBER(SEARCH(A350,INDEX(Pages!$J$2:$J$824,MATCH(K350,Pages!$B$2:$B$824,0)))),"Yes","No"),"Page not found"))</f>
        <v>Yes</v>
      </c>
      <c r="N350" s="3" t="s">
        <v>5426</v>
      </c>
      <c r="O350" s="3" t="s">
        <v>5483</v>
      </c>
      <c r="P350" s="19"/>
      <c r="Q350" s="17"/>
      <c r="R350" s="17"/>
    </row>
    <row r="351" customFormat="false" ht="23.85" hidden="false" customHeight="false" outlineLevel="0" collapsed="false">
      <c r="A351" s="15" t="s">
        <v>2362</v>
      </c>
      <c r="B351" s="15" t="s">
        <v>89</v>
      </c>
      <c r="C351" s="15" t="s">
        <v>258</v>
      </c>
      <c r="D351" s="15" t="s">
        <v>715</v>
      </c>
      <c r="E351" s="15" t="s">
        <v>2358</v>
      </c>
      <c r="F351" s="16" t="n">
        <v>53</v>
      </c>
      <c r="G351" s="15" t="n">
        <v>33</v>
      </c>
      <c r="H351" s="15" t="s">
        <v>5227</v>
      </c>
      <c r="I351" s="15" t="s">
        <v>5473</v>
      </c>
      <c r="J351" s="15" t="n">
        <v>4</v>
      </c>
      <c r="K351" s="15" t="s">
        <v>2357</v>
      </c>
      <c r="L351" s="15" t="str">
        <f aca="false">IF(K351="","No","Yes")</f>
        <v>Yes</v>
      </c>
      <c r="M351" s="18" t="str">
        <f aca="false">IF(K351="","",IFERROR(IF(ISNUMBER(SEARCH(A351,INDEX(Pages!$J$2:$J$824,MATCH(K351,Pages!$B$2:$B$824,0)))),"Yes","No"),"Page not found"))</f>
        <v>No</v>
      </c>
      <c r="N351" s="3" t="s">
        <v>5426</v>
      </c>
      <c r="O351" s="3" t="s">
        <v>5483</v>
      </c>
      <c r="P351" s="19"/>
      <c r="Q351" s="17"/>
      <c r="R351" s="17"/>
    </row>
    <row r="352" customFormat="false" ht="23.85" hidden="false" customHeight="false" outlineLevel="0" collapsed="false">
      <c r="A352" s="15" t="s">
        <v>2404</v>
      </c>
      <c r="B352" s="15" t="s">
        <v>89</v>
      </c>
      <c r="C352" s="15" t="s">
        <v>258</v>
      </c>
      <c r="D352" s="15" t="s">
        <v>715</v>
      </c>
      <c r="E352" s="15" t="s">
        <v>2400</v>
      </c>
      <c r="F352" s="16" t="n">
        <v>53</v>
      </c>
      <c r="G352" s="15" t="n">
        <v>25</v>
      </c>
      <c r="H352" s="15" t="s">
        <v>5227</v>
      </c>
      <c r="I352" s="15" t="s">
        <v>5473</v>
      </c>
      <c r="J352" s="15" t="n">
        <v>4</v>
      </c>
      <c r="K352" s="15" t="s">
        <v>2399</v>
      </c>
      <c r="L352" s="15" t="str">
        <f aca="false">IF(K352="","No","Yes")</f>
        <v>Yes</v>
      </c>
      <c r="M352" s="18" t="str">
        <f aca="false">IF(K352="","",IFERROR(IF(ISNUMBER(SEARCH(A352,INDEX(Pages!$J$2:$J$824,MATCH(K352,Pages!$B$2:$B$824,0)))),"Yes","No"),"Page not found"))</f>
        <v>Yes</v>
      </c>
      <c r="N352" s="3" t="s">
        <v>5426</v>
      </c>
      <c r="O352" s="3" t="s">
        <v>5483</v>
      </c>
      <c r="P352" s="19"/>
      <c r="Q352" s="17"/>
      <c r="R352" s="17"/>
    </row>
    <row r="353" customFormat="false" ht="23.85" hidden="false" customHeight="false" outlineLevel="0" collapsed="false">
      <c r="A353" s="15" t="s">
        <v>2991</v>
      </c>
      <c r="B353" s="15" t="s">
        <v>85</v>
      </c>
      <c r="C353" s="15" t="s">
        <v>272</v>
      </c>
      <c r="D353" s="15" t="s">
        <v>715</v>
      </c>
      <c r="E353" s="15" t="s">
        <v>2260</v>
      </c>
      <c r="F353" s="16" t="n">
        <v>53</v>
      </c>
      <c r="G353" s="15" t="n">
        <v>32</v>
      </c>
      <c r="H353" s="15" t="s">
        <v>5227</v>
      </c>
      <c r="I353" s="15" t="s">
        <v>5392</v>
      </c>
      <c r="J353" s="15" t="n">
        <v>5</v>
      </c>
      <c r="K353" s="15" t="s">
        <v>2987</v>
      </c>
      <c r="L353" s="15" t="str">
        <f aca="false">IF(K353="","No","Yes")</f>
        <v>Yes</v>
      </c>
      <c r="M353" s="18" t="str">
        <f aca="false">IF(K353="","",IFERROR(IF(ISNUMBER(SEARCH(A353,INDEX(Pages!$J$2:$J$824,MATCH(K353,Pages!$B$2:$B$824,0)))),"Yes","No"),"Page not found"))</f>
        <v>Yes</v>
      </c>
      <c r="N353" s="3" t="s">
        <v>5426</v>
      </c>
      <c r="O353" s="3" t="s">
        <v>5483</v>
      </c>
      <c r="P353" s="19"/>
      <c r="Q353" s="17"/>
      <c r="R353" s="17"/>
    </row>
    <row r="354" customFormat="false" ht="15" hidden="false" customHeight="false" outlineLevel="0" collapsed="false">
      <c r="A354" s="15" t="s">
        <v>3075</v>
      </c>
      <c r="B354" s="15" t="s">
        <v>85</v>
      </c>
      <c r="C354" s="15" t="s">
        <v>272</v>
      </c>
      <c r="D354" s="15" t="s">
        <v>715</v>
      </c>
      <c r="E354" s="15" t="s">
        <v>2358</v>
      </c>
      <c r="F354" s="16" t="n">
        <v>53</v>
      </c>
      <c r="G354" s="15" t="n">
        <v>40</v>
      </c>
      <c r="H354" s="15" t="s">
        <v>5227</v>
      </c>
      <c r="I354" s="15" t="s">
        <v>5392</v>
      </c>
      <c r="J354" s="15" t="n">
        <v>5</v>
      </c>
      <c r="K354" s="15" t="s">
        <v>3071</v>
      </c>
      <c r="L354" s="15" t="str">
        <f aca="false">IF(K354="","No","Yes")</f>
        <v>Yes</v>
      </c>
      <c r="M354" s="18" t="str">
        <f aca="false">IF(K354="","",IFERROR(IF(ISNUMBER(SEARCH(A354,INDEX(Pages!$J$2:$J$824,MATCH(K354,Pages!$B$2:$B$824,0)))),"Yes","No"),"Page not found"))</f>
        <v>No</v>
      </c>
      <c r="N354" s="3" t="s">
        <v>5426</v>
      </c>
      <c r="O354" s="3"/>
      <c r="P354" s="19"/>
      <c r="Q354" s="17"/>
      <c r="R354" s="17"/>
    </row>
    <row r="355" customFormat="false" ht="23.85" hidden="false" customHeight="false" outlineLevel="0" collapsed="false">
      <c r="A355" s="15" t="s">
        <v>3111</v>
      </c>
      <c r="B355" s="15" t="s">
        <v>85</v>
      </c>
      <c r="C355" s="15" t="s">
        <v>272</v>
      </c>
      <c r="D355" s="15" t="s">
        <v>715</v>
      </c>
      <c r="E355" s="15" t="s">
        <v>2400</v>
      </c>
      <c r="F355" s="16" t="n">
        <v>53</v>
      </c>
      <c r="G355" s="15" t="n">
        <v>32</v>
      </c>
      <c r="H355" s="15" t="s">
        <v>5227</v>
      </c>
      <c r="I355" s="15" t="s">
        <v>5392</v>
      </c>
      <c r="J355" s="15" t="n">
        <v>5</v>
      </c>
      <c r="K355" s="15" t="s">
        <v>3107</v>
      </c>
      <c r="L355" s="15" t="str">
        <f aca="false">IF(K355="","No","Yes")</f>
        <v>Yes</v>
      </c>
      <c r="M355" s="18" t="str">
        <f aca="false">IF(K355="","",IFERROR(IF(ISNUMBER(SEARCH(A355,INDEX(Pages!$J$2:$J$824,MATCH(K355,Pages!$B$2:$B$824,0)))),"Yes","No"),"Page not found"))</f>
        <v>Yes</v>
      </c>
      <c r="N355" s="3" t="s">
        <v>5426</v>
      </c>
      <c r="O355" s="3" t="s">
        <v>5483</v>
      </c>
      <c r="P355" s="19"/>
      <c r="Q355" s="17"/>
      <c r="R355" s="17"/>
    </row>
    <row r="356" customFormat="false" ht="23.85" hidden="false" customHeight="false" outlineLevel="0" collapsed="false">
      <c r="A356" s="15" t="s">
        <v>4311</v>
      </c>
      <c r="B356" s="15" t="s">
        <v>86</v>
      </c>
      <c r="C356" s="15" t="s">
        <v>356</v>
      </c>
      <c r="D356" s="15" t="s">
        <v>673</v>
      </c>
      <c r="E356" s="15" t="s">
        <v>2176</v>
      </c>
      <c r="F356" s="16" t="n">
        <v>53</v>
      </c>
      <c r="G356" s="15" t="n">
        <v>24</v>
      </c>
      <c r="H356" s="15" t="s">
        <v>5227</v>
      </c>
      <c r="I356" s="15" t="s">
        <v>5392</v>
      </c>
      <c r="J356" s="15" t="n">
        <v>5</v>
      </c>
      <c r="K356" s="15" t="s">
        <v>4307</v>
      </c>
      <c r="L356" s="15" t="str">
        <f aca="false">IF(K356="","No","Yes")</f>
        <v>Yes</v>
      </c>
      <c r="M356" s="18" t="str">
        <f aca="false">IF(K356="","",IFERROR(IF(ISNUMBER(SEARCH(A356,INDEX(Pages!$J$2:$J$824,MATCH(K356,Pages!$B$2:$B$824,0)))),"Yes","No"),"Page not found"))</f>
        <v>Yes</v>
      </c>
      <c r="N356" s="3" t="s">
        <v>5426</v>
      </c>
      <c r="O356" s="3" t="s">
        <v>5483</v>
      </c>
      <c r="P356" s="19"/>
      <c r="Q356" s="17"/>
      <c r="R356" s="17"/>
    </row>
    <row r="357" customFormat="false" ht="23.85" hidden="false" customHeight="false" outlineLevel="0" collapsed="false">
      <c r="A357" s="15" t="s">
        <v>2285</v>
      </c>
      <c r="B357" s="15" t="s">
        <v>89</v>
      </c>
      <c r="C357" s="15" t="s">
        <v>258</v>
      </c>
      <c r="D357" s="15" t="s">
        <v>715</v>
      </c>
      <c r="E357" s="15" t="s">
        <v>2281</v>
      </c>
      <c r="F357" s="16" t="n">
        <v>52</v>
      </c>
      <c r="G357" s="15" t="n">
        <v>33</v>
      </c>
      <c r="H357" s="15" t="s">
        <v>5227</v>
      </c>
      <c r="I357" s="15" t="s">
        <v>5473</v>
      </c>
      <c r="J357" s="15" t="n">
        <v>4</v>
      </c>
      <c r="K357" s="15" t="s">
        <v>2280</v>
      </c>
      <c r="L357" s="15" t="str">
        <f aca="false">IF(K357="","No","Yes")</f>
        <v>Yes</v>
      </c>
      <c r="M357" s="18" t="str">
        <f aca="false">IF(K357="","",IFERROR(IF(ISNUMBER(SEARCH(A357,INDEX(Pages!$J$2:$J$824,MATCH(K357,Pages!$B$2:$B$824,0)))),"Yes","No"),"Page not found"))</f>
        <v>Yes</v>
      </c>
      <c r="N357" s="3" t="s">
        <v>5426</v>
      </c>
      <c r="O357" s="3" t="s">
        <v>5483</v>
      </c>
      <c r="P357" s="19"/>
      <c r="Q357" s="17"/>
      <c r="R357" s="17"/>
    </row>
    <row r="358" customFormat="false" ht="23.85" hidden="false" customHeight="false" outlineLevel="0" collapsed="false">
      <c r="A358" s="15" t="s">
        <v>2145</v>
      </c>
      <c r="B358" s="15" t="s">
        <v>89</v>
      </c>
      <c r="C358" s="15" t="s">
        <v>258</v>
      </c>
      <c r="D358" s="15" t="s">
        <v>666</v>
      </c>
      <c r="E358" s="15" t="s">
        <v>2141</v>
      </c>
      <c r="F358" s="16" t="n">
        <v>52</v>
      </c>
      <c r="G358" s="15" t="n">
        <v>17</v>
      </c>
      <c r="H358" s="15" t="s">
        <v>5227</v>
      </c>
      <c r="I358" s="15" t="s">
        <v>5473</v>
      </c>
      <c r="J358" s="15" t="n">
        <v>3</v>
      </c>
      <c r="K358" s="15" t="s">
        <v>2140</v>
      </c>
      <c r="L358" s="15" t="str">
        <f aca="false">IF(K358="","No","Yes")</f>
        <v>Yes</v>
      </c>
      <c r="M358" s="18" t="str">
        <f aca="false">IF(K358="","",IFERROR(IF(ISNUMBER(SEARCH(A358,INDEX(Pages!$J$2:$J$824,MATCH(K358,Pages!$B$2:$B$824,0)))),"Yes","No"),"Page not found"))</f>
        <v>Yes</v>
      </c>
      <c r="N358" s="3" t="s">
        <v>5426</v>
      </c>
      <c r="O358" s="3" t="s">
        <v>5483</v>
      </c>
      <c r="P358" s="19"/>
      <c r="Q358" s="17"/>
      <c r="R358" s="17"/>
    </row>
    <row r="359" customFormat="false" ht="23.85" hidden="false" customHeight="false" outlineLevel="0" collapsed="false">
      <c r="A359" s="15" t="s">
        <v>2313</v>
      </c>
      <c r="B359" s="15" t="s">
        <v>89</v>
      </c>
      <c r="C359" s="15" t="s">
        <v>258</v>
      </c>
      <c r="D359" s="15" t="s">
        <v>715</v>
      </c>
      <c r="E359" s="15" t="s">
        <v>2309</v>
      </c>
      <c r="F359" s="16" t="n">
        <v>52</v>
      </c>
      <c r="G359" s="15" t="n">
        <v>25</v>
      </c>
      <c r="H359" s="15" t="s">
        <v>5227</v>
      </c>
      <c r="I359" s="15" t="s">
        <v>5473</v>
      </c>
      <c r="J359" s="15" t="n">
        <v>4</v>
      </c>
      <c r="K359" s="15" t="s">
        <v>2308</v>
      </c>
      <c r="L359" s="15" t="str">
        <f aca="false">IF(K359="","No","Yes")</f>
        <v>Yes</v>
      </c>
      <c r="M359" s="18" t="str">
        <f aca="false">IF(K359="","",IFERROR(IF(ISNUMBER(SEARCH(A359,INDEX(Pages!$J$2:$J$824,MATCH(K359,Pages!$B$2:$B$824,0)))),"Yes","No"),"Page not found"))</f>
        <v>Yes</v>
      </c>
      <c r="N359" s="3" t="s">
        <v>5426</v>
      </c>
      <c r="O359" s="3" t="s">
        <v>5483</v>
      </c>
      <c r="P359" s="19"/>
      <c r="Q359" s="17"/>
      <c r="R359" s="17"/>
    </row>
    <row r="360" customFormat="false" ht="15" hidden="false" customHeight="false" outlineLevel="0" collapsed="false">
      <c r="A360" s="15" t="s">
        <v>3009</v>
      </c>
      <c r="B360" s="15" t="s">
        <v>85</v>
      </c>
      <c r="C360" s="15" t="s">
        <v>272</v>
      </c>
      <c r="D360" s="15" t="s">
        <v>715</v>
      </c>
      <c r="E360" s="15" t="s">
        <v>2281</v>
      </c>
      <c r="F360" s="16" t="n">
        <v>52</v>
      </c>
      <c r="G360" s="15" t="n">
        <v>40</v>
      </c>
      <c r="H360" s="15" t="s">
        <v>5227</v>
      </c>
      <c r="I360" s="15" t="s">
        <v>5392</v>
      </c>
      <c r="J360" s="15" t="n">
        <v>5</v>
      </c>
      <c r="K360" s="15" t="s">
        <v>3005</v>
      </c>
      <c r="L360" s="15" t="str">
        <f aca="false">IF(K360="","No","Yes")</f>
        <v>Yes</v>
      </c>
      <c r="M360" s="18" t="str">
        <f aca="false">IF(K360="","",IFERROR(IF(ISNUMBER(SEARCH(A360,INDEX(Pages!$J$2:$J$824,MATCH(K360,Pages!$B$2:$B$824,0)))),"Yes","No"),"Page not found"))</f>
        <v>Yes</v>
      </c>
      <c r="N360" s="3" t="s">
        <v>5426</v>
      </c>
      <c r="O360" s="3"/>
      <c r="P360" s="19"/>
      <c r="Q360" s="17"/>
      <c r="R360" s="17"/>
    </row>
    <row r="361" customFormat="false" ht="23.85" hidden="false" customHeight="false" outlineLevel="0" collapsed="false">
      <c r="A361" s="15" t="s">
        <v>2889</v>
      </c>
      <c r="B361" s="15" t="s">
        <v>85</v>
      </c>
      <c r="C361" s="15" t="s">
        <v>272</v>
      </c>
      <c r="D361" s="15" t="s">
        <v>666</v>
      </c>
      <c r="E361" s="15" t="s">
        <v>2141</v>
      </c>
      <c r="F361" s="16" t="n">
        <v>52</v>
      </c>
      <c r="G361" s="15" t="n">
        <v>24</v>
      </c>
      <c r="H361" s="15" t="s">
        <v>5227</v>
      </c>
      <c r="I361" s="15" t="s">
        <v>5392</v>
      </c>
      <c r="J361" s="15" t="n">
        <v>5</v>
      </c>
      <c r="K361" s="15" t="s">
        <v>2885</v>
      </c>
      <c r="L361" s="15" t="str">
        <f aca="false">IF(K361="","No","Yes")</f>
        <v>Yes</v>
      </c>
      <c r="M361" s="18" t="str">
        <f aca="false">IF(K361="","",IFERROR(IF(ISNUMBER(SEARCH(A361,INDEX(Pages!$J$2:$J$824,MATCH(K361,Pages!$B$2:$B$824,0)))),"Yes","No"),"Page not found"))</f>
        <v>Yes</v>
      </c>
      <c r="N361" s="3" t="s">
        <v>5426</v>
      </c>
      <c r="O361" s="3" t="s">
        <v>5483</v>
      </c>
      <c r="P361" s="19"/>
      <c r="Q361" s="17"/>
      <c r="R361" s="17"/>
    </row>
    <row r="362" customFormat="false" ht="23.85" hidden="false" customHeight="false" outlineLevel="0" collapsed="false">
      <c r="A362" s="15" t="s">
        <v>3033</v>
      </c>
      <c r="B362" s="15" t="s">
        <v>85</v>
      </c>
      <c r="C362" s="15" t="s">
        <v>272</v>
      </c>
      <c r="D362" s="15" t="s">
        <v>715</v>
      </c>
      <c r="E362" s="15" t="s">
        <v>2309</v>
      </c>
      <c r="F362" s="16" t="n">
        <v>52</v>
      </c>
      <c r="G362" s="15" t="n">
        <v>32</v>
      </c>
      <c r="H362" s="15" t="s">
        <v>5227</v>
      </c>
      <c r="I362" s="15" t="s">
        <v>5392</v>
      </c>
      <c r="J362" s="15" t="n">
        <v>5</v>
      </c>
      <c r="K362" s="15" t="s">
        <v>3029</v>
      </c>
      <c r="L362" s="15" t="str">
        <f aca="false">IF(K362="","No","Yes")</f>
        <v>Yes</v>
      </c>
      <c r="M362" s="18" t="str">
        <f aca="false">IF(K362="","",IFERROR(IF(ISNUMBER(SEARCH(A362,INDEX(Pages!$J$2:$J$824,MATCH(K362,Pages!$B$2:$B$824,0)))),"Yes","No"),"Page not found"))</f>
        <v>Yes</v>
      </c>
      <c r="N362" s="3" t="s">
        <v>5426</v>
      </c>
      <c r="O362" s="3" t="s">
        <v>5483</v>
      </c>
      <c r="P362" s="19"/>
      <c r="Q362" s="17"/>
      <c r="R362" s="17"/>
    </row>
    <row r="363" customFormat="false" ht="15" hidden="false" customHeight="false" outlineLevel="0" collapsed="false">
      <c r="A363" s="15" t="s">
        <v>4721</v>
      </c>
      <c r="B363" s="15" t="s">
        <v>94</v>
      </c>
      <c r="C363" s="15"/>
      <c r="D363" s="15" t="s">
        <v>687</v>
      </c>
      <c r="E363" s="15" t="s">
        <v>2211</v>
      </c>
      <c r="F363" s="16" t="n">
        <v>52</v>
      </c>
      <c r="G363" s="15" t="n">
        <v>30</v>
      </c>
      <c r="H363" s="15" t="s">
        <v>5227</v>
      </c>
      <c r="I363" s="15" t="s">
        <v>5243</v>
      </c>
      <c r="J363" s="15" t="n">
        <v>4</v>
      </c>
      <c r="K363" s="15" t="s">
        <v>4717</v>
      </c>
      <c r="L363" s="15" t="str">
        <f aca="false">IF(K363="","No","Yes")</f>
        <v>Yes</v>
      </c>
      <c r="M363" s="18" t="str">
        <f aca="false">IF(K363="","",IFERROR(IF(ISNUMBER(SEARCH(A363,INDEX(Pages!$J$2:$J$824,MATCH(K363,Pages!$B$2:$B$824,0)))),"Yes","No"),"Page not found"))</f>
        <v>No</v>
      </c>
      <c r="N363" s="3" t="s">
        <v>5471</v>
      </c>
      <c r="O363" s="3" t="s">
        <v>5472</v>
      </c>
      <c r="P363" s="19"/>
      <c r="Q363" s="17"/>
      <c r="R363" s="17"/>
    </row>
    <row r="364" customFormat="false" ht="23.85" hidden="false" customHeight="false" outlineLevel="0" collapsed="false">
      <c r="A364" s="15" t="s">
        <v>3633</v>
      </c>
      <c r="B364" s="15" t="s">
        <v>74</v>
      </c>
      <c r="C364" s="15" t="s">
        <v>321</v>
      </c>
      <c r="D364" s="15" t="s">
        <v>680</v>
      </c>
      <c r="E364" s="15" t="s">
        <v>2197</v>
      </c>
      <c r="F364" s="16" t="n">
        <v>51</v>
      </c>
      <c r="G364" s="15" t="n">
        <v>27</v>
      </c>
      <c r="H364" s="15" t="s">
        <v>5227</v>
      </c>
      <c r="I364" s="15" t="s">
        <v>5444</v>
      </c>
      <c r="J364" s="15" t="n">
        <v>3</v>
      </c>
      <c r="K364" s="15" t="s">
        <v>3629</v>
      </c>
      <c r="L364" s="15" t="str">
        <f aca="false">IF(K364="","No","Yes")</f>
        <v>Yes</v>
      </c>
      <c r="M364" s="18" t="str">
        <f aca="false">IF(K364="","",IFERROR(IF(ISNUMBER(SEARCH(A364,INDEX(Pages!$J$2:$J$824,MATCH(K364,Pages!$B$2:$B$824,0)))),"Yes","No"),"Page not found"))</f>
        <v>Yes</v>
      </c>
      <c r="N364" s="3" t="s">
        <v>5426</v>
      </c>
      <c r="O364" s="3" t="s">
        <v>5483</v>
      </c>
      <c r="P364" s="19"/>
      <c r="Q364" s="17"/>
      <c r="R364" s="17"/>
    </row>
    <row r="365" customFormat="false" ht="23.85" hidden="false" customHeight="false" outlineLevel="0" collapsed="false">
      <c r="A365" s="15" t="s">
        <v>2236</v>
      </c>
      <c r="B365" s="15" t="s">
        <v>89</v>
      </c>
      <c r="C365" s="15" t="s">
        <v>258</v>
      </c>
      <c r="D365" s="15" t="s">
        <v>715</v>
      </c>
      <c r="E365" s="15" t="s">
        <v>2232</v>
      </c>
      <c r="F365" s="16" t="n">
        <v>50</v>
      </c>
      <c r="G365" s="15" t="n">
        <v>25</v>
      </c>
      <c r="H365" s="15" t="s">
        <v>5227</v>
      </c>
      <c r="I365" s="15" t="s">
        <v>5473</v>
      </c>
      <c r="J365" s="15" t="n">
        <v>4</v>
      </c>
      <c r="K365" s="15" t="s">
        <v>2231</v>
      </c>
      <c r="L365" s="15" t="str">
        <f aca="false">IF(K365="","No","Yes")</f>
        <v>Yes</v>
      </c>
      <c r="M365" s="18" t="str">
        <f aca="false">IF(K365="","",IFERROR(IF(ISNUMBER(SEARCH(A365,INDEX(Pages!$J$2:$J$824,MATCH(K365,Pages!$B$2:$B$824,0)))),"Yes","No"),"Page not found"))</f>
        <v>Yes</v>
      </c>
      <c r="N365" s="3" t="s">
        <v>5426</v>
      </c>
      <c r="O365" s="3" t="s">
        <v>5483</v>
      </c>
      <c r="P365" s="19"/>
      <c r="Q365" s="17"/>
      <c r="R365" s="17"/>
    </row>
    <row r="366" customFormat="false" ht="23.85" hidden="false" customHeight="false" outlineLevel="0" collapsed="false">
      <c r="A366" s="15" t="s">
        <v>2967</v>
      </c>
      <c r="B366" s="15" t="s">
        <v>85</v>
      </c>
      <c r="C366" s="15" t="s">
        <v>272</v>
      </c>
      <c r="D366" s="15" t="s">
        <v>715</v>
      </c>
      <c r="E366" s="15" t="s">
        <v>2232</v>
      </c>
      <c r="F366" s="16" t="n">
        <v>50</v>
      </c>
      <c r="G366" s="15" t="n">
        <v>32</v>
      </c>
      <c r="H366" s="15" t="s">
        <v>5227</v>
      </c>
      <c r="I366" s="15" t="s">
        <v>5392</v>
      </c>
      <c r="J366" s="15" t="n">
        <v>5</v>
      </c>
      <c r="K366" s="15" t="s">
        <v>2963</v>
      </c>
      <c r="L366" s="15" t="str">
        <f aca="false">IF(K366="","No","Yes")</f>
        <v>Yes</v>
      </c>
      <c r="M366" s="18" t="str">
        <f aca="false">IF(K366="","",IFERROR(IF(ISNUMBER(SEARCH(A366,INDEX(Pages!$J$2:$J$824,MATCH(K366,Pages!$B$2:$B$824,0)))),"Yes","No"),"Page not found"))</f>
        <v>Yes</v>
      </c>
      <c r="N366" s="3" t="s">
        <v>5426</v>
      </c>
      <c r="O366" s="3" t="s">
        <v>5483</v>
      </c>
      <c r="P366" s="19"/>
      <c r="Q366" s="17"/>
      <c r="R366" s="17"/>
    </row>
    <row r="367" customFormat="false" ht="15" hidden="false" customHeight="false" outlineLevel="0" collapsed="false">
      <c r="A367" s="15" t="s">
        <v>4215</v>
      </c>
      <c r="B367" s="15" t="s">
        <v>81</v>
      </c>
      <c r="C367" s="15" t="s">
        <v>349</v>
      </c>
      <c r="D367" s="15" t="s">
        <v>736</v>
      </c>
      <c r="E367" s="15" t="s">
        <v>2470</v>
      </c>
      <c r="F367" s="16" t="n">
        <v>49</v>
      </c>
      <c r="G367" s="15" t="n">
        <v>28</v>
      </c>
      <c r="H367" s="15" t="s">
        <v>5227</v>
      </c>
      <c r="I367" s="15" t="s">
        <v>5235</v>
      </c>
      <c r="J367" s="15" t="n">
        <v>4</v>
      </c>
      <c r="K367" s="15" t="s">
        <v>4211</v>
      </c>
      <c r="L367" s="15" t="str">
        <f aca="false">IF(K367="","No","Yes")</f>
        <v>Yes</v>
      </c>
      <c r="M367" s="18" t="str">
        <f aca="false">IF(K367="","",IFERROR(IF(ISNUMBER(SEARCH(A367,INDEX(Pages!$J$2:$J$824,MATCH(K367,Pages!$B$2:$B$824,0)))),"Yes","No"),"Page not found"))</f>
        <v>Yes</v>
      </c>
      <c r="N367" s="3" t="s">
        <v>5426</v>
      </c>
      <c r="O367" s="3"/>
      <c r="P367" s="19"/>
      <c r="Q367" s="17"/>
      <c r="R367" s="17"/>
    </row>
    <row r="368" customFormat="false" ht="15" hidden="false" customHeight="false" outlineLevel="0" collapsed="false">
      <c r="A368" s="15" t="s">
        <v>2453</v>
      </c>
      <c r="B368" s="15" t="s">
        <v>89</v>
      </c>
      <c r="C368" s="15" t="s">
        <v>258</v>
      </c>
      <c r="D368" s="15" t="s">
        <v>729</v>
      </c>
      <c r="E368" s="15" t="s">
        <v>2449</v>
      </c>
      <c r="F368" s="16" t="n">
        <v>48</v>
      </c>
      <c r="G368" s="15" t="n">
        <v>33</v>
      </c>
      <c r="H368" s="15" t="s">
        <v>5227</v>
      </c>
      <c r="I368" s="15" t="s">
        <v>5473</v>
      </c>
      <c r="J368" s="15" t="n">
        <v>5</v>
      </c>
      <c r="K368" s="15" t="s">
        <v>2448</v>
      </c>
      <c r="L368" s="15" t="str">
        <f aca="false">IF(K368="","No","Yes")</f>
        <v>Yes</v>
      </c>
      <c r="M368" s="18" t="str">
        <f aca="false">IF(K368="","",IFERROR(IF(ISNUMBER(SEARCH(A368,INDEX(Pages!$J$2:$J$824,MATCH(K368,Pages!$B$2:$B$824,0)))),"Yes","No"),"Page not found"))</f>
        <v>Yes</v>
      </c>
      <c r="N368" s="3" t="s">
        <v>5426</v>
      </c>
      <c r="O368" s="3" t="s">
        <v>5427</v>
      </c>
      <c r="P368" s="19"/>
      <c r="Q368" s="17"/>
      <c r="R368" s="17"/>
    </row>
    <row r="369" customFormat="false" ht="23.85" hidden="false" customHeight="false" outlineLevel="0" collapsed="false">
      <c r="A369" s="15" t="s">
        <v>2397</v>
      </c>
      <c r="B369" s="15" t="s">
        <v>89</v>
      </c>
      <c r="C369" s="15" t="s">
        <v>258</v>
      </c>
      <c r="D369" s="15" t="s">
        <v>715</v>
      </c>
      <c r="E369" s="15" t="s">
        <v>2393</v>
      </c>
      <c r="F369" s="16" t="n">
        <v>48</v>
      </c>
      <c r="G369" s="15" t="n">
        <v>33</v>
      </c>
      <c r="H369" s="15" t="s">
        <v>5227</v>
      </c>
      <c r="I369" s="15" t="s">
        <v>5473</v>
      </c>
      <c r="J369" s="15" t="n">
        <v>4</v>
      </c>
      <c r="K369" s="15" t="s">
        <v>2392</v>
      </c>
      <c r="L369" s="15" t="str">
        <f aca="false">IF(K369="","No","Yes")</f>
        <v>Yes</v>
      </c>
      <c r="M369" s="18" t="str">
        <f aca="false">IF(K369="","",IFERROR(IF(ISNUMBER(SEARCH(A369,INDEX(Pages!$J$2:$J$824,MATCH(K369,Pages!$B$2:$B$824,0)))),"Yes","No"),"Page not found"))</f>
        <v>Yes</v>
      </c>
      <c r="N369" s="3" t="s">
        <v>5426</v>
      </c>
      <c r="O369" s="3" t="s">
        <v>5483</v>
      </c>
      <c r="P369" s="19"/>
      <c r="Q369" s="17"/>
      <c r="R369" s="17"/>
    </row>
    <row r="370" customFormat="false" ht="15" hidden="false" customHeight="false" outlineLevel="0" collapsed="false">
      <c r="A370" s="15" t="s">
        <v>3153</v>
      </c>
      <c r="B370" s="15" t="s">
        <v>85</v>
      </c>
      <c r="C370" s="15" t="s">
        <v>272</v>
      </c>
      <c r="D370" s="15" t="s">
        <v>729</v>
      </c>
      <c r="E370" s="15" t="s">
        <v>2449</v>
      </c>
      <c r="F370" s="16" t="n">
        <v>48</v>
      </c>
      <c r="G370" s="15" t="n">
        <v>40</v>
      </c>
      <c r="H370" s="15" t="s">
        <v>5227</v>
      </c>
      <c r="I370" s="15" t="s">
        <v>5392</v>
      </c>
      <c r="J370" s="15" t="n">
        <v>5</v>
      </c>
      <c r="K370" s="15" t="s">
        <v>3149</v>
      </c>
      <c r="L370" s="15" t="str">
        <f aca="false">IF(K370="","No","Yes")</f>
        <v>Yes</v>
      </c>
      <c r="M370" s="18" t="str">
        <f aca="false">IF(K370="","",IFERROR(IF(ISNUMBER(SEARCH(A370,INDEX(Pages!$J$2:$J$824,MATCH(K370,Pages!$B$2:$B$824,0)))),"Yes","No"),"Page not found"))</f>
        <v>Yes</v>
      </c>
      <c r="N370" s="3" t="s">
        <v>5426</v>
      </c>
      <c r="O370" s="3" t="s">
        <v>5427</v>
      </c>
      <c r="P370" s="19"/>
      <c r="Q370" s="17"/>
      <c r="R370" s="17"/>
    </row>
    <row r="371" customFormat="false" ht="15" hidden="false" customHeight="false" outlineLevel="0" collapsed="false">
      <c r="A371" s="15" t="s">
        <v>3105</v>
      </c>
      <c r="B371" s="15" t="s">
        <v>85</v>
      </c>
      <c r="C371" s="15" t="s">
        <v>272</v>
      </c>
      <c r="D371" s="15" t="s">
        <v>715</v>
      </c>
      <c r="E371" s="15" t="s">
        <v>2393</v>
      </c>
      <c r="F371" s="16" t="n">
        <v>48</v>
      </c>
      <c r="G371" s="15" t="n">
        <v>40</v>
      </c>
      <c r="H371" s="15" t="s">
        <v>5227</v>
      </c>
      <c r="I371" s="15" t="s">
        <v>5392</v>
      </c>
      <c r="J371" s="15" t="n">
        <v>5</v>
      </c>
      <c r="K371" s="15" t="s">
        <v>3101</v>
      </c>
      <c r="L371" s="15" t="str">
        <f aca="false">IF(K371="","No","Yes")</f>
        <v>Yes</v>
      </c>
      <c r="M371" s="18" t="str">
        <f aca="false">IF(K371="","",IFERROR(IF(ISNUMBER(SEARCH(A371,INDEX(Pages!$J$2:$J$824,MATCH(K371,Pages!$B$2:$B$824,0)))),"Yes","No"),"Page not found"))</f>
        <v>Yes</v>
      </c>
      <c r="N371" s="3" t="s">
        <v>5426</v>
      </c>
      <c r="O371" s="3"/>
      <c r="P371" s="19"/>
      <c r="Q371" s="17"/>
      <c r="R371" s="17"/>
    </row>
    <row r="372" customFormat="false" ht="23.85" hidden="false" customHeight="false" outlineLevel="0" collapsed="false">
      <c r="A372" s="15" t="s">
        <v>3531</v>
      </c>
      <c r="B372" s="15" t="s">
        <v>74</v>
      </c>
      <c r="C372" s="15" t="s">
        <v>321</v>
      </c>
      <c r="D372" s="15" t="s">
        <v>657</v>
      </c>
      <c r="E372" s="15" t="s">
        <v>2077</v>
      </c>
      <c r="F372" s="16" t="n">
        <v>48</v>
      </c>
      <c r="G372" s="15" t="n">
        <v>19</v>
      </c>
      <c r="H372" s="15" t="s">
        <v>5227</v>
      </c>
      <c r="I372" s="15" t="s">
        <v>5444</v>
      </c>
      <c r="J372" s="15" t="n">
        <v>3</v>
      </c>
      <c r="K372" s="15" t="s">
        <v>3527</v>
      </c>
      <c r="L372" s="15" t="str">
        <f aca="false">IF(K372="","No","Yes")</f>
        <v>Yes</v>
      </c>
      <c r="M372" s="18" t="str">
        <f aca="false">IF(K372="","",IFERROR(IF(ISNUMBER(SEARCH(A372,INDEX(Pages!$J$2:$J$824,MATCH(K372,Pages!$B$2:$B$824,0)))),"Yes","No"),"Page not found"))</f>
        <v>Yes</v>
      </c>
      <c r="N372" s="3" t="s">
        <v>5426</v>
      </c>
      <c r="O372" s="3" t="s">
        <v>5483</v>
      </c>
      <c r="P372" s="19"/>
      <c r="Q372" s="17"/>
      <c r="R372" s="17"/>
    </row>
    <row r="373" customFormat="false" ht="23.85" hidden="false" customHeight="false" outlineLevel="0" collapsed="false">
      <c r="A373" s="15" t="s">
        <v>3639</v>
      </c>
      <c r="B373" s="15" t="s">
        <v>74</v>
      </c>
      <c r="C373" s="15" t="s">
        <v>321</v>
      </c>
      <c r="D373" s="15" t="s">
        <v>680</v>
      </c>
      <c r="E373" s="15" t="s">
        <v>2204</v>
      </c>
      <c r="F373" s="16" t="n">
        <v>46</v>
      </c>
      <c r="G373" s="15" t="n">
        <v>27</v>
      </c>
      <c r="H373" s="15" t="s">
        <v>5227</v>
      </c>
      <c r="I373" s="15" t="s">
        <v>5444</v>
      </c>
      <c r="J373" s="15" t="n">
        <v>3</v>
      </c>
      <c r="K373" s="15" t="s">
        <v>3635</v>
      </c>
      <c r="L373" s="15" t="str">
        <f aca="false">IF(K373="","No","Yes")</f>
        <v>Yes</v>
      </c>
      <c r="M373" s="18" t="str">
        <f aca="false">IF(K373="","",IFERROR(IF(ISNUMBER(SEARCH(A373,INDEX(Pages!$J$2:$J$824,MATCH(K373,Pages!$B$2:$B$824,0)))),"Yes","No"),"Page not found"))</f>
        <v>Yes</v>
      </c>
      <c r="N373" s="3" t="s">
        <v>5426</v>
      </c>
      <c r="O373" s="3" t="s">
        <v>5483</v>
      </c>
      <c r="P373" s="19"/>
      <c r="Q373" s="17"/>
      <c r="R373" s="17"/>
    </row>
    <row r="374" customFormat="false" ht="15" hidden="false" customHeight="false" outlineLevel="0" collapsed="false">
      <c r="A374" s="15" t="s">
        <v>4191</v>
      </c>
      <c r="B374" s="15" t="s">
        <v>81</v>
      </c>
      <c r="C374" s="15" t="s">
        <v>349</v>
      </c>
      <c r="D374" s="15" t="s">
        <v>729</v>
      </c>
      <c r="E374" s="15" t="s">
        <v>2442</v>
      </c>
      <c r="F374" s="16" t="n">
        <v>46</v>
      </c>
      <c r="G374" s="15" t="n">
        <v>28</v>
      </c>
      <c r="H374" s="15" t="s">
        <v>5227</v>
      </c>
      <c r="I374" s="15" t="s">
        <v>5235</v>
      </c>
      <c r="J374" s="15" t="n">
        <v>5</v>
      </c>
      <c r="K374" s="15" t="s">
        <v>4187</v>
      </c>
      <c r="L374" s="15" t="str">
        <f aca="false">IF(K374="","No","Yes")</f>
        <v>Yes</v>
      </c>
      <c r="M374" s="18" t="str">
        <f aca="false">IF(K374="","",IFERROR(IF(ISNUMBER(SEARCH(A374,INDEX(Pages!$J$2:$J$824,MATCH(K374,Pages!$B$2:$B$824,0)))),"Yes","No"),"Page not found"))</f>
        <v>Yes</v>
      </c>
      <c r="N374" s="3" t="s">
        <v>5426</v>
      </c>
      <c r="O374" s="3" t="s">
        <v>5427</v>
      </c>
      <c r="P374" s="19"/>
      <c r="Q374" s="17"/>
      <c r="R374" s="17"/>
    </row>
    <row r="375" customFormat="false" ht="15" hidden="false" customHeight="false" outlineLevel="0" collapsed="false">
      <c r="A375" s="15" t="s">
        <v>2215</v>
      </c>
      <c r="B375" s="15" t="s">
        <v>89</v>
      </c>
      <c r="C375" s="15" t="s">
        <v>258</v>
      </c>
      <c r="D375" s="15" t="s">
        <v>687</v>
      </c>
      <c r="E375" s="15" t="s">
        <v>2211</v>
      </c>
      <c r="F375" s="16" t="n">
        <v>45</v>
      </c>
      <c r="G375" s="15" t="n">
        <v>33</v>
      </c>
      <c r="H375" s="15" t="s">
        <v>5227</v>
      </c>
      <c r="I375" s="15" t="s">
        <v>5473</v>
      </c>
      <c r="J375" s="15" t="n">
        <v>3</v>
      </c>
      <c r="K375" s="15" t="s">
        <v>2210</v>
      </c>
      <c r="L375" s="15" t="str">
        <f aca="false">IF(K375="","No","Yes")</f>
        <v>Yes</v>
      </c>
      <c r="M375" s="18" t="str">
        <f aca="false">IF(K375="","",IFERROR(IF(ISNUMBER(SEARCH(A375,INDEX(Pages!$J$2:$J$824,MATCH(K375,Pages!$B$2:$B$824,0)))),"Yes","No"),"Page not found"))</f>
        <v>No</v>
      </c>
      <c r="N375" s="3" t="s">
        <v>5426</v>
      </c>
      <c r="O375" s="3"/>
      <c r="P375" s="19"/>
      <c r="Q375" s="17"/>
      <c r="R375" s="17"/>
    </row>
    <row r="376" customFormat="false" ht="15" hidden="false" customHeight="false" outlineLevel="0" collapsed="false">
      <c r="A376" s="15" t="s">
        <v>2949</v>
      </c>
      <c r="B376" s="15" t="s">
        <v>85</v>
      </c>
      <c r="C376" s="15" t="s">
        <v>272</v>
      </c>
      <c r="D376" s="15" t="s">
        <v>687</v>
      </c>
      <c r="E376" s="15" t="s">
        <v>2211</v>
      </c>
      <c r="F376" s="16" t="n">
        <v>45</v>
      </c>
      <c r="G376" s="15" t="n">
        <v>40</v>
      </c>
      <c r="H376" s="15" t="s">
        <v>5227</v>
      </c>
      <c r="I376" s="15" t="s">
        <v>5392</v>
      </c>
      <c r="J376" s="15" t="n">
        <v>5</v>
      </c>
      <c r="K376" s="15" t="s">
        <v>2945</v>
      </c>
      <c r="L376" s="15" t="str">
        <f aca="false">IF(K376="","No","Yes")</f>
        <v>Yes</v>
      </c>
      <c r="M376" s="18" t="str">
        <f aca="false">IF(K376="","",IFERROR(IF(ISNUMBER(SEARCH(A376,INDEX(Pages!$J$2:$J$824,MATCH(K376,Pages!$B$2:$B$824,0)))),"Yes","No"),"Page not found"))</f>
        <v>No</v>
      </c>
      <c r="N376" s="3" t="s">
        <v>5426</v>
      </c>
      <c r="O376" s="3"/>
      <c r="P376" s="19"/>
      <c r="Q376" s="17"/>
      <c r="R376" s="17"/>
    </row>
    <row r="377" customFormat="false" ht="15" hidden="false" customHeight="false" outlineLevel="0" collapsed="false">
      <c r="A377" s="15" t="s">
        <v>4047</v>
      </c>
      <c r="B377" s="15" t="s">
        <v>81</v>
      </c>
      <c r="C377" s="15" t="s">
        <v>349</v>
      </c>
      <c r="D377" s="15" t="s">
        <v>715</v>
      </c>
      <c r="E377" s="15" t="s">
        <v>2274</v>
      </c>
      <c r="F377" s="16" t="n">
        <v>45</v>
      </c>
      <c r="G377" s="15" t="n">
        <v>36</v>
      </c>
      <c r="H377" s="15" t="s">
        <v>5227</v>
      </c>
      <c r="I377" s="15" t="s">
        <v>5235</v>
      </c>
      <c r="J377" s="15" t="n">
        <v>4</v>
      </c>
      <c r="K377" s="15" t="s">
        <v>4043</v>
      </c>
      <c r="L377" s="15" t="str">
        <f aca="false">IF(K377="","No","Yes")</f>
        <v>Yes</v>
      </c>
      <c r="M377" s="18" t="str">
        <f aca="false">IF(K377="","",IFERROR(IF(ISNUMBER(SEARCH(A377,INDEX(Pages!$J$2:$J$824,MATCH(K377,Pages!$B$2:$B$824,0)))),"Yes","No"),"Page not found"))</f>
        <v>Yes</v>
      </c>
      <c r="N377" s="3" t="s">
        <v>5426</v>
      </c>
      <c r="O377" s="3"/>
      <c r="P377" s="19"/>
      <c r="Q377" s="17"/>
      <c r="R377" s="17"/>
    </row>
    <row r="378" customFormat="false" ht="23.85" hidden="false" customHeight="false" outlineLevel="0" collapsed="false">
      <c r="A378" s="15" t="s">
        <v>2376</v>
      </c>
      <c r="B378" s="15" t="s">
        <v>89</v>
      </c>
      <c r="C378" s="15" t="s">
        <v>258</v>
      </c>
      <c r="D378" s="15" t="s">
        <v>715</v>
      </c>
      <c r="E378" s="15" t="s">
        <v>2372</v>
      </c>
      <c r="F378" s="16" t="n">
        <v>44</v>
      </c>
      <c r="G378" s="15" t="n">
        <v>25</v>
      </c>
      <c r="H378" s="15" t="s">
        <v>5227</v>
      </c>
      <c r="I378" s="15" t="s">
        <v>5473</v>
      </c>
      <c r="J378" s="15" t="n">
        <v>4</v>
      </c>
      <c r="K378" s="15" t="s">
        <v>2371</v>
      </c>
      <c r="L378" s="15" t="str">
        <f aca="false">IF(K378="","No","Yes")</f>
        <v>Yes</v>
      </c>
      <c r="M378" s="18" t="str">
        <f aca="false">IF(K378="","",IFERROR(IF(ISNUMBER(SEARCH(A378,INDEX(Pages!$J$2:$J$824,MATCH(K378,Pages!$B$2:$B$824,0)))),"Yes","No"),"Page not found"))</f>
        <v>Yes</v>
      </c>
      <c r="N378" s="3" t="s">
        <v>5426</v>
      </c>
      <c r="O378" s="3" t="s">
        <v>5483</v>
      </c>
      <c r="P378" s="19"/>
      <c r="Q378" s="17"/>
      <c r="R378" s="17"/>
    </row>
    <row r="379" customFormat="false" ht="23.85" hidden="false" customHeight="false" outlineLevel="0" collapsed="false">
      <c r="A379" s="15" t="s">
        <v>3087</v>
      </c>
      <c r="B379" s="15" t="s">
        <v>85</v>
      </c>
      <c r="C379" s="15" t="s">
        <v>272</v>
      </c>
      <c r="D379" s="15" t="s">
        <v>715</v>
      </c>
      <c r="E379" s="15" t="s">
        <v>2372</v>
      </c>
      <c r="F379" s="16" t="n">
        <v>44</v>
      </c>
      <c r="G379" s="15" t="n">
        <v>32</v>
      </c>
      <c r="H379" s="15" t="s">
        <v>5227</v>
      </c>
      <c r="I379" s="15" t="s">
        <v>5392</v>
      </c>
      <c r="J379" s="15" t="n">
        <v>5</v>
      </c>
      <c r="K379" s="15" t="s">
        <v>3083</v>
      </c>
      <c r="L379" s="15" t="str">
        <f aca="false">IF(K379="","No","Yes")</f>
        <v>Yes</v>
      </c>
      <c r="M379" s="18" t="str">
        <f aca="false">IF(K379="","",IFERROR(IF(ISNUMBER(SEARCH(A379,INDEX(Pages!$J$2:$J$824,MATCH(K379,Pages!$B$2:$B$824,0)))),"Yes","No"),"Page not found"))</f>
        <v>Yes</v>
      </c>
      <c r="N379" s="3" t="s">
        <v>5426</v>
      </c>
      <c r="O379" s="3" t="s">
        <v>5483</v>
      </c>
      <c r="P379" s="19"/>
      <c r="Q379" s="17"/>
      <c r="R379" s="17"/>
    </row>
    <row r="380" customFormat="false" ht="15" hidden="false" customHeight="false" outlineLevel="0" collapsed="false">
      <c r="A380" s="15" t="s">
        <v>4667</v>
      </c>
      <c r="B380" s="15" t="s">
        <v>94</v>
      </c>
      <c r="C380" s="15"/>
      <c r="D380" s="15" t="s">
        <v>666</v>
      </c>
      <c r="E380" s="15" t="s">
        <v>2169</v>
      </c>
      <c r="F380" s="16" t="n">
        <v>44</v>
      </c>
      <c r="G380" s="15" t="n">
        <v>30</v>
      </c>
      <c r="H380" s="15" t="s">
        <v>5227</v>
      </c>
      <c r="I380" s="15" t="s">
        <v>5243</v>
      </c>
      <c r="J380" s="15" t="n">
        <v>4</v>
      </c>
      <c r="K380" s="15" t="s">
        <v>4663</v>
      </c>
      <c r="L380" s="15" t="str">
        <f aca="false">IF(K380="","No","Yes")</f>
        <v>Yes</v>
      </c>
      <c r="M380" s="18" t="str">
        <f aca="false">IF(K380="","",IFERROR(IF(ISNUMBER(SEARCH(A380,INDEX(Pages!$J$2:$J$824,MATCH(K380,Pages!$B$2:$B$824,0)))),"Yes","No"),"Page not found"))</f>
        <v>No</v>
      </c>
      <c r="N380" s="3" t="s">
        <v>5471</v>
      </c>
      <c r="O380" s="3" t="s">
        <v>5472</v>
      </c>
      <c r="P380" s="19"/>
      <c r="Q380" s="17"/>
      <c r="R380" s="17"/>
    </row>
    <row r="381" customFormat="false" ht="15" hidden="false" customHeight="false" outlineLevel="0" collapsed="false">
      <c r="A381" s="15" t="s">
        <v>4005</v>
      </c>
      <c r="B381" s="15" t="s">
        <v>81</v>
      </c>
      <c r="C381" s="15" t="s">
        <v>349</v>
      </c>
      <c r="D381" s="15" t="s">
        <v>701</v>
      </c>
      <c r="E381" s="15" t="s">
        <v>2225</v>
      </c>
      <c r="F381" s="16" t="n">
        <v>44</v>
      </c>
      <c r="G381" s="15" t="n">
        <v>28</v>
      </c>
      <c r="H381" s="15" t="s">
        <v>5227</v>
      </c>
      <c r="I381" s="15" t="s">
        <v>5235</v>
      </c>
      <c r="J381" s="15" t="n">
        <v>4</v>
      </c>
      <c r="K381" s="15" t="s">
        <v>4001</v>
      </c>
      <c r="L381" s="15" t="str">
        <f aca="false">IF(K381="","No","Yes")</f>
        <v>Yes</v>
      </c>
      <c r="M381" s="18" t="str">
        <f aca="false">IF(K381="","",IFERROR(IF(ISNUMBER(SEARCH(A381,INDEX(Pages!$J$2:$J$824,MATCH(K381,Pages!$B$2:$B$824,0)))),"Yes","No"),"Page not found"))</f>
        <v>Yes</v>
      </c>
      <c r="N381" s="3" t="s">
        <v>5426</v>
      </c>
      <c r="O381" s="3"/>
      <c r="P381" s="19"/>
      <c r="Q381" s="17"/>
      <c r="R381" s="17"/>
    </row>
    <row r="382" customFormat="false" ht="23.85" hidden="false" customHeight="false" outlineLevel="0" collapsed="false">
      <c r="A382" s="15" t="s">
        <v>3825</v>
      </c>
      <c r="B382" s="15" t="s">
        <v>74</v>
      </c>
      <c r="C382" s="15" t="s">
        <v>321</v>
      </c>
      <c r="D382" s="15" t="s">
        <v>729</v>
      </c>
      <c r="E382" s="15" t="s">
        <v>2421</v>
      </c>
      <c r="F382" s="16" t="n">
        <v>43</v>
      </c>
      <c r="G382" s="15" t="n">
        <v>27</v>
      </c>
      <c r="H382" s="15" t="s">
        <v>5227</v>
      </c>
      <c r="I382" s="15" t="s">
        <v>5444</v>
      </c>
      <c r="J382" s="15" t="n">
        <v>5</v>
      </c>
      <c r="K382" s="15" t="s">
        <v>3821</v>
      </c>
      <c r="L382" s="15" t="str">
        <f aca="false">IF(K382="","No","Yes")</f>
        <v>Yes</v>
      </c>
      <c r="M382" s="18" t="str">
        <f aca="false">IF(K382="","",IFERROR(IF(ISNUMBER(SEARCH(A382,INDEX(Pages!$J$2:$J$824,MATCH(K382,Pages!$B$2:$B$824,0)))),"Yes","No"),"Page not found"))</f>
        <v>Yes</v>
      </c>
      <c r="N382" s="3" t="s">
        <v>5426</v>
      </c>
      <c r="O382" s="3" t="s">
        <v>5497</v>
      </c>
      <c r="P382" s="19"/>
      <c r="Q382" s="17"/>
      <c r="R382" s="17"/>
    </row>
    <row r="383" customFormat="false" ht="15" hidden="false" customHeight="false" outlineLevel="0" collapsed="false">
      <c r="A383" s="15" t="s">
        <v>4209</v>
      </c>
      <c r="B383" s="15" t="s">
        <v>81</v>
      </c>
      <c r="C383" s="15" t="s">
        <v>349</v>
      </c>
      <c r="D383" s="15" t="s">
        <v>736</v>
      </c>
      <c r="E383" s="15" t="s">
        <v>2463</v>
      </c>
      <c r="F383" s="16" t="n">
        <v>43</v>
      </c>
      <c r="G383" s="15" t="n">
        <v>28</v>
      </c>
      <c r="H383" s="15" t="s">
        <v>5227</v>
      </c>
      <c r="I383" s="15" t="s">
        <v>5235</v>
      </c>
      <c r="J383" s="15" t="n">
        <v>4</v>
      </c>
      <c r="K383" s="15" t="s">
        <v>4205</v>
      </c>
      <c r="L383" s="15" t="str">
        <f aca="false">IF(K383="","No","Yes")</f>
        <v>Yes</v>
      </c>
      <c r="M383" s="18" t="str">
        <f aca="false">IF(K383="","",IFERROR(IF(ISNUMBER(SEARCH(A383,INDEX(Pages!$J$2:$J$824,MATCH(K383,Pages!$B$2:$B$824,0)))),"Yes","No"),"Page not found"))</f>
        <v>Yes</v>
      </c>
      <c r="N383" s="3" t="s">
        <v>5426</v>
      </c>
      <c r="O383" s="3"/>
      <c r="P383" s="19"/>
      <c r="Q383" s="17"/>
      <c r="R383" s="17"/>
    </row>
    <row r="384" customFormat="false" ht="23.85" hidden="false" customHeight="false" outlineLevel="0" collapsed="false">
      <c r="A384" s="15" t="s">
        <v>3627</v>
      </c>
      <c r="B384" s="15" t="s">
        <v>74</v>
      </c>
      <c r="C384" s="15" t="s">
        <v>321</v>
      </c>
      <c r="D384" s="15" t="s">
        <v>680</v>
      </c>
      <c r="E384" s="15" t="s">
        <v>2190</v>
      </c>
      <c r="F384" s="16" t="n">
        <v>42</v>
      </c>
      <c r="G384" s="15" t="n">
        <v>27</v>
      </c>
      <c r="H384" s="15" t="s">
        <v>5227</v>
      </c>
      <c r="I384" s="15" t="s">
        <v>5444</v>
      </c>
      <c r="J384" s="15" t="n">
        <v>4</v>
      </c>
      <c r="K384" s="15" t="s">
        <v>3623</v>
      </c>
      <c r="L384" s="15" t="str">
        <f aca="false">IF(K384="","No","Yes")</f>
        <v>Yes</v>
      </c>
      <c r="M384" s="18" t="str">
        <f aca="false">IF(K384="","",IFERROR(IF(ISNUMBER(SEARCH(A384,INDEX(Pages!$J$2:$J$824,MATCH(K384,Pages!$B$2:$B$824,0)))),"Yes","No"),"Page not found"))</f>
        <v>Yes</v>
      </c>
      <c r="N384" s="3" t="s">
        <v>5426</v>
      </c>
      <c r="O384" s="3" t="s">
        <v>5483</v>
      </c>
      <c r="P384" s="19"/>
      <c r="Q384" s="17"/>
      <c r="R384" s="17"/>
    </row>
    <row r="385" customFormat="false" ht="15" hidden="false" customHeight="false" outlineLevel="0" collapsed="false">
      <c r="A385" s="15" t="s">
        <v>4515</v>
      </c>
      <c r="B385" s="15" t="s">
        <v>86</v>
      </c>
      <c r="C385" s="15" t="s">
        <v>356</v>
      </c>
      <c r="D385" s="15" t="s">
        <v>722</v>
      </c>
      <c r="E385" s="15" t="s">
        <v>2414</v>
      </c>
      <c r="F385" s="16" t="n">
        <v>42</v>
      </c>
      <c r="G385" s="15" t="n">
        <v>32</v>
      </c>
      <c r="H385" s="15" t="s">
        <v>5227</v>
      </c>
      <c r="I385" s="15" t="s">
        <v>5392</v>
      </c>
      <c r="J385" s="15" t="n">
        <v>5</v>
      </c>
      <c r="K385" s="15" t="s">
        <v>4511</v>
      </c>
      <c r="L385" s="15" t="str">
        <f aca="false">IF(K385="","No","Yes")</f>
        <v>Yes</v>
      </c>
      <c r="M385" s="18" t="str">
        <f aca="false">IF(K385="","",IFERROR(IF(ISNUMBER(SEARCH(A385,INDEX(Pages!$J$2:$J$824,MATCH(K385,Pages!$B$2:$B$824,0)))),"Yes","No"),"Page not found"))</f>
        <v>Yes</v>
      </c>
      <c r="N385" s="3" t="s">
        <v>5426</v>
      </c>
      <c r="O385" s="3"/>
      <c r="P385" s="19"/>
      <c r="Q385" s="17"/>
      <c r="R385" s="17"/>
    </row>
    <row r="386" customFormat="false" ht="23.85" hidden="false" customHeight="false" outlineLevel="0" collapsed="false">
      <c r="A386" s="15" t="s">
        <v>4551</v>
      </c>
      <c r="B386" s="15" t="s">
        <v>86</v>
      </c>
      <c r="C386" s="15" t="s">
        <v>356</v>
      </c>
      <c r="D386" s="15" t="s">
        <v>729</v>
      </c>
      <c r="E386" s="15" t="s">
        <v>2456</v>
      </c>
      <c r="F386" s="16" t="n">
        <v>42</v>
      </c>
      <c r="G386" s="15" t="n">
        <v>24</v>
      </c>
      <c r="H386" s="15" t="s">
        <v>5227</v>
      </c>
      <c r="I386" s="15" t="s">
        <v>5392</v>
      </c>
      <c r="J386" s="15" t="n">
        <v>5</v>
      </c>
      <c r="K386" s="15" t="s">
        <v>4547</v>
      </c>
      <c r="L386" s="15" t="str">
        <f aca="false">IF(K386="","No","Yes")</f>
        <v>Yes</v>
      </c>
      <c r="M386" s="18" t="str">
        <f aca="false">IF(K386="","",IFERROR(IF(ISNUMBER(SEARCH(A386,INDEX(Pages!$J$2:$J$824,MATCH(K386,Pages!$B$2:$B$824,0)))),"Yes","No"),"Page not found"))</f>
        <v>Yes</v>
      </c>
      <c r="N386" s="3" t="s">
        <v>5426</v>
      </c>
      <c r="O386" s="3" t="s">
        <v>5497</v>
      </c>
      <c r="P386" s="19"/>
      <c r="Q386" s="17"/>
      <c r="R386" s="17"/>
    </row>
    <row r="387" customFormat="false" ht="23.85" hidden="false" customHeight="false" outlineLevel="0" collapsed="false">
      <c r="A387" s="15" t="s">
        <v>2103</v>
      </c>
      <c r="B387" s="15" t="s">
        <v>89</v>
      </c>
      <c r="C387" s="15" t="s">
        <v>258</v>
      </c>
      <c r="D387" s="15" t="s">
        <v>657</v>
      </c>
      <c r="E387" s="15" t="s">
        <v>2099</v>
      </c>
      <c r="F387" s="16" t="n">
        <v>41</v>
      </c>
      <c r="G387" s="15" t="n">
        <v>25</v>
      </c>
      <c r="H387" s="15" t="s">
        <v>5227</v>
      </c>
      <c r="I387" s="15" t="s">
        <v>5473</v>
      </c>
      <c r="J387" s="15" t="n">
        <v>4</v>
      </c>
      <c r="K387" s="15" t="s">
        <v>2098</v>
      </c>
      <c r="L387" s="15" t="str">
        <f aca="false">IF(K387="","No","Yes")</f>
        <v>Yes</v>
      </c>
      <c r="M387" s="18" t="str">
        <f aca="false">IF(K387="","",IFERROR(IF(ISNUMBER(SEARCH(A387,INDEX(Pages!$J$2:$J$824,MATCH(K387,Pages!$B$2:$B$824,0)))),"Yes","No"),"Page not found"))</f>
        <v>Yes</v>
      </c>
      <c r="N387" s="3" t="s">
        <v>5426</v>
      </c>
      <c r="O387" s="3" t="s">
        <v>5483</v>
      </c>
      <c r="P387" s="19"/>
      <c r="Q387" s="17"/>
      <c r="R387" s="17"/>
    </row>
    <row r="388" customFormat="false" ht="23.85" hidden="false" customHeight="false" outlineLevel="0" collapsed="false">
      <c r="A388" s="15" t="s">
        <v>2348</v>
      </c>
      <c r="B388" s="15" t="s">
        <v>89</v>
      </c>
      <c r="C388" s="15" t="s">
        <v>258</v>
      </c>
      <c r="D388" s="15" t="s">
        <v>715</v>
      </c>
      <c r="E388" s="15" t="s">
        <v>2344</v>
      </c>
      <c r="F388" s="16" t="n">
        <v>41</v>
      </c>
      <c r="G388" s="15" t="n">
        <v>25</v>
      </c>
      <c r="H388" s="15" t="s">
        <v>5227</v>
      </c>
      <c r="I388" s="15" t="s">
        <v>5473</v>
      </c>
      <c r="J388" s="15" t="n">
        <v>4</v>
      </c>
      <c r="K388" s="15" t="s">
        <v>2343</v>
      </c>
      <c r="L388" s="15" t="str">
        <f aca="false">IF(K388="","No","Yes")</f>
        <v>Yes</v>
      </c>
      <c r="M388" s="18" t="str">
        <f aca="false">IF(K388="","",IFERROR(IF(ISNUMBER(SEARCH(A388,INDEX(Pages!$J$2:$J$824,MATCH(K388,Pages!$B$2:$B$824,0)))),"Yes","No"),"Page not found"))</f>
        <v>Yes</v>
      </c>
      <c r="N388" s="3" t="s">
        <v>5426</v>
      </c>
      <c r="O388" s="3" t="s">
        <v>5483</v>
      </c>
      <c r="P388" s="19"/>
      <c r="Q388" s="17"/>
      <c r="R388" s="17"/>
    </row>
    <row r="389" customFormat="false" ht="23.85" hidden="false" customHeight="false" outlineLevel="0" collapsed="false">
      <c r="A389" s="15" t="s">
        <v>2110</v>
      </c>
      <c r="B389" s="15" t="s">
        <v>89</v>
      </c>
      <c r="C389" s="15" t="s">
        <v>258</v>
      </c>
      <c r="D389" s="15" t="s">
        <v>657</v>
      </c>
      <c r="E389" s="15" t="s">
        <v>2106</v>
      </c>
      <c r="F389" s="16" t="n">
        <v>41</v>
      </c>
      <c r="G389" s="15" t="n">
        <v>25</v>
      </c>
      <c r="H389" s="15" t="s">
        <v>5227</v>
      </c>
      <c r="I389" s="15" t="s">
        <v>5473</v>
      </c>
      <c r="J389" s="15" t="n">
        <v>4</v>
      </c>
      <c r="K389" s="15" t="s">
        <v>2105</v>
      </c>
      <c r="L389" s="15" t="str">
        <f aca="false">IF(K389="","No","Yes")</f>
        <v>Yes</v>
      </c>
      <c r="M389" s="18" t="str">
        <f aca="false">IF(K389="","",IFERROR(IF(ISNUMBER(SEARCH(A389,INDEX(Pages!$J$2:$J$824,MATCH(K389,Pages!$B$2:$B$824,0)))),"Yes","No"),"Page not found"))</f>
        <v>Yes</v>
      </c>
      <c r="N389" s="3" t="s">
        <v>5426</v>
      </c>
      <c r="O389" s="3" t="s">
        <v>5483</v>
      </c>
      <c r="P389" s="19"/>
      <c r="Q389" s="17"/>
      <c r="R389" s="17"/>
    </row>
    <row r="390" customFormat="false" ht="15" hidden="false" customHeight="false" outlineLevel="0" collapsed="false">
      <c r="A390" s="15" t="s">
        <v>2853</v>
      </c>
      <c r="B390" s="15" t="s">
        <v>85</v>
      </c>
      <c r="C390" s="15" t="s">
        <v>272</v>
      </c>
      <c r="D390" s="15" t="s">
        <v>657</v>
      </c>
      <c r="E390" s="15" t="s">
        <v>2099</v>
      </c>
      <c r="F390" s="16" t="n">
        <v>41</v>
      </c>
      <c r="G390" s="15" t="n">
        <v>32</v>
      </c>
      <c r="H390" s="15" t="s">
        <v>5227</v>
      </c>
      <c r="I390" s="15" t="s">
        <v>5392</v>
      </c>
      <c r="J390" s="15" t="n">
        <v>5</v>
      </c>
      <c r="K390" s="15" t="s">
        <v>2849</v>
      </c>
      <c r="L390" s="15" t="str">
        <f aca="false">IF(K390="","No","Yes")</f>
        <v>Yes</v>
      </c>
      <c r="M390" s="18" t="str">
        <f aca="false">IF(K390="","",IFERROR(IF(ISNUMBER(SEARCH(A390,INDEX(Pages!$J$2:$J$824,MATCH(K390,Pages!$B$2:$B$824,0)))),"Yes","No"),"Page not found"))</f>
        <v>Yes</v>
      </c>
      <c r="N390" s="3" t="s">
        <v>5426</v>
      </c>
      <c r="O390" s="3"/>
      <c r="P390" s="19"/>
      <c r="Q390" s="17"/>
      <c r="R390" s="17"/>
    </row>
    <row r="391" customFormat="false" ht="23.85" hidden="false" customHeight="false" outlineLevel="0" collapsed="false">
      <c r="A391" s="15" t="s">
        <v>3063</v>
      </c>
      <c r="B391" s="15" t="s">
        <v>85</v>
      </c>
      <c r="C391" s="15" t="s">
        <v>272</v>
      </c>
      <c r="D391" s="15" t="s">
        <v>715</v>
      </c>
      <c r="E391" s="15" t="s">
        <v>2344</v>
      </c>
      <c r="F391" s="16" t="n">
        <v>41</v>
      </c>
      <c r="G391" s="15" t="n">
        <v>32</v>
      </c>
      <c r="H391" s="15" t="s">
        <v>5227</v>
      </c>
      <c r="I391" s="15" t="s">
        <v>5392</v>
      </c>
      <c r="J391" s="15" t="n">
        <v>5</v>
      </c>
      <c r="K391" s="15" t="s">
        <v>3059</v>
      </c>
      <c r="L391" s="15" t="str">
        <f aca="false">IF(K391="","No","Yes")</f>
        <v>Yes</v>
      </c>
      <c r="M391" s="18" t="str">
        <f aca="false">IF(K391="","",IFERROR(IF(ISNUMBER(SEARCH(A391,INDEX(Pages!$J$2:$J$824,MATCH(K391,Pages!$B$2:$B$824,0)))),"Yes","No"),"Page not found"))</f>
        <v>Yes</v>
      </c>
      <c r="N391" s="3" t="s">
        <v>5426</v>
      </c>
      <c r="O391" s="3" t="s">
        <v>5483</v>
      </c>
      <c r="P391" s="19"/>
      <c r="Q391" s="17"/>
      <c r="R391" s="17"/>
    </row>
    <row r="392" customFormat="false" ht="15" hidden="false" customHeight="false" outlineLevel="0" collapsed="false">
      <c r="A392" s="15" t="s">
        <v>2859</v>
      </c>
      <c r="B392" s="15" t="s">
        <v>85</v>
      </c>
      <c r="C392" s="15" t="s">
        <v>272</v>
      </c>
      <c r="D392" s="15" t="s">
        <v>657</v>
      </c>
      <c r="E392" s="15" t="s">
        <v>2106</v>
      </c>
      <c r="F392" s="16" t="n">
        <v>41</v>
      </c>
      <c r="G392" s="15" t="n">
        <v>32</v>
      </c>
      <c r="H392" s="15" t="s">
        <v>5227</v>
      </c>
      <c r="I392" s="15" t="s">
        <v>5392</v>
      </c>
      <c r="J392" s="15" t="n">
        <v>5</v>
      </c>
      <c r="K392" s="15" t="s">
        <v>2855</v>
      </c>
      <c r="L392" s="15" t="str">
        <f aca="false">IF(K392="","No","Yes")</f>
        <v>Yes</v>
      </c>
      <c r="M392" s="18" t="str">
        <f aca="false">IF(K392="","",IFERROR(IF(ISNUMBER(SEARCH(A392,INDEX(Pages!$J$2:$J$824,MATCH(K392,Pages!$B$2:$B$824,0)))),"Yes","No"),"Page not found"))</f>
        <v>Yes</v>
      </c>
      <c r="N392" s="3" t="s">
        <v>5426</v>
      </c>
      <c r="O392" s="3"/>
      <c r="P392" s="19"/>
      <c r="Q392" s="17"/>
      <c r="R392" s="17"/>
    </row>
    <row r="393" customFormat="false" ht="15" hidden="false" customHeight="false" outlineLevel="0" collapsed="false">
      <c r="A393" s="15" t="s">
        <v>2432</v>
      </c>
      <c r="B393" s="15" t="s">
        <v>89</v>
      </c>
      <c r="C393" s="15" t="s">
        <v>258</v>
      </c>
      <c r="D393" s="15" t="s">
        <v>729</v>
      </c>
      <c r="E393" s="15" t="s">
        <v>2428</v>
      </c>
      <c r="F393" s="16" t="n">
        <v>40</v>
      </c>
      <c r="G393" s="15" t="n">
        <v>33</v>
      </c>
      <c r="H393" s="15" t="s">
        <v>5227</v>
      </c>
      <c r="I393" s="15" t="s">
        <v>5473</v>
      </c>
      <c r="J393" s="15" t="n">
        <v>5</v>
      </c>
      <c r="K393" s="15" t="s">
        <v>2427</v>
      </c>
      <c r="L393" s="15" t="str">
        <f aca="false">IF(K393="","No","Yes")</f>
        <v>Yes</v>
      </c>
      <c r="M393" s="18" t="str">
        <f aca="false">IF(K393="","",IFERROR(IF(ISNUMBER(SEARCH(A393,INDEX(Pages!$J$2:$J$824,MATCH(K393,Pages!$B$2:$B$824,0)))),"Yes","No"),"Page not found"))</f>
        <v>Yes</v>
      </c>
      <c r="N393" s="3" t="s">
        <v>5426</v>
      </c>
      <c r="O393" s="3" t="s">
        <v>5427</v>
      </c>
      <c r="P393" s="19"/>
      <c r="Q393" s="17"/>
      <c r="R393" s="17"/>
    </row>
    <row r="394" customFormat="false" ht="15" hidden="false" customHeight="false" outlineLevel="0" collapsed="false">
      <c r="A394" s="15" t="s">
        <v>3135</v>
      </c>
      <c r="B394" s="15" t="s">
        <v>85</v>
      </c>
      <c r="C394" s="15" t="s">
        <v>272</v>
      </c>
      <c r="D394" s="15" t="s">
        <v>729</v>
      </c>
      <c r="E394" s="15" t="s">
        <v>2428</v>
      </c>
      <c r="F394" s="16" t="n">
        <v>40</v>
      </c>
      <c r="G394" s="15" t="n">
        <v>40</v>
      </c>
      <c r="H394" s="15" t="s">
        <v>5227</v>
      </c>
      <c r="I394" s="15" t="s">
        <v>5392</v>
      </c>
      <c r="J394" s="15" t="n">
        <v>5</v>
      </c>
      <c r="K394" s="15" t="s">
        <v>3131</v>
      </c>
      <c r="L394" s="15" t="str">
        <f aca="false">IF(K394="","No","Yes")</f>
        <v>Yes</v>
      </c>
      <c r="M394" s="18" t="str">
        <f aca="false">IF(K394="","",IFERROR(IF(ISNUMBER(SEARCH(A394,INDEX(Pages!$J$2:$J$824,MATCH(K394,Pages!$B$2:$B$824,0)))),"Yes","No"),"Page not found"))</f>
        <v>Yes</v>
      </c>
      <c r="N394" s="3" t="s">
        <v>5426</v>
      </c>
      <c r="O394" s="3" t="s">
        <v>5427</v>
      </c>
      <c r="P394" s="19"/>
      <c r="Q394" s="17"/>
      <c r="R394" s="17"/>
    </row>
    <row r="395" customFormat="false" ht="15" hidden="false" customHeight="false" outlineLevel="0" collapsed="false">
      <c r="A395" s="15" t="s">
        <v>2173</v>
      </c>
      <c r="B395" s="15" t="s">
        <v>89</v>
      </c>
      <c r="C395" s="15" t="s">
        <v>258</v>
      </c>
      <c r="D395" s="15" t="s">
        <v>666</v>
      </c>
      <c r="E395" s="15" t="s">
        <v>2169</v>
      </c>
      <c r="F395" s="16" t="n">
        <v>39</v>
      </c>
      <c r="G395" s="15" t="n">
        <v>33</v>
      </c>
      <c r="H395" s="15" t="s">
        <v>5227</v>
      </c>
      <c r="I395" s="15" t="s">
        <v>5473</v>
      </c>
      <c r="J395" s="15" t="n">
        <v>3</v>
      </c>
      <c r="K395" s="15" t="s">
        <v>2168</v>
      </c>
      <c r="L395" s="15" t="str">
        <f aca="false">IF(K395="","No","Yes")</f>
        <v>Yes</v>
      </c>
      <c r="M395" s="18" t="str">
        <f aca="false">IF(K395="","",IFERROR(IF(ISNUMBER(SEARCH(A395,INDEX(Pages!$J$2:$J$824,MATCH(K395,Pages!$B$2:$B$824,0)))),"Yes","No"),"Page not found"))</f>
        <v>Yes</v>
      </c>
      <c r="N395" s="3" t="s">
        <v>5426</v>
      </c>
      <c r="O395" s="3"/>
      <c r="P395" s="19"/>
      <c r="Q395" s="17"/>
      <c r="R395" s="17"/>
    </row>
    <row r="396" customFormat="false" ht="15" hidden="false" customHeight="false" outlineLevel="0" collapsed="false">
      <c r="A396" s="15" t="s">
        <v>2913</v>
      </c>
      <c r="B396" s="15" t="s">
        <v>85</v>
      </c>
      <c r="C396" s="15" t="s">
        <v>272</v>
      </c>
      <c r="D396" s="15" t="s">
        <v>666</v>
      </c>
      <c r="E396" s="15" t="s">
        <v>2169</v>
      </c>
      <c r="F396" s="16" t="n">
        <v>39</v>
      </c>
      <c r="G396" s="15" t="n">
        <v>40</v>
      </c>
      <c r="H396" s="15" t="s">
        <v>5227</v>
      </c>
      <c r="I396" s="15" t="s">
        <v>5392</v>
      </c>
      <c r="J396" s="15" t="n">
        <v>5</v>
      </c>
      <c r="K396" s="15" t="s">
        <v>2909</v>
      </c>
      <c r="L396" s="15" t="str">
        <f aca="false">IF(K396="","No","Yes")</f>
        <v>Yes</v>
      </c>
      <c r="M396" s="18" t="str">
        <f aca="false">IF(K396="","",IFERROR(IF(ISNUMBER(SEARCH(A396,INDEX(Pages!$J$2:$J$824,MATCH(K396,Pages!$B$2:$B$824,0)))),"Yes","No"),"Page not found"))</f>
        <v>Yes</v>
      </c>
      <c r="N396" s="3" t="s">
        <v>5426</v>
      </c>
      <c r="O396" s="3"/>
      <c r="P396" s="19"/>
      <c r="Q396" s="17"/>
      <c r="R396" s="17"/>
    </row>
    <row r="397" customFormat="false" ht="23.85" hidden="false" customHeight="false" outlineLevel="0" collapsed="false">
      <c r="A397" s="15" t="s">
        <v>3837</v>
      </c>
      <c r="B397" s="15" t="s">
        <v>74</v>
      </c>
      <c r="C397" s="15" t="s">
        <v>321</v>
      </c>
      <c r="D397" s="15" t="s">
        <v>729</v>
      </c>
      <c r="E397" s="15" t="s">
        <v>2435</v>
      </c>
      <c r="F397" s="16" t="n">
        <v>39</v>
      </c>
      <c r="G397" s="15" t="n">
        <v>27</v>
      </c>
      <c r="H397" s="15" t="s">
        <v>5227</v>
      </c>
      <c r="I397" s="15" t="s">
        <v>5444</v>
      </c>
      <c r="J397" s="15" t="n">
        <v>5</v>
      </c>
      <c r="K397" s="15" t="s">
        <v>3833</v>
      </c>
      <c r="L397" s="15" t="str">
        <f aca="false">IF(K397="","No","Yes")</f>
        <v>Yes</v>
      </c>
      <c r="M397" s="18" t="str">
        <f aca="false">IF(K397="","",IFERROR(IF(ISNUMBER(SEARCH(A397,INDEX(Pages!$J$2:$J$824,MATCH(K397,Pages!$B$2:$B$824,0)))),"Yes","No"),"Page not found"))</f>
        <v>Yes</v>
      </c>
      <c r="N397" s="3" t="s">
        <v>5426</v>
      </c>
      <c r="O397" s="3" t="s">
        <v>5497</v>
      </c>
      <c r="P397" s="19"/>
      <c r="Q397" s="17"/>
      <c r="R397" s="17"/>
    </row>
    <row r="398" customFormat="false" ht="23.85" hidden="false" customHeight="false" outlineLevel="0" collapsed="false">
      <c r="A398" s="15" t="s">
        <v>3615</v>
      </c>
      <c r="B398" s="15" t="s">
        <v>74</v>
      </c>
      <c r="C398" s="15" t="s">
        <v>321</v>
      </c>
      <c r="D398" s="15" t="s">
        <v>673</v>
      </c>
      <c r="E398" s="15" t="s">
        <v>2176</v>
      </c>
      <c r="F398" s="16" t="n">
        <v>36</v>
      </c>
      <c r="G398" s="15" t="n">
        <v>19</v>
      </c>
      <c r="H398" s="15" t="s">
        <v>5227</v>
      </c>
      <c r="I398" s="15" t="s">
        <v>5444</v>
      </c>
      <c r="J398" s="15" t="n">
        <v>3</v>
      </c>
      <c r="K398" s="15" t="s">
        <v>3611</v>
      </c>
      <c r="L398" s="15" t="str">
        <f aca="false">IF(K398="","No","Yes")</f>
        <v>Yes</v>
      </c>
      <c r="M398" s="18" t="str">
        <f aca="false">IF(K398="","",IFERROR(IF(ISNUMBER(SEARCH(A398,INDEX(Pages!$J$2:$J$824,MATCH(K398,Pages!$B$2:$B$824,0)))),"Yes","No"),"Page not found"))</f>
        <v>Yes</v>
      </c>
      <c r="N398" s="3" t="s">
        <v>5426</v>
      </c>
      <c r="O398" s="3" t="s">
        <v>5483</v>
      </c>
      <c r="P398" s="19"/>
      <c r="Q398" s="17"/>
      <c r="R398" s="17"/>
    </row>
    <row r="399" customFormat="false" ht="15" hidden="false" customHeight="false" outlineLevel="0" collapsed="false">
      <c r="A399" s="15" t="s">
        <v>4065</v>
      </c>
      <c r="B399" s="15" t="s">
        <v>81</v>
      </c>
      <c r="C399" s="15" t="s">
        <v>349</v>
      </c>
      <c r="D399" s="15" t="s">
        <v>715</v>
      </c>
      <c r="E399" s="15" t="s">
        <v>2295</v>
      </c>
      <c r="F399" s="16" t="n">
        <v>35</v>
      </c>
      <c r="G399" s="15" t="n">
        <v>36</v>
      </c>
      <c r="H399" s="15" t="s">
        <v>5227</v>
      </c>
      <c r="I399" s="15" t="s">
        <v>5235</v>
      </c>
      <c r="J399" s="15" t="n">
        <v>5</v>
      </c>
      <c r="K399" s="15" t="s">
        <v>4061</v>
      </c>
      <c r="L399" s="15" t="str">
        <f aca="false">IF(K399="","No","Yes")</f>
        <v>Yes</v>
      </c>
      <c r="M399" s="18" t="str">
        <f aca="false">IF(K399="","",IFERROR(IF(ISNUMBER(SEARCH(A399,INDEX(Pages!$J$2:$J$824,MATCH(K399,Pages!$B$2:$B$824,0)))),"Yes","No"),"Page not found"))</f>
        <v>No</v>
      </c>
      <c r="N399" s="3" t="s">
        <v>5426</v>
      </c>
      <c r="O399" s="3"/>
      <c r="P399" s="19"/>
      <c r="Q399" s="17"/>
      <c r="R399" s="17"/>
    </row>
    <row r="400" customFormat="false" ht="23.85" hidden="false" customHeight="false" outlineLevel="0" collapsed="false">
      <c r="A400" s="15" t="s">
        <v>2201</v>
      </c>
      <c r="B400" s="15" t="s">
        <v>89</v>
      </c>
      <c r="C400" s="15" t="s">
        <v>258</v>
      </c>
      <c r="D400" s="15" t="s">
        <v>680</v>
      </c>
      <c r="E400" s="15" t="s">
        <v>2197</v>
      </c>
      <c r="F400" s="16" t="n">
        <v>34</v>
      </c>
      <c r="G400" s="15" t="n">
        <v>25</v>
      </c>
      <c r="H400" s="15" t="s">
        <v>5227</v>
      </c>
      <c r="I400" s="15" t="s">
        <v>5473</v>
      </c>
      <c r="J400" s="15" t="n">
        <v>4</v>
      </c>
      <c r="K400" s="15" t="s">
        <v>2196</v>
      </c>
      <c r="L400" s="15" t="str">
        <f aca="false">IF(K400="","No","Yes")</f>
        <v>Yes</v>
      </c>
      <c r="M400" s="18" t="str">
        <f aca="false">IF(K400="","",IFERROR(IF(ISNUMBER(SEARCH(A400,INDEX(Pages!$J$2:$J$824,MATCH(K400,Pages!$B$2:$B$824,0)))),"Yes","No"),"Page not found"))</f>
        <v>Yes</v>
      </c>
      <c r="N400" s="3" t="s">
        <v>5426</v>
      </c>
      <c r="O400" s="3" t="s">
        <v>5483</v>
      </c>
      <c r="P400" s="19"/>
      <c r="Q400" s="17"/>
      <c r="R400" s="17"/>
    </row>
    <row r="401" customFormat="false" ht="15" hidden="false" customHeight="false" outlineLevel="0" collapsed="false">
      <c r="A401" s="15" t="s">
        <v>2937</v>
      </c>
      <c r="B401" s="15" t="s">
        <v>85</v>
      </c>
      <c r="C401" s="15" t="s">
        <v>272</v>
      </c>
      <c r="D401" s="15" t="s">
        <v>680</v>
      </c>
      <c r="E401" s="15" t="s">
        <v>2197</v>
      </c>
      <c r="F401" s="16" t="n">
        <v>34</v>
      </c>
      <c r="G401" s="15" t="n">
        <v>32</v>
      </c>
      <c r="H401" s="15" t="s">
        <v>5227</v>
      </c>
      <c r="I401" s="15" t="s">
        <v>5392</v>
      </c>
      <c r="J401" s="15" t="n">
        <v>5</v>
      </c>
      <c r="K401" s="15" t="s">
        <v>2933</v>
      </c>
      <c r="L401" s="15" t="str">
        <f aca="false">IF(K401="","No","Yes")</f>
        <v>Yes</v>
      </c>
      <c r="M401" s="18" t="str">
        <f aca="false">IF(K401="","",IFERROR(IF(ISNUMBER(SEARCH(A401,INDEX(Pages!$J$2:$J$824,MATCH(K401,Pages!$B$2:$B$824,0)))),"Yes","No"),"Page not found"))</f>
        <v>Yes</v>
      </c>
      <c r="N401" s="3" t="s">
        <v>5426</v>
      </c>
      <c r="O401" s="3"/>
      <c r="P401" s="19"/>
      <c r="Q401" s="17"/>
      <c r="R401" s="17"/>
    </row>
    <row r="402" customFormat="false" ht="23.85" hidden="false" customHeight="false" outlineLevel="0" collapsed="false">
      <c r="A402" s="15" t="s">
        <v>2081</v>
      </c>
      <c r="B402" s="15" t="s">
        <v>89</v>
      </c>
      <c r="C402" s="15" t="s">
        <v>258</v>
      </c>
      <c r="D402" s="15" t="s">
        <v>657</v>
      </c>
      <c r="E402" s="15" t="s">
        <v>2077</v>
      </c>
      <c r="F402" s="16" t="n">
        <v>32</v>
      </c>
      <c r="G402" s="15" t="n">
        <v>17</v>
      </c>
      <c r="H402" s="15" t="s">
        <v>5227</v>
      </c>
      <c r="I402" s="15" t="s">
        <v>5473</v>
      </c>
      <c r="J402" s="15" t="n">
        <v>4</v>
      </c>
      <c r="K402" s="15" t="s">
        <v>2075</v>
      </c>
      <c r="L402" s="15" t="str">
        <f aca="false">IF(K402="","No","Yes")</f>
        <v>Yes</v>
      </c>
      <c r="M402" s="18" t="str">
        <f aca="false">IF(K402="","",IFERROR(IF(ISNUMBER(SEARCH(A402,INDEX(Pages!$J$2:$J$824,MATCH(K402,Pages!$B$2:$B$824,0)))),"Yes","No"),"Page not found"))</f>
        <v>Yes</v>
      </c>
      <c r="N402" s="3" t="s">
        <v>5426</v>
      </c>
      <c r="O402" s="3" t="s">
        <v>5483</v>
      </c>
      <c r="P402" s="19"/>
      <c r="Q402" s="17"/>
      <c r="R402" s="17"/>
    </row>
    <row r="403" customFormat="false" ht="23.85" hidden="false" customHeight="false" outlineLevel="0" collapsed="false">
      <c r="A403" s="15" t="s">
        <v>2835</v>
      </c>
      <c r="B403" s="15" t="s">
        <v>85</v>
      </c>
      <c r="C403" s="15" t="s">
        <v>272</v>
      </c>
      <c r="D403" s="15" t="s">
        <v>657</v>
      </c>
      <c r="E403" s="15" t="s">
        <v>2077</v>
      </c>
      <c r="F403" s="16" t="n">
        <v>32</v>
      </c>
      <c r="G403" s="15" t="n">
        <v>24</v>
      </c>
      <c r="H403" s="15" t="s">
        <v>5227</v>
      </c>
      <c r="I403" s="15" t="s">
        <v>5392</v>
      </c>
      <c r="J403" s="15" t="n">
        <v>5</v>
      </c>
      <c r="K403" s="15" t="s">
        <v>2831</v>
      </c>
      <c r="L403" s="15" t="str">
        <f aca="false">IF(K403="","No","Yes")</f>
        <v>Yes</v>
      </c>
      <c r="M403" s="18" t="str">
        <f aca="false">IF(K403="","",IFERROR(IF(ISNUMBER(SEARCH(A403,INDEX(Pages!$J$2:$J$824,MATCH(K403,Pages!$B$2:$B$824,0)))),"Yes","No"),"Page not found"))</f>
        <v>Yes</v>
      </c>
      <c r="N403" s="3" t="s">
        <v>5426</v>
      </c>
      <c r="O403" s="3" t="s">
        <v>5483</v>
      </c>
      <c r="P403" s="19"/>
      <c r="Q403" s="17"/>
      <c r="R403" s="17"/>
    </row>
    <row r="404" customFormat="false" ht="23.85" hidden="false" customHeight="false" outlineLevel="0" collapsed="false">
      <c r="A404" s="15" t="s">
        <v>2208</v>
      </c>
      <c r="B404" s="15" t="s">
        <v>89</v>
      </c>
      <c r="C404" s="15" t="s">
        <v>258</v>
      </c>
      <c r="D404" s="15" t="s">
        <v>680</v>
      </c>
      <c r="E404" s="15" t="s">
        <v>2204</v>
      </c>
      <c r="F404" s="16" t="n">
        <v>31</v>
      </c>
      <c r="G404" s="15" t="n">
        <v>25</v>
      </c>
      <c r="H404" s="15" t="s">
        <v>5227</v>
      </c>
      <c r="I404" s="15" t="s">
        <v>5473</v>
      </c>
      <c r="J404" s="15" t="n">
        <v>4</v>
      </c>
      <c r="K404" s="15" t="s">
        <v>2203</v>
      </c>
      <c r="L404" s="15" t="str">
        <f aca="false">IF(K404="","No","Yes")</f>
        <v>Yes</v>
      </c>
      <c r="M404" s="18" t="str">
        <f aca="false">IF(K404="","",IFERROR(IF(ISNUMBER(SEARCH(A404,INDEX(Pages!$J$2:$J$824,MATCH(K404,Pages!$B$2:$B$824,0)))),"Yes","No"),"Page not found"))</f>
        <v>Yes</v>
      </c>
      <c r="N404" s="3" t="s">
        <v>5426</v>
      </c>
      <c r="O404" s="3" t="s">
        <v>5483</v>
      </c>
      <c r="P404" s="19"/>
      <c r="Q404" s="17"/>
      <c r="R404" s="17"/>
    </row>
    <row r="405" customFormat="false" ht="15" hidden="false" customHeight="false" outlineLevel="0" collapsed="false">
      <c r="A405" s="15" t="s">
        <v>2943</v>
      </c>
      <c r="B405" s="15" t="s">
        <v>85</v>
      </c>
      <c r="C405" s="15" t="s">
        <v>272</v>
      </c>
      <c r="D405" s="15" t="s">
        <v>680</v>
      </c>
      <c r="E405" s="15" t="s">
        <v>2204</v>
      </c>
      <c r="F405" s="16" t="n">
        <v>31</v>
      </c>
      <c r="G405" s="15" t="n">
        <v>32</v>
      </c>
      <c r="H405" s="15" t="s">
        <v>5227</v>
      </c>
      <c r="I405" s="15" t="s">
        <v>5392</v>
      </c>
      <c r="J405" s="15" t="n">
        <v>5</v>
      </c>
      <c r="K405" s="15" t="s">
        <v>2939</v>
      </c>
      <c r="L405" s="15" t="str">
        <f aca="false">IF(K405="","No","Yes")</f>
        <v>Yes</v>
      </c>
      <c r="M405" s="18" t="str">
        <f aca="false">IF(K405="","",IFERROR(IF(ISNUMBER(SEARCH(A405,INDEX(Pages!$J$2:$J$824,MATCH(K405,Pages!$B$2:$B$824,0)))),"Yes","No"),"Page not found"))</f>
        <v>Yes</v>
      </c>
      <c r="N405" s="3" t="s">
        <v>5426</v>
      </c>
      <c r="O405" s="3"/>
      <c r="P405" s="19"/>
      <c r="Q405" s="17"/>
      <c r="R405" s="17"/>
    </row>
    <row r="406" customFormat="false" ht="23.85" hidden="false" customHeight="false" outlineLevel="0" collapsed="false">
      <c r="A406" s="15" t="s">
        <v>2194</v>
      </c>
      <c r="B406" s="15" t="s">
        <v>89</v>
      </c>
      <c r="C406" s="15" t="s">
        <v>258</v>
      </c>
      <c r="D406" s="15" t="s">
        <v>680</v>
      </c>
      <c r="E406" s="15" t="s">
        <v>2190</v>
      </c>
      <c r="F406" s="16" t="n">
        <v>29</v>
      </c>
      <c r="G406" s="15" t="n">
        <v>25</v>
      </c>
      <c r="H406" s="15" t="s">
        <v>5227</v>
      </c>
      <c r="I406" s="15" t="s">
        <v>5473</v>
      </c>
      <c r="J406" s="15" t="n">
        <v>4</v>
      </c>
      <c r="K406" s="15" t="s">
        <v>2189</v>
      </c>
      <c r="L406" s="15" t="str">
        <f aca="false">IF(K406="","No","Yes")</f>
        <v>Yes</v>
      </c>
      <c r="M406" s="18" t="str">
        <f aca="false">IF(K406="","",IFERROR(IF(ISNUMBER(SEARCH(A406,INDEX(Pages!$J$2:$J$824,MATCH(K406,Pages!$B$2:$B$824,0)))),"Yes","No"),"Page not found"))</f>
        <v>Yes</v>
      </c>
      <c r="N406" s="3" t="s">
        <v>5426</v>
      </c>
      <c r="O406" s="3" t="s">
        <v>5483</v>
      </c>
      <c r="P406" s="19"/>
      <c r="Q406" s="17"/>
      <c r="R406" s="17"/>
    </row>
    <row r="407" customFormat="false" ht="23.85" hidden="false" customHeight="false" outlineLevel="0" collapsed="false">
      <c r="A407" s="15" t="s">
        <v>2425</v>
      </c>
      <c r="B407" s="15" t="s">
        <v>89</v>
      </c>
      <c r="C407" s="15" t="s">
        <v>258</v>
      </c>
      <c r="D407" s="15" t="s">
        <v>729</v>
      </c>
      <c r="E407" s="15" t="s">
        <v>2421</v>
      </c>
      <c r="F407" s="16" t="n">
        <v>29</v>
      </c>
      <c r="G407" s="15" t="n">
        <v>25</v>
      </c>
      <c r="H407" s="15" t="s">
        <v>5227</v>
      </c>
      <c r="I407" s="15" t="s">
        <v>5473</v>
      </c>
      <c r="J407" s="15" t="n">
        <v>5</v>
      </c>
      <c r="K407" s="15" t="s">
        <v>2420</v>
      </c>
      <c r="L407" s="15" t="str">
        <f aca="false">IF(K407="","No","Yes")</f>
        <v>Yes</v>
      </c>
      <c r="M407" s="18" t="str">
        <f aca="false">IF(K407="","",IFERROR(IF(ISNUMBER(SEARCH(A407,INDEX(Pages!$J$2:$J$824,MATCH(K407,Pages!$B$2:$B$824,0)))),"Yes","No"),"Page not found"))</f>
        <v>Yes</v>
      </c>
      <c r="N407" s="3" t="s">
        <v>5426</v>
      </c>
      <c r="O407" s="3" t="s">
        <v>5497</v>
      </c>
      <c r="P407" s="19"/>
      <c r="Q407" s="17"/>
      <c r="R407" s="17"/>
    </row>
    <row r="408" customFormat="false" ht="15" hidden="false" customHeight="false" outlineLevel="0" collapsed="false">
      <c r="A408" s="15" t="s">
        <v>2931</v>
      </c>
      <c r="B408" s="15" t="s">
        <v>85</v>
      </c>
      <c r="C408" s="15" t="s">
        <v>272</v>
      </c>
      <c r="D408" s="15" t="s">
        <v>680</v>
      </c>
      <c r="E408" s="15" t="s">
        <v>2190</v>
      </c>
      <c r="F408" s="16" t="n">
        <v>29</v>
      </c>
      <c r="G408" s="15" t="n">
        <v>32</v>
      </c>
      <c r="H408" s="15" t="s">
        <v>5227</v>
      </c>
      <c r="I408" s="15" t="s">
        <v>5392</v>
      </c>
      <c r="J408" s="15" t="n">
        <v>5</v>
      </c>
      <c r="K408" s="15" t="s">
        <v>2927</v>
      </c>
      <c r="L408" s="15" t="str">
        <f aca="false">IF(K408="","No","Yes")</f>
        <v>Yes</v>
      </c>
      <c r="M408" s="18" t="str">
        <f aca="false">IF(K408="","",IFERROR(IF(ISNUMBER(SEARCH(A408,INDEX(Pages!$J$2:$J$824,MATCH(K408,Pages!$B$2:$B$824,0)))),"Yes","No"),"Page not found"))</f>
        <v>Yes</v>
      </c>
      <c r="N408" s="3" t="s">
        <v>5426</v>
      </c>
      <c r="O408" s="3"/>
      <c r="P408" s="19"/>
      <c r="Q408" s="17"/>
      <c r="R408" s="17"/>
    </row>
    <row r="409" customFormat="false" ht="15" hidden="false" customHeight="false" outlineLevel="0" collapsed="false">
      <c r="A409" s="15" t="s">
        <v>3129</v>
      </c>
      <c r="B409" s="15" t="s">
        <v>85</v>
      </c>
      <c r="C409" s="15" t="s">
        <v>272</v>
      </c>
      <c r="D409" s="15" t="s">
        <v>729</v>
      </c>
      <c r="E409" s="15" t="s">
        <v>2421</v>
      </c>
      <c r="F409" s="16" t="n">
        <v>29</v>
      </c>
      <c r="G409" s="15" t="n">
        <v>32</v>
      </c>
      <c r="H409" s="15" t="s">
        <v>5227</v>
      </c>
      <c r="I409" s="15" t="s">
        <v>5392</v>
      </c>
      <c r="J409" s="15" t="n">
        <v>5</v>
      </c>
      <c r="K409" s="15" t="s">
        <v>3125</v>
      </c>
      <c r="L409" s="15" t="str">
        <f aca="false">IF(K409="","No","Yes")</f>
        <v>Yes</v>
      </c>
      <c r="M409" s="18" t="str">
        <f aca="false">IF(K409="","",IFERROR(IF(ISNUMBER(SEARCH(A409,INDEX(Pages!$J$2:$J$824,MATCH(K409,Pages!$B$2:$B$824,0)))),"Yes","No"),"Page not found"))</f>
        <v>Yes</v>
      </c>
      <c r="N409" s="3" t="s">
        <v>5426</v>
      </c>
      <c r="O409" s="3" t="s">
        <v>5427</v>
      </c>
      <c r="P409" s="19"/>
      <c r="Q409" s="17"/>
      <c r="R409" s="17"/>
    </row>
    <row r="410" customFormat="false" ht="23.85" hidden="false" customHeight="false" outlineLevel="0" collapsed="false">
      <c r="A410" s="15" t="s">
        <v>3819</v>
      </c>
      <c r="B410" s="15" t="s">
        <v>74</v>
      </c>
      <c r="C410" s="15" t="s">
        <v>321</v>
      </c>
      <c r="D410" s="15" t="s">
        <v>722</v>
      </c>
      <c r="E410" s="15" t="s">
        <v>2414</v>
      </c>
      <c r="F410" s="16" t="n">
        <v>29</v>
      </c>
      <c r="G410" s="15" t="n">
        <v>27</v>
      </c>
      <c r="H410" s="15" t="s">
        <v>5227</v>
      </c>
      <c r="I410" s="15" t="s">
        <v>5444</v>
      </c>
      <c r="J410" s="15" t="n">
        <v>4</v>
      </c>
      <c r="K410" s="15" t="s">
        <v>3815</v>
      </c>
      <c r="L410" s="15" t="str">
        <f aca="false">IF(K410="","No","Yes")</f>
        <v>Yes</v>
      </c>
      <c r="M410" s="18" t="str">
        <f aca="false">IF(K410="","",IFERROR(IF(ISNUMBER(SEARCH(A410,INDEX(Pages!$J$2:$J$824,MATCH(K410,Pages!$B$2:$B$824,0)))),"Yes","No"),"Page not found"))</f>
        <v>Yes</v>
      </c>
      <c r="N410" s="3" t="s">
        <v>5426</v>
      </c>
      <c r="O410" s="3" t="s">
        <v>5483</v>
      </c>
      <c r="P410" s="19"/>
      <c r="Q410" s="17"/>
      <c r="R410" s="17"/>
    </row>
    <row r="411" customFormat="false" ht="23.85" hidden="false" customHeight="false" outlineLevel="0" collapsed="false">
      <c r="A411" s="15" t="s">
        <v>3855</v>
      </c>
      <c r="B411" s="15" t="s">
        <v>74</v>
      </c>
      <c r="C411" s="15" t="s">
        <v>321</v>
      </c>
      <c r="D411" s="15" t="s">
        <v>729</v>
      </c>
      <c r="E411" s="15" t="s">
        <v>2456</v>
      </c>
      <c r="F411" s="16" t="n">
        <v>28</v>
      </c>
      <c r="G411" s="15" t="n">
        <v>19</v>
      </c>
      <c r="H411" s="15" t="s">
        <v>5227</v>
      </c>
      <c r="I411" s="15" t="s">
        <v>5444</v>
      </c>
      <c r="J411" s="15" t="n">
        <v>5</v>
      </c>
      <c r="K411" s="15" t="s">
        <v>3851</v>
      </c>
      <c r="L411" s="15" t="str">
        <f aca="false">IF(K411="","No","Yes")</f>
        <v>Yes</v>
      </c>
      <c r="M411" s="18" t="str">
        <f aca="false">IF(K411="","",IFERROR(IF(ISNUMBER(SEARCH(A411,INDEX(Pages!$J$2:$J$824,MATCH(K411,Pages!$B$2:$B$824,0)))),"Yes","No"),"Page not found"))</f>
        <v>Yes</v>
      </c>
      <c r="N411" s="3" t="s">
        <v>5426</v>
      </c>
      <c r="O411" s="3" t="s">
        <v>5497</v>
      </c>
      <c r="P411" s="19"/>
      <c r="Q411" s="17"/>
      <c r="R411" s="17"/>
    </row>
    <row r="412" customFormat="false" ht="15" hidden="false" customHeight="false" outlineLevel="0" collapsed="false">
      <c r="A412" s="15" t="s">
        <v>4143</v>
      </c>
      <c r="B412" s="15" t="s">
        <v>81</v>
      </c>
      <c r="C412" s="15" t="s">
        <v>349</v>
      </c>
      <c r="D412" s="15" t="s">
        <v>715</v>
      </c>
      <c r="E412" s="15" t="s">
        <v>2386</v>
      </c>
      <c r="F412" s="16" t="n">
        <v>28</v>
      </c>
      <c r="G412" s="15" t="n">
        <v>36</v>
      </c>
      <c r="H412" s="15" t="s">
        <v>5227</v>
      </c>
      <c r="I412" s="15" t="s">
        <v>5235</v>
      </c>
      <c r="J412" s="15" t="n">
        <v>5</v>
      </c>
      <c r="K412" s="15" t="s">
        <v>4139</v>
      </c>
      <c r="L412" s="15" t="str">
        <f aca="false">IF(K412="","No","Yes")</f>
        <v>Yes</v>
      </c>
      <c r="M412" s="18" t="str">
        <f aca="false">IF(K412="","",IFERROR(IF(ISNUMBER(SEARCH(A412,INDEX(Pages!$J$2:$J$824,MATCH(K412,Pages!$B$2:$B$824,0)))),"Yes","No"),"Page not found"))</f>
        <v>Yes</v>
      </c>
      <c r="N412" s="3" t="s">
        <v>5426</v>
      </c>
      <c r="O412" s="3"/>
      <c r="P412" s="19"/>
      <c r="Q412" s="17"/>
      <c r="R412" s="17"/>
    </row>
    <row r="413" customFormat="false" ht="23.85" hidden="false" customHeight="false" outlineLevel="0" collapsed="false">
      <c r="A413" s="15" t="s">
        <v>2439</v>
      </c>
      <c r="B413" s="15" t="s">
        <v>89</v>
      </c>
      <c r="C413" s="15" t="s">
        <v>258</v>
      </c>
      <c r="D413" s="15" t="s">
        <v>729</v>
      </c>
      <c r="E413" s="15" t="s">
        <v>2435</v>
      </c>
      <c r="F413" s="16" t="n">
        <v>26</v>
      </c>
      <c r="G413" s="15" t="n">
        <v>25</v>
      </c>
      <c r="H413" s="15" t="s">
        <v>5227</v>
      </c>
      <c r="I413" s="15" t="s">
        <v>5473</v>
      </c>
      <c r="J413" s="15" t="n">
        <v>5</v>
      </c>
      <c r="K413" s="15" t="s">
        <v>2434</v>
      </c>
      <c r="L413" s="15" t="str">
        <f aca="false">IF(K413="","No","Yes")</f>
        <v>Yes</v>
      </c>
      <c r="M413" s="18" t="str">
        <f aca="false">IF(K413="","",IFERROR(IF(ISNUMBER(SEARCH(A413,INDEX(Pages!$J$2:$J$824,MATCH(K413,Pages!$B$2:$B$824,0)))),"Yes","No"),"Page not found"))</f>
        <v>Yes</v>
      </c>
      <c r="N413" s="3" t="s">
        <v>5426</v>
      </c>
      <c r="O413" s="3" t="s">
        <v>5497</v>
      </c>
      <c r="P413" s="19"/>
      <c r="Q413" s="17"/>
      <c r="R413" s="17"/>
    </row>
    <row r="414" customFormat="false" ht="15" hidden="false" customHeight="false" outlineLevel="0" collapsed="false">
      <c r="A414" s="15" t="s">
        <v>3141</v>
      </c>
      <c r="B414" s="15" t="s">
        <v>85</v>
      </c>
      <c r="C414" s="15" t="s">
        <v>272</v>
      </c>
      <c r="D414" s="15" t="s">
        <v>729</v>
      </c>
      <c r="E414" s="15" t="s">
        <v>2435</v>
      </c>
      <c r="F414" s="16" t="n">
        <v>26</v>
      </c>
      <c r="G414" s="15" t="n">
        <v>32</v>
      </c>
      <c r="H414" s="15" t="s">
        <v>5227</v>
      </c>
      <c r="I414" s="15" t="s">
        <v>5392</v>
      </c>
      <c r="J414" s="15" t="n">
        <v>5</v>
      </c>
      <c r="K414" s="15" t="s">
        <v>3137</v>
      </c>
      <c r="L414" s="15" t="str">
        <f aca="false">IF(K414="","No","Yes")</f>
        <v>Yes</v>
      </c>
      <c r="M414" s="18" t="str">
        <f aca="false">IF(K414="","",IFERROR(IF(ISNUMBER(SEARCH(A414,INDEX(Pages!$J$2:$J$824,MATCH(K414,Pages!$B$2:$B$824,0)))),"Yes","No"),"Page not found"))</f>
        <v>Yes</v>
      </c>
      <c r="N414" s="3" t="s">
        <v>5426</v>
      </c>
      <c r="O414" s="3" t="s">
        <v>5427</v>
      </c>
      <c r="P414" s="19"/>
      <c r="Q414" s="17"/>
      <c r="R414" s="17"/>
    </row>
    <row r="415" customFormat="false" ht="23.85" hidden="false" customHeight="false" outlineLevel="0" collapsed="false">
      <c r="A415" s="15" t="s">
        <v>2180</v>
      </c>
      <c r="B415" s="15" t="s">
        <v>89</v>
      </c>
      <c r="C415" s="15" t="s">
        <v>258</v>
      </c>
      <c r="D415" s="15" t="s">
        <v>673</v>
      </c>
      <c r="E415" s="15" t="s">
        <v>2176</v>
      </c>
      <c r="F415" s="16" t="n">
        <v>24</v>
      </c>
      <c r="G415" s="15" t="n">
        <v>17</v>
      </c>
      <c r="H415" s="15" t="s">
        <v>5227</v>
      </c>
      <c r="I415" s="15" t="s">
        <v>5473</v>
      </c>
      <c r="J415" s="15" t="n">
        <v>4</v>
      </c>
      <c r="K415" s="15" t="s">
        <v>2175</v>
      </c>
      <c r="L415" s="15" t="str">
        <f aca="false">IF(K415="","No","Yes")</f>
        <v>Yes</v>
      </c>
      <c r="M415" s="18" t="str">
        <f aca="false">IF(K415="","",IFERROR(IF(ISNUMBER(SEARCH(A415,INDEX(Pages!$J$2:$J$824,MATCH(K415,Pages!$B$2:$B$824,0)))),"Yes","No"),"Page not found"))</f>
        <v>Yes</v>
      </c>
      <c r="N415" s="3" t="s">
        <v>5426</v>
      </c>
      <c r="O415" s="3" t="s">
        <v>5483</v>
      </c>
      <c r="P415" s="19"/>
      <c r="Q415" s="17"/>
      <c r="R415" s="17"/>
    </row>
    <row r="416" customFormat="false" ht="23.85" hidden="false" customHeight="false" outlineLevel="0" collapsed="false">
      <c r="A416" s="15" t="s">
        <v>2919</v>
      </c>
      <c r="B416" s="15" t="s">
        <v>85</v>
      </c>
      <c r="C416" s="15" t="s">
        <v>272</v>
      </c>
      <c r="D416" s="15" t="s">
        <v>673</v>
      </c>
      <c r="E416" s="15" t="s">
        <v>2176</v>
      </c>
      <c r="F416" s="16" t="n">
        <v>24</v>
      </c>
      <c r="G416" s="15" t="n">
        <v>24</v>
      </c>
      <c r="H416" s="15" t="s">
        <v>5227</v>
      </c>
      <c r="I416" s="15" t="s">
        <v>5392</v>
      </c>
      <c r="J416" s="15" t="n">
        <v>5</v>
      </c>
      <c r="K416" s="15" t="s">
        <v>2915</v>
      </c>
      <c r="L416" s="15" t="str">
        <f aca="false">IF(K416="","No","Yes")</f>
        <v>Yes</v>
      </c>
      <c r="M416" s="18" t="str">
        <f aca="false">IF(K416="","",IFERROR(IF(ISNUMBER(SEARCH(A416,INDEX(Pages!$J$2:$J$824,MATCH(K416,Pages!$B$2:$B$824,0)))),"Yes","No"),"Page not found"))</f>
        <v>Yes</v>
      </c>
      <c r="N416" s="3" t="s">
        <v>5426</v>
      </c>
      <c r="O416" s="3" t="s">
        <v>5483</v>
      </c>
      <c r="P416" s="19"/>
      <c r="Q416" s="17"/>
      <c r="R416" s="17"/>
    </row>
    <row r="417" customFormat="false" ht="15" hidden="false" customHeight="false" outlineLevel="0" collapsed="false">
      <c r="A417" s="15" t="s">
        <v>4059</v>
      </c>
      <c r="B417" s="15" t="s">
        <v>81</v>
      </c>
      <c r="C417" s="15" t="s">
        <v>349</v>
      </c>
      <c r="D417" s="15" t="s">
        <v>715</v>
      </c>
      <c r="E417" s="15" t="s">
        <v>2288</v>
      </c>
      <c r="F417" s="16" t="n">
        <v>24</v>
      </c>
      <c r="G417" s="15" t="n">
        <v>36</v>
      </c>
      <c r="H417" s="15" t="s">
        <v>5227</v>
      </c>
      <c r="I417" s="15" t="s">
        <v>5235</v>
      </c>
      <c r="J417" s="15" t="n">
        <v>5</v>
      </c>
      <c r="K417" s="15" t="s">
        <v>4055</v>
      </c>
      <c r="L417" s="15" t="str">
        <f aca="false">IF(K417="","No","Yes")</f>
        <v>Yes</v>
      </c>
      <c r="M417" s="18" t="str">
        <f aca="false">IF(K417="","",IFERROR(IF(ISNUMBER(SEARCH(A417,INDEX(Pages!$J$2:$J$824,MATCH(K417,Pages!$B$2:$B$824,0)))),"Yes","No"),"Page not found"))</f>
        <v>Yes</v>
      </c>
      <c r="N417" s="3" t="s">
        <v>5426</v>
      </c>
      <c r="O417" s="3"/>
      <c r="P417" s="19"/>
      <c r="Q417" s="17"/>
      <c r="R417" s="17"/>
    </row>
    <row r="418" customFormat="false" ht="15" hidden="false" customHeight="false" outlineLevel="0" collapsed="false">
      <c r="A418" s="15" t="s">
        <v>4161</v>
      </c>
      <c r="B418" s="15" t="s">
        <v>81</v>
      </c>
      <c r="C418" s="15" t="s">
        <v>349</v>
      </c>
      <c r="D418" s="15" t="s">
        <v>715</v>
      </c>
      <c r="E418" s="15" t="s">
        <v>2407</v>
      </c>
      <c r="F418" s="16" t="n">
        <v>22</v>
      </c>
      <c r="G418" s="15" t="n">
        <v>36</v>
      </c>
      <c r="H418" s="15" t="s">
        <v>5227</v>
      </c>
      <c r="I418" s="15" t="s">
        <v>5235</v>
      </c>
      <c r="J418" s="15" t="n">
        <v>5</v>
      </c>
      <c r="K418" s="15" t="s">
        <v>4157</v>
      </c>
      <c r="L418" s="15" t="str">
        <f aca="false">IF(K418="","No","Yes")</f>
        <v>Yes</v>
      </c>
      <c r="M418" s="18" t="str">
        <f aca="false">IF(K418="","",IFERROR(IF(ISNUMBER(SEARCH(A418,INDEX(Pages!$J$2:$J$824,MATCH(K418,Pages!$B$2:$B$824,0)))),"Yes","No"),"Page not found"))</f>
        <v>Yes</v>
      </c>
      <c r="N418" s="3" t="s">
        <v>5426</v>
      </c>
      <c r="O418" s="3"/>
      <c r="P418" s="19"/>
      <c r="Q418" s="17"/>
      <c r="R418" s="17"/>
    </row>
    <row r="419" customFormat="false" ht="23.85" hidden="false" customHeight="false" outlineLevel="0" collapsed="false">
      <c r="A419" s="15" t="s">
        <v>4089</v>
      </c>
      <c r="B419" s="15" t="s">
        <v>81</v>
      </c>
      <c r="C419" s="15" t="s">
        <v>349</v>
      </c>
      <c r="D419" s="15" t="s">
        <v>715</v>
      </c>
      <c r="E419" s="15" t="s">
        <v>2323</v>
      </c>
      <c r="F419" s="16" t="n">
        <v>20</v>
      </c>
      <c r="G419" s="15" t="n">
        <v>28</v>
      </c>
      <c r="H419" s="15" t="s">
        <v>5227</v>
      </c>
      <c r="I419" s="15" t="s">
        <v>5235</v>
      </c>
      <c r="J419" s="15" t="n">
        <v>5</v>
      </c>
      <c r="K419" s="15" t="s">
        <v>4085</v>
      </c>
      <c r="L419" s="15" t="str">
        <f aca="false">IF(K419="","No","Yes")</f>
        <v>Yes</v>
      </c>
      <c r="M419" s="18" t="str">
        <f aca="false">IF(K419="","",IFERROR(IF(ISNUMBER(SEARCH(A419,INDEX(Pages!$J$2:$J$824,MATCH(K419,Pages!$B$2:$B$824,0)))),"Yes","No"),"Page not found"))</f>
        <v>Yes</v>
      </c>
      <c r="N419" s="3" t="s">
        <v>5426</v>
      </c>
      <c r="O419" s="3" t="s">
        <v>5483</v>
      </c>
      <c r="P419" s="19"/>
      <c r="Q419" s="17"/>
      <c r="R419" s="17"/>
    </row>
  </sheetData>
  <autoFilter ref="A1:R4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O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1"/>
    <col collapsed="false" customWidth="true" hidden="false" outlineLevel="0" max="3" min="3" style="0" width="24"/>
    <col collapsed="false" customWidth="true" hidden="false" outlineLevel="0" max="4" min="4" style="0" width="14"/>
    <col collapsed="false" customWidth="true" hidden="false" outlineLevel="0" max="6" min="5" style="0" width="12"/>
    <col collapsed="false" customWidth="true" hidden="false" outlineLevel="0" max="7" min="7" style="0" width="10"/>
    <col collapsed="false" customWidth="true" hidden="false" outlineLevel="0" max="8" min="8" style="0" width="13"/>
    <col collapsed="false" customWidth="true" hidden="false" outlineLevel="0" max="9" min="9" style="0" width="9"/>
    <col collapsed="false" customWidth="true" hidden="false" outlineLevel="0" max="10" min="10" style="0" width="40"/>
    <col collapsed="false" customWidth="true" hidden="false" outlineLevel="0" max="11" min="11" style="0" width="36"/>
    <col collapsed="false" customWidth="true" hidden="false" outlineLevel="0" max="12" min="12" style="0" width="70"/>
    <col collapsed="false" customWidth="true" hidden="false" outlineLevel="0" max="14" min="13" style="0" width="14"/>
    <col collapsed="false" customWidth="true" hidden="false" outlineLevel="0" max="15" min="15" style="0" width="12"/>
  </cols>
  <sheetData>
    <row r="1" customFormat="false" ht="31.5" hidden="false" customHeight="true" outlineLevel="0" collapsed="false">
      <c r="A1" s="9" t="s">
        <v>5149</v>
      </c>
      <c r="B1" s="9" t="s">
        <v>5150</v>
      </c>
      <c r="C1" s="9" t="s">
        <v>63</v>
      </c>
      <c r="D1" s="9" t="s">
        <v>103</v>
      </c>
      <c r="E1" s="9" t="s">
        <v>104</v>
      </c>
      <c r="F1" s="9" t="s">
        <v>5151</v>
      </c>
      <c r="G1" s="9" t="s">
        <v>5152</v>
      </c>
      <c r="H1" s="9" t="s">
        <v>5153</v>
      </c>
      <c r="I1" s="9" t="s">
        <v>5155</v>
      </c>
      <c r="J1" s="9" t="s">
        <v>5621</v>
      </c>
      <c r="K1" s="9" t="s">
        <v>5158</v>
      </c>
      <c r="L1" s="9" t="s">
        <v>122</v>
      </c>
      <c r="M1" s="9" t="s">
        <v>120</v>
      </c>
      <c r="N1" s="9" t="s">
        <v>121</v>
      </c>
      <c r="O1" s="9" t="s">
        <v>5622</v>
      </c>
    </row>
    <row r="2" customFormat="false" ht="23.85" hidden="false" customHeight="false" outlineLevel="0" collapsed="false">
      <c r="A2" s="15" t="s">
        <v>5567</v>
      </c>
      <c r="B2" s="15" t="s">
        <v>662</v>
      </c>
      <c r="C2" s="15" t="s">
        <v>82</v>
      </c>
      <c r="D2" s="15" t="s">
        <v>729</v>
      </c>
      <c r="E2" s="15"/>
      <c r="F2" s="16" t="n">
        <v>33000</v>
      </c>
      <c r="G2" s="15" t="n">
        <v>75</v>
      </c>
      <c r="H2" s="15" t="s">
        <v>5169</v>
      </c>
      <c r="I2" s="15" t="n">
        <v>3</v>
      </c>
      <c r="J2" s="15" t="s">
        <v>5623</v>
      </c>
      <c r="K2" s="3" t="s">
        <v>5569</v>
      </c>
      <c r="L2" s="3" t="s">
        <v>5570</v>
      </c>
      <c r="M2" s="17" t="s">
        <v>5624</v>
      </c>
      <c r="N2" s="17"/>
      <c r="O2" s="17"/>
    </row>
    <row r="3" customFormat="false" ht="15" hidden="false" customHeight="false" outlineLevel="0" collapsed="false">
      <c r="A3" s="15" t="s">
        <v>5571</v>
      </c>
      <c r="B3" s="15" t="s">
        <v>662</v>
      </c>
      <c r="C3" s="15" t="s">
        <v>84</v>
      </c>
      <c r="D3" s="15" t="s">
        <v>729</v>
      </c>
      <c r="E3" s="15"/>
      <c r="F3" s="16" t="n">
        <v>22000</v>
      </c>
      <c r="G3" s="15" t="n">
        <v>70</v>
      </c>
      <c r="H3" s="15" t="s">
        <v>5169</v>
      </c>
      <c r="I3" s="15" t="n">
        <v>3</v>
      </c>
      <c r="J3" s="15" t="s">
        <v>5625</v>
      </c>
      <c r="K3" s="3" t="s">
        <v>5572</v>
      </c>
      <c r="L3" s="3" t="s">
        <v>5573</v>
      </c>
      <c r="M3" s="17" t="s">
        <v>5624</v>
      </c>
      <c r="N3" s="17"/>
      <c r="O3" s="17"/>
    </row>
    <row r="4" customFormat="false" ht="23.85" hidden="false" customHeight="false" outlineLevel="0" collapsed="false">
      <c r="A4" s="15" t="s">
        <v>5574</v>
      </c>
      <c r="B4" s="15" t="s">
        <v>662</v>
      </c>
      <c r="C4" s="15" t="s">
        <v>74</v>
      </c>
      <c r="D4" s="15" t="s">
        <v>729</v>
      </c>
      <c r="E4" s="15"/>
      <c r="F4" s="16" t="n">
        <v>9900</v>
      </c>
      <c r="G4" s="15" t="n">
        <v>65</v>
      </c>
      <c r="H4" s="15" t="s">
        <v>5159</v>
      </c>
      <c r="I4" s="15" t="n">
        <v>3</v>
      </c>
      <c r="J4" s="15" t="s">
        <v>5626</v>
      </c>
      <c r="K4" s="3" t="s">
        <v>5575</v>
      </c>
      <c r="L4" s="3" t="s">
        <v>5576</v>
      </c>
      <c r="M4" s="17" t="s">
        <v>5624</v>
      </c>
      <c r="N4" s="17"/>
      <c r="O4" s="17"/>
    </row>
    <row r="5" customFormat="false" ht="15" hidden="false" customHeight="false" outlineLevel="0" collapsed="false">
      <c r="A5" s="15" t="s">
        <v>5577</v>
      </c>
      <c r="B5" s="15" t="s">
        <v>662</v>
      </c>
      <c r="C5" s="15" t="s">
        <v>82</v>
      </c>
      <c r="D5" s="15" t="s">
        <v>729</v>
      </c>
      <c r="E5" s="15"/>
      <c r="F5" s="16" t="n">
        <v>6600</v>
      </c>
      <c r="G5" s="15" t="n">
        <v>65</v>
      </c>
      <c r="H5" s="15" t="s">
        <v>5169</v>
      </c>
      <c r="I5" s="15" t="n">
        <v>3</v>
      </c>
      <c r="J5" s="15" t="s">
        <v>5627</v>
      </c>
      <c r="K5" s="3" t="s">
        <v>5578</v>
      </c>
      <c r="L5" s="3" t="s">
        <v>5579</v>
      </c>
      <c r="M5" s="17" t="s">
        <v>5624</v>
      </c>
      <c r="N5" s="17"/>
      <c r="O5" s="17"/>
    </row>
    <row r="6" customFormat="false" ht="15" hidden="false" customHeight="false" outlineLevel="0" collapsed="false">
      <c r="A6" s="15" t="s">
        <v>5580</v>
      </c>
      <c r="B6" s="15" t="s">
        <v>662</v>
      </c>
      <c r="C6" s="15" t="s">
        <v>86</v>
      </c>
      <c r="D6" s="15" t="s">
        <v>729</v>
      </c>
      <c r="E6" s="15"/>
      <c r="F6" s="16" t="n">
        <v>4400</v>
      </c>
      <c r="G6" s="15" t="n">
        <v>55</v>
      </c>
      <c r="H6" s="15" t="s">
        <v>5159</v>
      </c>
      <c r="I6" s="15" t="n">
        <v>3</v>
      </c>
      <c r="J6" s="15" t="s">
        <v>5628</v>
      </c>
      <c r="K6" s="3" t="s">
        <v>5408</v>
      </c>
      <c r="L6" s="3" t="s">
        <v>5581</v>
      </c>
      <c r="M6" s="17" t="s">
        <v>5624</v>
      </c>
      <c r="N6" s="17"/>
      <c r="O6" s="17"/>
    </row>
    <row r="7" customFormat="false" ht="15" hidden="false" customHeight="false" outlineLevel="0" collapsed="false">
      <c r="A7" s="15" t="s">
        <v>5507</v>
      </c>
      <c r="B7" s="15" t="s">
        <v>147</v>
      </c>
      <c r="C7" s="15" t="s">
        <v>74</v>
      </c>
      <c r="D7" s="15"/>
      <c r="E7" s="15"/>
      <c r="F7" s="16" t="n">
        <v>2400</v>
      </c>
      <c r="G7" s="15" t="n">
        <v>65</v>
      </c>
      <c r="H7" s="15" t="s">
        <v>5159</v>
      </c>
      <c r="I7" s="15" t="n">
        <v>2</v>
      </c>
      <c r="J7" s="15" t="s">
        <v>5629</v>
      </c>
      <c r="K7" s="3" t="s">
        <v>5509</v>
      </c>
      <c r="L7" s="3" t="s">
        <v>5510</v>
      </c>
      <c r="M7" s="17" t="s">
        <v>5624</v>
      </c>
      <c r="N7" s="17"/>
      <c r="O7" s="17"/>
    </row>
    <row r="8" customFormat="false" ht="15" hidden="false" customHeight="false" outlineLevel="0" collapsed="false">
      <c r="A8" s="15" t="s">
        <v>5511</v>
      </c>
      <c r="B8" s="15" t="s">
        <v>147</v>
      </c>
      <c r="C8" s="15" t="s">
        <v>82</v>
      </c>
      <c r="D8" s="15"/>
      <c r="E8" s="15"/>
      <c r="F8" s="16" t="n">
        <v>2400</v>
      </c>
      <c r="G8" s="15" t="n">
        <v>40</v>
      </c>
      <c r="H8" s="15" t="s">
        <v>5177</v>
      </c>
      <c r="I8" s="15" t="n">
        <v>2</v>
      </c>
      <c r="J8" s="15" t="s">
        <v>5630</v>
      </c>
      <c r="K8" s="3" t="s">
        <v>5513</v>
      </c>
      <c r="L8" s="3" t="s">
        <v>5514</v>
      </c>
      <c r="M8" s="17" t="s">
        <v>5624</v>
      </c>
      <c r="N8" s="17"/>
      <c r="O8" s="17"/>
    </row>
    <row r="9" customFormat="false" ht="23.85" hidden="false" customHeight="false" outlineLevel="0" collapsed="false">
      <c r="A9" s="15" t="s">
        <v>5515</v>
      </c>
      <c r="B9" s="15" t="s">
        <v>147</v>
      </c>
      <c r="C9" s="15" t="s">
        <v>82</v>
      </c>
      <c r="D9" s="15"/>
      <c r="E9" s="15"/>
      <c r="F9" s="16" t="n">
        <v>1900</v>
      </c>
      <c r="G9" s="15" t="n">
        <v>60</v>
      </c>
      <c r="H9" s="15" t="s">
        <v>5159</v>
      </c>
      <c r="I9" s="15" t="n">
        <v>3</v>
      </c>
      <c r="J9" s="15" t="s">
        <v>5631</v>
      </c>
      <c r="K9" s="3" t="s">
        <v>5517</v>
      </c>
      <c r="L9" s="3" t="s">
        <v>5518</v>
      </c>
      <c r="M9" s="17" t="s">
        <v>5624</v>
      </c>
      <c r="N9" s="17"/>
      <c r="O9" s="17"/>
    </row>
    <row r="10" customFormat="false" ht="15" hidden="false" customHeight="false" outlineLevel="0" collapsed="false">
      <c r="A10" s="15" t="s">
        <v>5598</v>
      </c>
      <c r="B10" s="15" t="s">
        <v>104</v>
      </c>
      <c r="C10" s="15" t="s">
        <v>82</v>
      </c>
      <c r="D10" s="15" t="s">
        <v>729</v>
      </c>
      <c r="E10" s="15" t="s">
        <v>2442</v>
      </c>
      <c r="F10" s="16" t="n">
        <v>1600</v>
      </c>
      <c r="G10" s="15" t="n">
        <v>55</v>
      </c>
      <c r="H10" s="15" t="s">
        <v>5227</v>
      </c>
      <c r="I10" s="15" t="n">
        <v>3</v>
      </c>
      <c r="J10" s="15" t="s">
        <v>5632</v>
      </c>
      <c r="K10" s="3" t="s">
        <v>5599</v>
      </c>
      <c r="L10" s="3" t="s">
        <v>5600</v>
      </c>
      <c r="M10" s="17" t="s">
        <v>5624</v>
      </c>
      <c r="N10" s="17"/>
      <c r="O10" s="17"/>
    </row>
    <row r="11" customFormat="false" ht="23.85" hidden="false" customHeight="false" outlineLevel="0" collapsed="false">
      <c r="A11" s="15" t="s">
        <v>5601</v>
      </c>
      <c r="B11" s="15" t="s">
        <v>104</v>
      </c>
      <c r="C11" s="15" t="s">
        <v>82</v>
      </c>
      <c r="D11" s="15" t="s">
        <v>715</v>
      </c>
      <c r="E11" s="15" t="s">
        <v>2379</v>
      </c>
      <c r="F11" s="16" t="n">
        <v>1600</v>
      </c>
      <c r="G11" s="15" t="n">
        <v>50</v>
      </c>
      <c r="H11" s="15" t="s">
        <v>5227</v>
      </c>
      <c r="I11" s="15" t="n">
        <v>1</v>
      </c>
      <c r="J11" s="15"/>
      <c r="K11" s="3" t="s">
        <v>5602</v>
      </c>
      <c r="L11" s="3" t="s">
        <v>5603</v>
      </c>
      <c r="M11" s="17" t="s">
        <v>5624</v>
      </c>
      <c r="N11" s="17"/>
      <c r="O11" s="17"/>
    </row>
    <row r="12" customFormat="false" ht="15" hidden="false" customHeight="false" outlineLevel="0" collapsed="false">
      <c r="A12" s="15" t="s">
        <v>5519</v>
      </c>
      <c r="B12" s="15" t="s">
        <v>147</v>
      </c>
      <c r="C12" s="15" t="s">
        <v>82</v>
      </c>
      <c r="D12" s="15"/>
      <c r="E12" s="15"/>
      <c r="F12" s="16" t="n">
        <v>1600</v>
      </c>
      <c r="G12" s="15" t="n">
        <v>40</v>
      </c>
      <c r="H12" s="15" t="s">
        <v>5177</v>
      </c>
      <c r="I12" s="15" t="n">
        <v>3</v>
      </c>
      <c r="J12" s="15"/>
      <c r="K12" s="3" t="s">
        <v>5520</v>
      </c>
      <c r="L12" s="3" t="s">
        <v>5521</v>
      </c>
      <c r="M12" s="17" t="s">
        <v>5624</v>
      </c>
      <c r="N12" s="17"/>
      <c r="O12" s="17"/>
    </row>
    <row r="13" customFormat="false" ht="15" hidden="false" customHeight="false" outlineLevel="0" collapsed="false">
      <c r="A13" s="15" t="s">
        <v>5582</v>
      </c>
      <c r="B13" s="15" t="s">
        <v>662</v>
      </c>
      <c r="C13" s="15" t="s">
        <v>76</v>
      </c>
      <c r="D13" s="15" t="s">
        <v>729</v>
      </c>
      <c r="E13" s="15"/>
      <c r="F13" s="16" t="n">
        <v>1300</v>
      </c>
      <c r="G13" s="15" t="n">
        <v>40</v>
      </c>
      <c r="H13" s="15" t="s">
        <v>5159</v>
      </c>
      <c r="I13" s="15" t="n">
        <v>3</v>
      </c>
      <c r="J13" s="15" t="s">
        <v>5633</v>
      </c>
      <c r="K13" s="3" t="s">
        <v>5583</v>
      </c>
      <c r="L13" s="3" t="s">
        <v>5584</v>
      </c>
      <c r="M13" s="17" t="s">
        <v>5624</v>
      </c>
      <c r="N13" s="17"/>
      <c r="O13" s="17"/>
    </row>
    <row r="14" customFormat="false" ht="15" hidden="false" customHeight="false" outlineLevel="0" collapsed="false">
      <c r="A14" s="15" t="s">
        <v>5604</v>
      </c>
      <c r="B14" s="15" t="s">
        <v>104</v>
      </c>
      <c r="C14" s="15" t="s">
        <v>84</v>
      </c>
      <c r="D14" s="15" t="s">
        <v>729</v>
      </c>
      <c r="E14" s="15" t="s">
        <v>2442</v>
      </c>
      <c r="F14" s="16" t="n">
        <v>1000</v>
      </c>
      <c r="G14" s="15" t="n">
        <v>50</v>
      </c>
      <c r="H14" s="15" t="s">
        <v>5227</v>
      </c>
      <c r="I14" s="15" t="n">
        <v>3</v>
      </c>
      <c r="J14" s="15" t="s">
        <v>5634</v>
      </c>
      <c r="K14" s="3" t="s">
        <v>5408</v>
      </c>
      <c r="L14" s="3" t="s">
        <v>5605</v>
      </c>
      <c r="M14" s="17" t="s">
        <v>5624</v>
      </c>
      <c r="N14" s="17"/>
      <c r="O14" s="17"/>
    </row>
    <row r="15" customFormat="false" ht="15" hidden="false" customHeight="false" outlineLevel="0" collapsed="false">
      <c r="A15" s="15" t="s">
        <v>5585</v>
      </c>
      <c r="B15" s="15" t="s">
        <v>662</v>
      </c>
      <c r="C15" s="15" t="s">
        <v>77</v>
      </c>
      <c r="D15" s="15" t="s">
        <v>729</v>
      </c>
      <c r="E15" s="15"/>
      <c r="F15" s="16" t="n">
        <v>1000</v>
      </c>
      <c r="G15" s="15" t="n">
        <v>40</v>
      </c>
      <c r="H15" s="15" t="s">
        <v>5159</v>
      </c>
      <c r="I15" s="15" t="n">
        <v>3</v>
      </c>
      <c r="J15" s="15" t="s">
        <v>5635</v>
      </c>
      <c r="K15" s="3" t="s">
        <v>5586</v>
      </c>
      <c r="L15" s="3" t="s">
        <v>5587</v>
      </c>
      <c r="M15" s="17" t="s">
        <v>5624</v>
      </c>
      <c r="N15" s="17"/>
      <c r="O15" s="17"/>
    </row>
    <row r="16" customFormat="false" ht="15" hidden="false" customHeight="false" outlineLevel="0" collapsed="false">
      <c r="A16" s="15" t="s">
        <v>5606</v>
      </c>
      <c r="B16" s="15" t="s">
        <v>104</v>
      </c>
      <c r="C16" s="15" t="s">
        <v>82</v>
      </c>
      <c r="D16" s="15" t="s">
        <v>715</v>
      </c>
      <c r="E16" s="15" t="s">
        <v>2379</v>
      </c>
      <c r="F16" s="16" t="n">
        <v>1000</v>
      </c>
      <c r="G16" s="15" t="n">
        <v>45</v>
      </c>
      <c r="H16" s="15" t="s">
        <v>5227</v>
      </c>
      <c r="I16" s="15" t="n">
        <v>1</v>
      </c>
      <c r="J16" s="15"/>
      <c r="K16" s="3" t="s">
        <v>5607</v>
      </c>
      <c r="L16" s="3" t="s">
        <v>5608</v>
      </c>
      <c r="M16" s="17" t="s">
        <v>5624</v>
      </c>
      <c r="N16" s="17"/>
      <c r="O16" s="17"/>
    </row>
    <row r="17" customFormat="false" ht="15" hidden="false" customHeight="false" outlineLevel="0" collapsed="false">
      <c r="A17" s="15" t="s">
        <v>5522</v>
      </c>
      <c r="B17" s="15" t="s">
        <v>147</v>
      </c>
      <c r="C17" s="15" t="s">
        <v>82</v>
      </c>
      <c r="D17" s="15"/>
      <c r="E17" s="15"/>
      <c r="F17" s="16" t="n">
        <v>1000</v>
      </c>
      <c r="G17" s="15" t="n">
        <v>40</v>
      </c>
      <c r="H17" s="15" t="s">
        <v>5177</v>
      </c>
      <c r="I17" s="15" t="n">
        <v>4</v>
      </c>
      <c r="J17" s="15"/>
      <c r="K17" s="3" t="s">
        <v>5197</v>
      </c>
      <c r="L17" s="3" t="s">
        <v>5523</v>
      </c>
      <c r="M17" s="17" t="s">
        <v>5624</v>
      </c>
      <c r="N17" s="17"/>
      <c r="O17" s="17"/>
    </row>
    <row r="18" customFormat="false" ht="15" hidden="false" customHeight="false" outlineLevel="0" collapsed="false">
      <c r="A18" s="15" t="s">
        <v>5588</v>
      </c>
      <c r="B18" s="15" t="s">
        <v>662</v>
      </c>
      <c r="C18" s="15" t="s">
        <v>82</v>
      </c>
      <c r="D18" s="15" t="s">
        <v>729</v>
      </c>
      <c r="E18" s="15"/>
      <c r="F18" s="16" t="n">
        <v>1000</v>
      </c>
      <c r="G18" s="15" t="n">
        <v>40</v>
      </c>
      <c r="H18" s="15" t="s">
        <v>5177</v>
      </c>
      <c r="I18" s="15" t="n">
        <v>4</v>
      </c>
      <c r="J18" s="15"/>
      <c r="K18" s="3" t="s">
        <v>5589</v>
      </c>
      <c r="L18" s="3" t="s">
        <v>5590</v>
      </c>
      <c r="M18" s="17" t="s">
        <v>5624</v>
      </c>
      <c r="N18" s="17"/>
      <c r="O18" s="17"/>
    </row>
    <row r="19" customFormat="false" ht="15" hidden="false" customHeight="false" outlineLevel="0" collapsed="false">
      <c r="A19" s="15" t="s">
        <v>5609</v>
      </c>
      <c r="B19" s="15" t="s">
        <v>104</v>
      </c>
      <c r="C19" s="15" t="s">
        <v>82</v>
      </c>
      <c r="D19" s="15" t="s">
        <v>729</v>
      </c>
      <c r="E19" s="15" t="s">
        <v>2449</v>
      </c>
      <c r="F19" s="16" t="n">
        <v>880</v>
      </c>
      <c r="G19" s="15" t="n">
        <v>50</v>
      </c>
      <c r="H19" s="15" t="s">
        <v>5227</v>
      </c>
      <c r="I19" s="15" t="n">
        <v>3</v>
      </c>
      <c r="J19" s="15" t="s">
        <v>5636</v>
      </c>
      <c r="K19" s="3" t="s">
        <v>5408</v>
      </c>
      <c r="L19" s="3" t="s">
        <v>5610</v>
      </c>
      <c r="M19" s="17" t="s">
        <v>5624</v>
      </c>
      <c r="N19" s="17"/>
      <c r="O19" s="17"/>
    </row>
    <row r="20" customFormat="false" ht="15" hidden="false" customHeight="false" outlineLevel="0" collapsed="false">
      <c r="A20" s="15" t="s">
        <v>5611</v>
      </c>
      <c r="B20" s="15" t="s">
        <v>104</v>
      </c>
      <c r="C20" s="15" t="s">
        <v>82</v>
      </c>
      <c r="D20" s="15" t="s">
        <v>715</v>
      </c>
      <c r="E20" s="15" t="s">
        <v>2379</v>
      </c>
      <c r="F20" s="16" t="n">
        <v>880</v>
      </c>
      <c r="G20" s="15" t="n">
        <v>45</v>
      </c>
      <c r="H20" s="15" t="s">
        <v>5227</v>
      </c>
      <c r="I20" s="15" t="n">
        <v>2</v>
      </c>
      <c r="J20" s="15"/>
      <c r="K20" s="3" t="s">
        <v>5212</v>
      </c>
      <c r="L20" s="3" t="s">
        <v>5612</v>
      </c>
      <c r="M20" s="17" t="s">
        <v>5624</v>
      </c>
      <c r="N20" s="17"/>
      <c r="O20" s="17"/>
    </row>
    <row r="21" customFormat="false" ht="15" hidden="false" customHeight="false" outlineLevel="0" collapsed="false">
      <c r="A21" s="15" t="s">
        <v>5524</v>
      </c>
      <c r="B21" s="15" t="s">
        <v>147</v>
      </c>
      <c r="C21" s="15" t="s">
        <v>82</v>
      </c>
      <c r="D21" s="15"/>
      <c r="E21" s="15"/>
      <c r="F21" s="16" t="n">
        <v>880</v>
      </c>
      <c r="G21" s="15" t="n">
        <v>30</v>
      </c>
      <c r="H21" s="15" t="s">
        <v>5159</v>
      </c>
      <c r="I21" s="15" t="n">
        <v>3</v>
      </c>
      <c r="J21" s="15" t="s">
        <v>5637</v>
      </c>
      <c r="K21" s="3" t="s">
        <v>5526</v>
      </c>
      <c r="L21" s="3" t="s">
        <v>5527</v>
      </c>
      <c r="M21" s="17" t="s">
        <v>5624</v>
      </c>
      <c r="N21" s="17"/>
      <c r="O21" s="17"/>
    </row>
    <row r="22" customFormat="false" ht="15" hidden="false" customHeight="false" outlineLevel="0" collapsed="false">
      <c r="A22" s="15" t="s">
        <v>563</v>
      </c>
      <c r="B22" s="15" t="s">
        <v>147</v>
      </c>
      <c r="C22" s="15" t="s">
        <v>74</v>
      </c>
      <c r="D22" s="15"/>
      <c r="E22" s="15"/>
      <c r="F22" s="16" t="n">
        <v>720</v>
      </c>
      <c r="G22" s="15" t="n">
        <v>40</v>
      </c>
      <c r="H22" s="15" t="s">
        <v>5159</v>
      </c>
      <c r="I22" s="15" t="n">
        <v>4</v>
      </c>
      <c r="J22" s="15" t="s">
        <v>5638</v>
      </c>
      <c r="K22" s="3" t="s">
        <v>5224</v>
      </c>
      <c r="L22" s="3" t="s">
        <v>5528</v>
      </c>
      <c r="M22" s="17" t="s">
        <v>5624</v>
      </c>
      <c r="N22" s="17"/>
      <c r="O22" s="17"/>
    </row>
    <row r="23" customFormat="false" ht="15" hidden="false" customHeight="false" outlineLevel="0" collapsed="false">
      <c r="A23" s="15" t="s">
        <v>5529</v>
      </c>
      <c r="B23" s="15" t="s">
        <v>147</v>
      </c>
      <c r="C23" s="15" t="s">
        <v>74</v>
      </c>
      <c r="D23" s="15"/>
      <c r="E23" s="15"/>
      <c r="F23" s="16" t="n">
        <v>720</v>
      </c>
      <c r="G23" s="15" t="n">
        <v>40</v>
      </c>
      <c r="H23" s="15" t="s">
        <v>5177</v>
      </c>
      <c r="I23" s="15" t="n">
        <v>3</v>
      </c>
      <c r="J23" s="15"/>
      <c r="K23" s="3" t="s">
        <v>5224</v>
      </c>
      <c r="L23" s="3" t="s">
        <v>5531</v>
      </c>
      <c r="M23" s="17" t="s">
        <v>5624</v>
      </c>
      <c r="N23" s="17"/>
      <c r="O23" s="17"/>
    </row>
    <row r="24" customFormat="false" ht="15" hidden="false" customHeight="false" outlineLevel="0" collapsed="false">
      <c r="A24" s="15" t="s">
        <v>5532</v>
      </c>
      <c r="B24" s="15" t="s">
        <v>147</v>
      </c>
      <c r="C24" s="15" t="s">
        <v>84</v>
      </c>
      <c r="D24" s="15"/>
      <c r="E24" s="15"/>
      <c r="F24" s="16" t="n">
        <v>720</v>
      </c>
      <c r="G24" s="15" t="n">
        <v>30</v>
      </c>
      <c r="H24" s="15" t="s">
        <v>5177</v>
      </c>
      <c r="I24" s="15" t="n">
        <v>2</v>
      </c>
      <c r="J24" s="15"/>
      <c r="K24" s="3" t="s">
        <v>5533</v>
      </c>
      <c r="L24" s="3" t="s">
        <v>5534</v>
      </c>
      <c r="M24" s="17" t="s">
        <v>5624</v>
      </c>
      <c r="N24" s="17"/>
      <c r="O24" s="17"/>
    </row>
    <row r="25" customFormat="false" ht="15" hidden="false" customHeight="false" outlineLevel="0" collapsed="false">
      <c r="A25" s="15" t="s">
        <v>5535</v>
      </c>
      <c r="B25" s="15" t="s">
        <v>147</v>
      </c>
      <c r="C25" s="15" t="s">
        <v>82</v>
      </c>
      <c r="D25" s="15"/>
      <c r="E25" s="15"/>
      <c r="F25" s="16" t="n">
        <v>590</v>
      </c>
      <c r="G25" s="15" t="n">
        <v>35</v>
      </c>
      <c r="H25" s="15" t="s">
        <v>5159</v>
      </c>
      <c r="I25" s="15" t="n">
        <v>4</v>
      </c>
      <c r="J25" s="15" t="s">
        <v>5639</v>
      </c>
      <c r="K25" s="3" t="s">
        <v>5182</v>
      </c>
      <c r="L25" s="3" t="s">
        <v>5536</v>
      </c>
      <c r="M25" s="17" t="s">
        <v>5624</v>
      </c>
      <c r="N25" s="17"/>
      <c r="O25" s="17"/>
    </row>
    <row r="26" customFormat="false" ht="15" hidden="false" customHeight="false" outlineLevel="0" collapsed="false">
      <c r="A26" s="15" t="s">
        <v>5537</v>
      </c>
      <c r="B26" s="15" t="s">
        <v>147</v>
      </c>
      <c r="C26" s="15" t="s">
        <v>82</v>
      </c>
      <c r="D26" s="15"/>
      <c r="E26" s="15"/>
      <c r="F26" s="16" t="n">
        <v>590</v>
      </c>
      <c r="G26" s="15" t="n">
        <v>35</v>
      </c>
      <c r="H26" s="15" t="s">
        <v>5177</v>
      </c>
      <c r="I26" s="15" t="n">
        <v>4</v>
      </c>
      <c r="J26" s="15" t="s">
        <v>5640</v>
      </c>
      <c r="K26" s="3" t="s">
        <v>5538</v>
      </c>
      <c r="L26" s="3" t="s">
        <v>5539</v>
      </c>
      <c r="M26" s="17" t="s">
        <v>5624</v>
      </c>
      <c r="N26" s="17"/>
      <c r="O26" s="17"/>
    </row>
    <row r="27" customFormat="false" ht="15" hidden="false" customHeight="false" outlineLevel="0" collapsed="false">
      <c r="A27" s="15" t="s">
        <v>5613</v>
      </c>
      <c r="B27" s="15" t="s">
        <v>104</v>
      </c>
      <c r="C27" s="15" t="s">
        <v>82</v>
      </c>
      <c r="D27" s="15" t="s">
        <v>729</v>
      </c>
      <c r="E27" s="15" t="s">
        <v>2428</v>
      </c>
      <c r="F27" s="16" t="n">
        <v>480</v>
      </c>
      <c r="G27" s="15" t="n">
        <v>45</v>
      </c>
      <c r="H27" s="15" t="s">
        <v>5227</v>
      </c>
      <c r="I27" s="15" t="n">
        <v>3</v>
      </c>
      <c r="J27" s="15" t="s">
        <v>5641</v>
      </c>
      <c r="K27" s="3" t="s">
        <v>5408</v>
      </c>
      <c r="L27" s="3" t="s">
        <v>5614</v>
      </c>
      <c r="M27" s="17" t="s">
        <v>5624</v>
      </c>
      <c r="N27" s="17"/>
      <c r="O27" s="17"/>
    </row>
    <row r="28" customFormat="false" ht="15" hidden="false" customHeight="false" outlineLevel="0" collapsed="false">
      <c r="A28" s="15" t="s">
        <v>5540</v>
      </c>
      <c r="B28" s="15" t="s">
        <v>147</v>
      </c>
      <c r="C28" s="15" t="s">
        <v>76</v>
      </c>
      <c r="D28" s="15"/>
      <c r="E28" s="15"/>
      <c r="F28" s="16" t="n">
        <v>480</v>
      </c>
      <c r="G28" s="15" t="n">
        <v>45</v>
      </c>
      <c r="H28" s="15" t="s">
        <v>5159</v>
      </c>
      <c r="I28" s="15" t="n">
        <v>2</v>
      </c>
      <c r="J28" s="15" t="s">
        <v>5642</v>
      </c>
      <c r="K28" s="3" t="s">
        <v>5224</v>
      </c>
      <c r="L28" s="3" t="s">
        <v>5541</v>
      </c>
      <c r="M28" s="17" t="s">
        <v>5624</v>
      </c>
      <c r="N28" s="17"/>
      <c r="O28" s="17"/>
    </row>
    <row r="29" customFormat="false" ht="15" hidden="false" customHeight="false" outlineLevel="0" collapsed="false">
      <c r="A29" s="15" t="s">
        <v>5542</v>
      </c>
      <c r="B29" s="15" t="s">
        <v>147</v>
      </c>
      <c r="C29" s="15" t="s">
        <v>74</v>
      </c>
      <c r="D29" s="15"/>
      <c r="E29" s="15"/>
      <c r="F29" s="16" t="n">
        <v>480</v>
      </c>
      <c r="G29" s="15" t="n">
        <v>35</v>
      </c>
      <c r="H29" s="15" t="s">
        <v>5159</v>
      </c>
      <c r="I29" s="15" t="n">
        <v>3</v>
      </c>
      <c r="J29" s="15" t="s">
        <v>5643</v>
      </c>
      <c r="K29" s="3" t="s">
        <v>5224</v>
      </c>
      <c r="L29" s="3" t="s">
        <v>5543</v>
      </c>
      <c r="M29" s="17" t="s">
        <v>5624</v>
      </c>
      <c r="N29" s="17"/>
      <c r="O29" s="17"/>
    </row>
    <row r="30" customFormat="false" ht="15" hidden="false" customHeight="false" outlineLevel="0" collapsed="false">
      <c r="A30" s="15" t="s">
        <v>5615</v>
      </c>
      <c r="B30" s="15" t="s">
        <v>104</v>
      </c>
      <c r="C30" s="15" t="s">
        <v>82</v>
      </c>
      <c r="D30" s="15" t="s">
        <v>729</v>
      </c>
      <c r="E30" s="15" t="s">
        <v>2421</v>
      </c>
      <c r="F30" s="16" t="n">
        <v>390</v>
      </c>
      <c r="G30" s="15" t="n">
        <v>35</v>
      </c>
      <c r="H30" s="15" t="s">
        <v>5227</v>
      </c>
      <c r="I30" s="15" t="n">
        <v>4</v>
      </c>
      <c r="J30" s="15" t="s">
        <v>5644</v>
      </c>
      <c r="K30" s="3" t="s">
        <v>5426</v>
      </c>
      <c r="L30" s="3" t="s">
        <v>5616</v>
      </c>
      <c r="M30" s="17" t="s">
        <v>5624</v>
      </c>
      <c r="N30" s="17"/>
      <c r="O30" s="17"/>
    </row>
    <row r="31" customFormat="false" ht="15" hidden="false" customHeight="false" outlineLevel="0" collapsed="false">
      <c r="A31" s="15" t="s">
        <v>5544</v>
      </c>
      <c r="B31" s="15" t="s">
        <v>147</v>
      </c>
      <c r="C31" s="15" t="s">
        <v>82</v>
      </c>
      <c r="D31" s="15"/>
      <c r="E31" s="15"/>
      <c r="F31" s="16" t="n">
        <v>390</v>
      </c>
      <c r="G31" s="15" t="n">
        <v>45</v>
      </c>
      <c r="H31" s="15" t="s">
        <v>5177</v>
      </c>
      <c r="I31" s="15" t="n">
        <v>4</v>
      </c>
      <c r="J31" s="15"/>
      <c r="K31" s="3" t="s">
        <v>5545</v>
      </c>
      <c r="L31" s="3" t="s">
        <v>5546</v>
      </c>
      <c r="M31" s="17" t="s">
        <v>5624</v>
      </c>
      <c r="N31" s="17"/>
      <c r="O31" s="17"/>
    </row>
    <row r="32" customFormat="false" ht="15" hidden="false" customHeight="false" outlineLevel="0" collapsed="false">
      <c r="A32" s="15" t="s">
        <v>5547</v>
      </c>
      <c r="B32" s="15" t="s">
        <v>147</v>
      </c>
      <c r="C32" s="15" t="s">
        <v>74</v>
      </c>
      <c r="D32" s="15"/>
      <c r="E32" s="15"/>
      <c r="F32" s="16" t="n">
        <v>390</v>
      </c>
      <c r="G32" s="15" t="n">
        <v>35</v>
      </c>
      <c r="H32" s="15" t="s">
        <v>5159</v>
      </c>
      <c r="I32" s="15" t="n">
        <v>3</v>
      </c>
      <c r="J32" s="15" t="s">
        <v>5645</v>
      </c>
      <c r="K32" s="3" t="s">
        <v>5224</v>
      </c>
      <c r="L32" s="3" t="s">
        <v>5548</v>
      </c>
      <c r="M32" s="17" t="s">
        <v>5624</v>
      </c>
      <c r="N32" s="17"/>
      <c r="O32" s="17"/>
    </row>
    <row r="33" customFormat="false" ht="23.85" hidden="false" customHeight="false" outlineLevel="0" collapsed="false">
      <c r="A33" s="15" t="s">
        <v>5549</v>
      </c>
      <c r="B33" s="15" t="s">
        <v>147</v>
      </c>
      <c r="C33" s="15" t="s">
        <v>74</v>
      </c>
      <c r="D33" s="15"/>
      <c r="E33" s="15"/>
      <c r="F33" s="16" t="n">
        <v>390</v>
      </c>
      <c r="G33" s="15" t="n">
        <v>45</v>
      </c>
      <c r="H33" s="15" t="s">
        <v>5159</v>
      </c>
      <c r="I33" s="15" t="n">
        <v>4</v>
      </c>
      <c r="J33" s="15"/>
      <c r="K33" s="3" t="s">
        <v>5550</v>
      </c>
      <c r="L33" s="3" t="s">
        <v>5551</v>
      </c>
      <c r="M33" s="17" t="s">
        <v>5624</v>
      </c>
      <c r="N33" s="17"/>
      <c r="O33" s="17"/>
    </row>
    <row r="34" customFormat="false" ht="15" hidden="false" customHeight="false" outlineLevel="0" collapsed="false">
      <c r="A34" s="15" t="s">
        <v>5617</v>
      </c>
      <c r="B34" s="15" t="s">
        <v>104</v>
      </c>
      <c r="C34" s="15" t="s">
        <v>84</v>
      </c>
      <c r="D34" s="15" t="s">
        <v>729</v>
      </c>
      <c r="E34" s="15" t="s">
        <v>2428</v>
      </c>
      <c r="F34" s="16" t="n">
        <v>320</v>
      </c>
      <c r="G34" s="15" t="n">
        <v>40</v>
      </c>
      <c r="H34" s="15" t="s">
        <v>5227</v>
      </c>
      <c r="I34" s="15" t="n">
        <v>4</v>
      </c>
      <c r="J34" s="15" t="s">
        <v>5646</v>
      </c>
      <c r="K34" s="3" t="s">
        <v>5408</v>
      </c>
      <c r="L34" s="3" t="s">
        <v>5618</v>
      </c>
      <c r="M34" s="17" t="s">
        <v>5624</v>
      </c>
      <c r="N34" s="17"/>
      <c r="O34" s="17"/>
    </row>
    <row r="35" customFormat="false" ht="15" hidden="false" customHeight="false" outlineLevel="0" collapsed="false">
      <c r="A35" s="15" t="s">
        <v>5552</v>
      </c>
      <c r="B35" s="15" t="s">
        <v>147</v>
      </c>
      <c r="C35" s="15" t="s">
        <v>74</v>
      </c>
      <c r="D35" s="15"/>
      <c r="E35" s="15"/>
      <c r="F35" s="16" t="n">
        <v>320</v>
      </c>
      <c r="G35" s="15" t="n">
        <v>30</v>
      </c>
      <c r="H35" s="15" t="s">
        <v>5159</v>
      </c>
      <c r="I35" s="15" t="n">
        <v>3</v>
      </c>
      <c r="J35" s="15"/>
      <c r="K35" s="3" t="s">
        <v>5224</v>
      </c>
      <c r="L35" s="3" t="s">
        <v>5553</v>
      </c>
      <c r="M35" s="17" t="s">
        <v>5624</v>
      </c>
      <c r="N35" s="17"/>
      <c r="O35" s="17"/>
    </row>
    <row r="36" customFormat="false" ht="15" hidden="false" customHeight="false" outlineLevel="0" collapsed="false">
      <c r="A36" s="15" t="s">
        <v>5619</v>
      </c>
      <c r="B36" s="15" t="s">
        <v>104</v>
      </c>
      <c r="C36" s="15" t="s">
        <v>74</v>
      </c>
      <c r="D36" s="15" t="s">
        <v>729</v>
      </c>
      <c r="E36" s="15" t="s">
        <v>2442</v>
      </c>
      <c r="F36" s="16" t="n">
        <v>260</v>
      </c>
      <c r="G36" s="15" t="n">
        <v>25</v>
      </c>
      <c r="H36" s="15" t="s">
        <v>5227</v>
      </c>
      <c r="I36" s="15" t="n">
        <v>3</v>
      </c>
      <c r="J36" s="15" t="s">
        <v>5647</v>
      </c>
      <c r="K36" s="3" t="s">
        <v>5426</v>
      </c>
      <c r="L36" s="3" t="s">
        <v>5620</v>
      </c>
      <c r="M36" s="17" t="s">
        <v>5624</v>
      </c>
      <c r="N36" s="17"/>
      <c r="O36" s="17"/>
    </row>
    <row r="37" customFormat="false" ht="15" hidden="false" customHeight="false" outlineLevel="0" collapsed="false">
      <c r="A37" s="15" t="s">
        <v>5591</v>
      </c>
      <c r="B37" s="15" t="s">
        <v>662</v>
      </c>
      <c r="C37" s="15" t="s">
        <v>82</v>
      </c>
      <c r="D37" s="15" t="s">
        <v>673</v>
      </c>
      <c r="E37" s="15"/>
      <c r="F37" s="16" t="n">
        <v>260</v>
      </c>
      <c r="G37" s="15" t="n">
        <v>25</v>
      </c>
      <c r="H37" s="15" t="s">
        <v>5177</v>
      </c>
      <c r="I37" s="15" t="n">
        <v>4</v>
      </c>
      <c r="J37" s="15"/>
      <c r="K37" s="3" t="s">
        <v>5592</v>
      </c>
      <c r="L37" s="3" t="s">
        <v>5593</v>
      </c>
      <c r="M37" s="17" t="s">
        <v>5624</v>
      </c>
      <c r="N37" s="17"/>
      <c r="O37" s="17"/>
    </row>
    <row r="38" customFormat="false" ht="15" hidden="false" customHeight="false" outlineLevel="0" collapsed="false">
      <c r="A38" s="15" t="s">
        <v>5554</v>
      </c>
      <c r="B38" s="15" t="s">
        <v>147</v>
      </c>
      <c r="C38" s="15" t="s">
        <v>82</v>
      </c>
      <c r="D38" s="15"/>
      <c r="E38" s="15"/>
      <c r="F38" s="16" t="n">
        <v>210</v>
      </c>
      <c r="G38" s="15" t="n">
        <v>20</v>
      </c>
      <c r="H38" s="15" t="s">
        <v>5159</v>
      </c>
      <c r="I38" s="15" t="n">
        <v>3</v>
      </c>
      <c r="J38" s="15" t="s">
        <v>5648</v>
      </c>
      <c r="K38" s="3" t="s">
        <v>5426</v>
      </c>
      <c r="L38" s="3" t="s">
        <v>5555</v>
      </c>
      <c r="M38" s="17" t="s">
        <v>5624</v>
      </c>
      <c r="N38" s="17"/>
      <c r="O38" s="17"/>
    </row>
    <row r="39" customFormat="false" ht="23.85" hidden="false" customHeight="false" outlineLevel="0" collapsed="false">
      <c r="A39" s="15" t="s">
        <v>5556</v>
      </c>
      <c r="B39" s="15" t="s">
        <v>147</v>
      </c>
      <c r="C39" s="15" t="s">
        <v>82</v>
      </c>
      <c r="D39" s="15"/>
      <c r="E39" s="15"/>
      <c r="F39" s="16" t="n">
        <v>210</v>
      </c>
      <c r="G39" s="15" t="n">
        <v>15</v>
      </c>
      <c r="H39" s="15" t="s">
        <v>5177</v>
      </c>
      <c r="I39" s="15" t="n">
        <v>2</v>
      </c>
      <c r="J39" s="15"/>
      <c r="K39" s="3" t="s">
        <v>5426</v>
      </c>
      <c r="L39" s="3" t="s">
        <v>5557</v>
      </c>
      <c r="M39" s="17" t="s">
        <v>5624</v>
      </c>
      <c r="N39" s="17"/>
      <c r="O39" s="17"/>
    </row>
    <row r="40" customFormat="false" ht="15" hidden="false" customHeight="false" outlineLevel="0" collapsed="false">
      <c r="A40" s="15" t="s">
        <v>5594</v>
      </c>
      <c r="B40" s="15" t="s">
        <v>662</v>
      </c>
      <c r="C40" s="15" t="s">
        <v>82</v>
      </c>
      <c r="D40" s="15" t="s">
        <v>736</v>
      </c>
      <c r="E40" s="15"/>
      <c r="F40" s="16" t="n">
        <v>210</v>
      </c>
      <c r="G40" s="15" t="n">
        <v>25</v>
      </c>
      <c r="H40" s="15" t="s">
        <v>5177</v>
      </c>
      <c r="I40" s="15" t="n">
        <v>4</v>
      </c>
      <c r="J40" s="15"/>
      <c r="K40" s="3" t="s">
        <v>5595</v>
      </c>
      <c r="L40" s="3" t="s">
        <v>5593</v>
      </c>
      <c r="M40" s="17" t="s">
        <v>5624</v>
      </c>
      <c r="N40" s="17"/>
      <c r="O40" s="17"/>
    </row>
    <row r="41" customFormat="false" ht="15" hidden="false" customHeight="false" outlineLevel="0" collapsed="false">
      <c r="A41" s="15" t="s">
        <v>5558</v>
      </c>
      <c r="B41" s="15" t="s">
        <v>147</v>
      </c>
      <c r="C41" s="15" t="s">
        <v>82</v>
      </c>
      <c r="D41" s="15"/>
      <c r="E41" s="15"/>
      <c r="F41" s="16" t="n">
        <v>170</v>
      </c>
      <c r="G41" s="15" t="n">
        <v>20</v>
      </c>
      <c r="H41" s="15" t="s">
        <v>5159</v>
      </c>
      <c r="I41" s="15" t="n">
        <v>3</v>
      </c>
      <c r="J41" s="15" t="s">
        <v>5649</v>
      </c>
      <c r="K41" s="3" t="s">
        <v>5426</v>
      </c>
      <c r="L41" s="3" t="s">
        <v>5559</v>
      </c>
      <c r="M41" s="17" t="s">
        <v>5624</v>
      </c>
      <c r="N41" s="17"/>
      <c r="O41" s="17"/>
    </row>
    <row r="42" customFormat="false" ht="15" hidden="false" customHeight="false" outlineLevel="0" collapsed="false">
      <c r="A42" s="15" t="s">
        <v>5596</v>
      </c>
      <c r="B42" s="15" t="s">
        <v>662</v>
      </c>
      <c r="C42" s="15" t="s">
        <v>84</v>
      </c>
      <c r="D42" s="15" t="s">
        <v>680</v>
      </c>
      <c r="E42" s="15"/>
      <c r="F42" s="16" t="n">
        <v>140</v>
      </c>
      <c r="G42" s="15" t="n">
        <v>20</v>
      </c>
      <c r="H42" s="15" t="s">
        <v>5159</v>
      </c>
      <c r="I42" s="15" t="n">
        <v>4</v>
      </c>
      <c r="J42" s="15"/>
      <c r="K42" s="3" t="s">
        <v>5408</v>
      </c>
      <c r="L42" s="3" t="s">
        <v>5597</v>
      </c>
      <c r="M42" s="17" t="s">
        <v>5624</v>
      </c>
      <c r="N42" s="17"/>
      <c r="O42" s="17"/>
    </row>
    <row r="43" customFormat="false" ht="15" hidden="false" customHeight="false" outlineLevel="0" collapsed="false">
      <c r="A43" s="15" t="s">
        <v>5560</v>
      </c>
      <c r="B43" s="15" t="s">
        <v>147</v>
      </c>
      <c r="C43" s="15" t="s">
        <v>82</v>
      </c>
      <c r="D43" s="15"/>
      <c r="E43" s="15"/>
      <c r="F43" s="16" t="n">
        <v>140</v>
      </c>
      <c r="G43" s="15" t="n">
        <v>15</v>
      </c>
      <c r="H43" s="15" t="s">
        <v>5159</v>
      </c>
      <c r="I43" s="15" t="n">
        <v>3</v>
      </c>
      <c r="J43" s="15" t="s">
        <v>5650</v>
      </c>
      <c r="K43" s="3" t="s">
        <v>5426</v>
      </c>
      <c r="L43" s="3" t="s">
        <v>5561</v>
      </c>
      <c r="M43" s="17" t="s">
        <v>5624</v>
      </c>
      <c r="N43" s="17"/>
      <c r="O43" s="17"/>
    </row>
    <row r="44" customFormat="false" ht="15" hidden="false" customHeight="false" outlineLevel="0" collapsed="false">
      <c r="A44" s="15" t="s">
        <v>5562</v>
      </c>
      <c r="B44" s="15" t="s">
        <v>147</v>
      </c>
      <c r="C44" s="15" t="s">
        <v>82</v>
      </c>
      <c r="D44" s="15"/>
      <c r="E44" s="15"/>
      <c r="F44" s="16" t="n">
        <v>140</v>
      </c>
      <c r="G44" s="15" t="n">
        <v>15</v>
      </c>
      <c r="H44" s="15" t="s">
        <v>5177</v>
      </c>
      <c r="I44" s="15" t="n">
        <v>3</v>
      </c>
      <c r="J44" s="15"/>
      <c r="K44" s="3" t="s">
        <v>5426</v>
      </c>
      <c r="L44" s="3" t="s">
        <v>5563</v>
      </c>
      <c r="M44" s="17" t="s">
        <v>5624</v>
      </c>
      <c r="N44" s="17"/>
      <c r="O44" s="17"/>
    </row>
    <row r="45" customFormat="false" ht="15" hidden="false" customHeight="false" outlineLevel="0" collapsed="false">
      <c r="A45" s="15" t="s">
        <v>5564</v>
      </c>
      <c r="B45" s="15" t="s">
        <v>147</v>
      </c>
      <c r="C45" s="15" t="s">
        <v>82</v>
      </c>
      <c r="D45" s="15"/>
      <c r="E45" s="15"/>
      <c r="F45" s="16" t="n">
        <v>90</v>
      </c>
      <c r="G45" s="15" t="n">
        <v>15</v>
      </c>
      <c r="H45" s="15" t="s">
        <v>5159</v>
      </c>
      <c r="I45" s="15" t="n">
        <v>4</v>
      </c>
      <c r="J45" s="15" t="s">
        <v>5651</v>
      </c>
      <c r="K45" s="3" t="s">
        <v>5565</v>
      </c>
      <c r="L45" s="3" t="s">
        <v>5566</v>
      </c>
      <c r="M45" s="17" t="s">
        <v>5624</v>
      </c>
      <c r="N45" s="17"/>
      <c r="O45" s="17"/>
    </row>
  </sheetData>
  <autoFilter ref="A1:O45"/>
  <dataValidations count="1">
    <dataValidation allowBlank="true" errorStyle="stop" operator="between" showDropDown="false" showErrorMessage="false" showInputMessage="false" sqref="M2:M45" type="list">
      <formula1>"Not started,Writing,Built,On 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6C46"/>
    <pageSetUpPr fitToPage="false"/>
  </sheetPr>
  <dimension ref="A1:AG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9"/>
    <col collapsed="false" customWidth="true" hidden="false" outlineLevel="0" max="4" min="4" style="0" width="24"/>
    <col collapsed="false" customWidth="true" hidden="false" outlineLevel="0" max="5" min="5" style="0" width="18"/>
    <col collapsed="false" customWidth="true" hidden="false" outlineLevel="0" max="6" min="6" style="0" width="48"/>
    <col collapsed="false" customWidth="true" hidden="false" outlineLevel="0" max="7" min="7" style="0" width="46"/>
    <col collapsed="false" customWidth="true" hidden="false" outlineLevel="0" max="8" min="8" style="0" width="30"/>
    <col collapsed="false" customWidth="true" hidden="false" outlineLevel="0" max="10" min="9" style="0" width="11"/>
    <col collapsed="false" customWidth="true" hidden="false" outlineLevel="0" max="11" min="11" style="0" width="44"/>
    <col collapsed="false" customWidth="true" hidden="false" outlineLevel="0" max="12" min="12" style="0" width="18"/>
    <col collapsed="false" customWidth="true" hidden="false" outlineLevel="0" max="13" min="13" style="0" width="13"/>
    <col collapsed="false" customWidth="true" hidden="false" outlineLevel="0" max="14" min="14" style="0" width="8"/>
    <col collapsed="false" customWidth="true" hidden="false" outlineLevel="0" max="15" min="15" style="0" width="42"/>
    <col collapsed="false" customWidth="true" hidden="false" outlineLevel="0" max="16" min="16" style="0" width="8"/>
    <col collapsed="false" customWidth="true" hidden="false" outlineLevel="0" max="17" min="17" style="0" width="60"/>
    <col collapsed="false" customWidth="true" hidden="false" outlineLevel="0" max="18" min="18" style="0" width="9"/>
    <col collapsed="false" customWidth="true" hidden="false" outlineLevel="0" max="19" min="19" style="0" width="10"/>
    <col collapsed="false" customWidth="true" hidden="false" outlineLevel="0" max="20" min="20" style="0" width="70"/>
    <col collapsed="false" customWidth="true" hidden="false" outlineLevel="0" max="21" min="21" style="0" width="60"/>
    <col collapsed="false" customWidth="true" hidden="false" outlineLevel="0" max="23" min="22" style="0" width="50"/>
    <col collapsed="false" customWidth="true" hidden="false" outlineLevel="0" max="24" min="24" style="0" width="36"/>
    <col collapsed="false" customWidth="true" hidden="false" outlineLevel="0" max="25" min="25" style="0" width="26"/>
    <col collapsed="false" customWidth="true" hidden="false" outlineLevel="0" max="26" min="26" style="0" width="9"/>
    <col collapsed="false" customWidth="true" hidden="false" outlineLevel="0" max="27" min="27" style="0" width="50"/>
    <col collapsed="false" customWidth="true" hidden="false" outlineLevel="0" max="28" min="28" style="0" width="70"/>
    <col collapsed="false" customWidth="true" hidden="false" outlineLevel="0" max="29" min="29" style="0" width="55"/>
    <col collapsed="false" customWidth="true" hidden="false" outlineLevel="0" max="30" min="30" style="0" width="13"/>
    <col collapsed="false" customWidth="true" hidden="false" outlineLevel="0" max="31" min="31" style="0" width="14"/>
    <col collapsed="false" customWidth="true" hidden="false" outlineLevel="0" max="33" min="32" style="0" width="13"/>
  </cols>
  <sheetData>
    <row r="1" customFormat="false" ht="31.5" hidden="false" customHeight="true" outlineLevel="0" collapsed="false">
      <c r="A1" s="9" t="s">
        <v>5652</v>
      </c>
      <c r="B1" s="9" t="s">
        <v>120</v>
      </c>
      <c r="C1" s="9" t="s">
        <v>5155</v>
      </c>
      <c r="D1" s="9" t="s">
        <v>63</v>
      </c>
      <c r="E1" s="9" t="s">
        <v>5154</v>
      </c>
      <c r="F1" s="9" t="s">
        <v>5653</v>
      </c>
      <c r="G1" s="9" t="s">
        <v>99</v>
      </c>
      <c r="H1" s="9" t="s">
        <v>5654</v>
      </c>
      <c r="I1" s="9" t="s">
        <v>5655</v>
      </c>
      <c r="J1" s="9" t="s">
        <v>5656</v>
      </c>
      <c r="K1" s="9" t="s">
        <v>5657</v>
      </c>
      <c r="L1" s="9" t="s">
        <v>5658</v>
      </c>
      <c r="M1" s="9" t="s">
        <v>5153</v>
      </c>
      <c r="N1" s="9" t="s">
        <v>5659</v>
      </c>
      <c r="O1" s="9" t="s">
        <v>5660</v>
      </c>
      <c r="P1" s="9" t="s">
        <v>5661</v>
      </c>
      <c r="Q1" s="9" t="s">
        <v>108</v>
      </c>
      <c r="R1" s="9" t="s">
        <v>5662</v>
      </c>
      <c r="S1" s="9" t="s">
        <v>5663</v>
      </c>
      <c r="T1" s="9" t="s">
        <v>5664</v>
      </c>
      <c r="U1" s="9" t="s">
        <v>5665</v>
      </c>
      <c r="V1" s="9" t="s">
        <v>5666</v>
      </c>
      <c r="W1" s="9" t="s">
        <v>5667</v>
      </c>
      <c r="X1" s="9" t="s">
        <v>5668</v>
      </c>
      <c r="Y1" s="9" t="s">
        <v>5669</v>
      </c>
      <c r="Z1" s="9" t="s">
        <v>5670</v>
      </c>
      <c r="AA1" s="9" t="s">
        <v>5671</v>
      </c>
      <c r="AB1" s="9" t="s">
        <v>5672</v>
      </c>
      <c r="AC1" s="9" t="s">
        <v>5673</v>
      </c>
      <c r="AD1" s="9" t="s">
        <v>5674</v>
      </c>
      <c r="AE1" s="9" t="s">
        <v>5675</v>
      </c>
      <c r="AF1" s="9" t="s">
        <v>5676</v>
      </c>
      <c r="AG1" s="9" t="s">
        <v>5677</v>
      </c>
    </row>
    <row r="2" customFormat="false" ht="35.05" hidden="false" customHeight="false" outlineLevel="0" collapsed="false">
      <c r="A2" s="15" t="str">
        <f aca="false">"B"&amp;TEXT(ROW()-1,"0000")</f>
        <v>B0001</v>
      </c>
      <c r="B2" s="17" t="s">
        <v>5678</v>
      </c>
      <c r="C2" s="15" t="n">
        <v>1</v>
      </c>
      <c r="D2" s="15" t="s">
        <v>82</v>
      </c>
      <c r="E2" s="15" t="s">
        <v>5679</v>
      </c>
      <c r="F2" s="3" t="s">
        <v>5003</v>
      </c>
      <c r="G2" s="15" t="s">
        <v>4999</v>
      </c>
      <c r="H2" s="15" t="s">
        <v>5680</v>
      </c>
      <c r="I2" s="20" t="str">
        <f aca="false">IFERROR(INDEX('Nationwide KWs'!$D$2:$D$158,MATCH(H2,'Nationwide KWs'!$A$2:$A$158,0)),IFERROR(INDEX('Provincial KWs'!$E$2:$E$137,MATCH(H2,'Provincial KWs'!$A$2:$A$137,0)),IFERROR(INDEX('City KWs'!$F$2:$F$419,MATCH(H2,'City KWs'!$A$2:$A$419,0)),"")))</f>
        <v/>
      </c>
      <c r="J2" s="15"/>
      <c r="K2" s="3" t="s">
        <v>5681</v>
      </c>
      <c r="L2" s="15" t="s">
        <v>5682</v>
      </c>
      <c r="M2" s="15"/>
      <c r="N2" s="15"/>
      <c r="O2" s="3" t="s">
        <v>5001</v>
      </c>
      <c r="P2" s="15" t="n">
        <f aca="false">LEN(O2)</f>
        <v>51</v>
      </c>
      <c r="Q2" s="3" t="s">
        <v>5002</v>
      </c>
      <c r="R2" s="15" t="n">
        <f aca="false">LEN(Q2)</f>
        <v>151</v>
      </c>
      <c r="S2" s="15" t="str">
        <f aca="false">IF(H2="","",IF(ISNUMBER(SEARCH(SUBSTITUTE(H2,"-"," "),SUBSTITUTE(O2,"-"," "))),"Yes","Check"))</f>
        <v>Yes</v>
      </c>
      <c r="T2" s="3"/>
      <c r="U2" s="3" t="s">
        <v>5683</v>
      </c>
      <c r="V2" s="3"/>
      <c r="W2" s="3"/>
      <c r="X2" s="3"/>
      <c r="Y2" s="15" t="s">
        <v>5684</v>
      </c>
      <c r="Z2" s="16"/>
      <c r="AA2" s="3"/>
      <c r="AB2" s="3" t="s">
        <v>5685</v>
      </c>
      <c r="AC2" s="3" t="s">
        <v>5686</v>
      </c>
      <c r="AD2" s="15" t="s">
        <v>5687</v>
      </c>
      <c r="AE2" s="17"/>
      <c r="AF2" s="17"/>
      <c r="AG2" s="17" t="s">
        <v>5688</v>
      </c>
    </row>
    <row r="3" customFormat="false" ht="35.05" hidden="false" customHeight="false" outlineLevel="0" collapsed="false">
      <c r="A3" s="15" t="str">
        <f aca="false">"B"&amp;TEXT(ROW()-1,"0000")</f>
        <v>B0002</v>
      </c>
      <c r="B3" s="17" t="s">
        <v>5678</v>
      </c>
      <c r="C3" s="15" t="n">
        <v>1</v>
      </c>
      <c r="D3" s="15" t="s">
        <v>84</v>
      </c>
      <c r="E3" s="15" t="s">
        <v>5689</v>
      </c>
      <c r="F3" s="3" t="s">
        <v>5010</v>
      </c>
      <c r="G3" s="15" t="s">
        <v>5007</v>
      </c>
      <c r="H3" s="15" t="s">
        <v>5690</v>
      </c>
      <c r="I3" s="20" t="str">
        <f aca="false">IFERROR(INDEX('Nationwide KWs'!$D$2:$D$158,MATCH(H3,'Nationwide KWs'!$A$2:$A$158,0)),IFERROR(INDEX('Provincial KWs'!$E$2:$E$137,MATCH(H3,'Provincial KWs'!$A$2:$A$137,0)),IFERROR(INDEX('City KWs'!$F$2:$F$419,MATCH(H3,'City KWs'!$A$2:$A$419,0)),"")))</f>
        <v/>
      </c>
      <c r="J3" s="15"/>
      <c r="K3" s="3" t="s">
        <v>5691</v>
      </c>
      <c r="L3" s="15" t="s">
        <v>5682</v>
      </c>
      <c r="M3" s="15"/>
      <c r="N3" s="15"/>
      <c r="O3" s="3" t="s">
        <v>5008</v>
      </c>
      <c r="P3" s="15" t="n">
        <f aca="false">LEN(O3)</f>
        <v>51</v>
      </c>
      <c r="Q3" s="3" t="s">
        <v>5009</v>
      </c>
      <c r="R3" s="15" t="n">
        <f aca="false">LEN(Q3)</f>
        <v>152</v>
      </c>
      <c r="S3" s="15" t="str">
        <f aca="false">IF(H3="","",IF(ISNUMBER(SEARCH(SUBSTITUTE(H3,"-"," "),SUBSTITUTE(O3,"-"," "))),"Yes","Check"))</f>
        <v>Yes</v>
      </c>
      <c r="T3" s="3"/>
      <c r="U3" s="3" t="s">
        <v>5692</v>
      </c>
      <c r="V3" s="3"/>
      <c r="W3" s="3"/>
      <c r="X3" s="3"/>
      <c r="Y3" s="15" t="s">
        <v>5684</v>
      </c>
      <c r="Z3" s="16"/>
      <c r="AA3" s="3"/>
      <c r="AB3" s="3" t="s">
        <v>5685</v>
      </c>
      <c r="AC3" s="3" t="s">
        <v>5686</v>
      </c>
      <c r="AD3" s="15" t="s">
        <v>5687</v>
      </c>
      <c r="AE3" s="17"/>
      <c r="AF3" s="17"/>
      <c r="AG3" s="17" t="s">
        <v>5688</v>
      </c>
    </row>
    <row r="4" customFormat="false" ht="35.05" hidden="false" customHeight="false" outlineLevel="0" collapsed="false">
      <c r="A4" s="15" t="str">
        <f aca="false">"B"&amp;TEXT(ROW()-1,"0000")</f>
        <v>B0003</v>
      </c>
      <c r="B4" s="17" t="s">
        <v>5678</v>
      </c>
      <c r="C4" s="15" t="n">
        <v>1</v>
      </c>
      <c r="D4" s="15" t="s">
        <v>85</v>
      </c>
      <c r="E4" s="15" t="s">
        <v>5689</v>
      </c>
      <c r="F4" s="3" t="s">
        <v>5016</v>
      </c>
      <c r="G4" s="15" t="s">
        <v>5013</v>
      </c>
      <c r="H4" s="15" t="s">
        <v>5693</v>
      </c>
      <c r="I4" s="20" t="str">
        <f aca="false">IFERROR(INDEX('Nationwide KWs'!$D$2:$D$158,MATCH(H4,'Nationwide KWs'!$A$2:$A$158,0)),IFERROR(INDEX('Provincial KWs'!$E$2:$E$137,MATCH(H4,'Provincial KWs'!$A$2:$A$137,0)),IFERROR(INDEX('City KWs'!$F$2:$F$419,MATCH(H4,'City KWs'!$A$2:$A$419,0)),"")))</f>
        <v/>
      </c>
      <c r="J4" s="15"/>
      <c r="K4" s="3" t="s">
        <v>5694</v>
      </c>
      <c r="L4" s="15" t="s">
        <v>5695</v>
      </c>
      <c r="M4" s="15"/>
      <c r="N4" s="15"/>
      <c r="O4" s="3" t="s">
        <v>5016</v>
      </c>
      <c r="P4" s="15" t="n">
        <f aca="false">LEN(O4)</f>
        <v>48</v>
      </c>
      <c r="Q4" s="3" t="s">
        <v>5015</v>
      </c>
      <c r="R4" s="15" t="n">
        <f aca="false">LEN(Q4)</f>
        <v>157</v>
      </c>
      <c r="S4" s="15" t="str">
        <f aca="false">IF(H4="","",IF(ISNUMBER(SEARCH(SUBSTITUTE(H4,"-"," "),SUBSTITUTE(O4,"-"," "))),"Yes","Check"))</f>
        <v>Yes</v>
      </c>
      <c r="T4" s="3"/>
      <c r="U4" s="3" t="s">
        <v>5696</v>
      </c>
      <c r="V4" s="3"/>
      <c r="W4" s="3"/>
      <c r="X4" s="3"/>
      <c r="Y4" s="15" t="s">
        <v>5684</v>
      </c>
      <c r="Z4" s="16"/>
      <c r="AA4" s="3"/>
      <c r="AB4" s="3" t="s">
        <v>5685</v>
      </c>
      <c r="AC4" s="3" t="s">
        <v>5686</v>
      </c>
      <c r="AD4" s="15" t="s">
        <v>5687</v>
      </c>
      <c r="AE4" s="17"/>
      <c r="AF4" s="17"/>
      <c r="AG4" s="17" t="s">
        <v>5688</v>
      </c>
    </row>
    <row r="5" customFormat="false" ht="46.25" hidden="false" customHeight="false" outlineLevel="0" collapsed="false">
      <c r="A5" s="15" t="str">
        <f aca="false">"B"&amp;TEXT(ROW()-1,"0000")</f>
        <v>B0004</v>
      </c>
      <c r="B5" s="17" t="s">
        <v>5678</v>
      </c>
      <c r="C5" s="15" t="n">
        <v>1</v>
      </c>
      <c r="D5" s="15" t="s">
        <v>76</v>
      </c>
      <c r="E5" s="15" t="s">
        <v>5697</v>
      </c>
      <c r="F5" s="3" t="s">
        <v>5022</v>
      </c>
      <c r="G5" s="15" t="s">
        <v>5019</v>
      </c>
      <c r="H5" s="15" t="s">
        <v>5023</v>
      </c>
      <c r="I5" s="20" t="n">
        <f aca="false">IFERROR(INDEX('Nationwide KWs'!$D$2:$D$158,MATCH(H5,'Nationwide KWs'!$A$2:$A$158,0)),IFERROR(INDEX('Provincial KWs'!$E$2:$E$137,MATCH(H5,'Provincial KWs'!$A$2:$A$137,0)),IFERROR(INDEX('City KWs'!$F$2:$F$419,MATCH(H5,'City KWs'!$A$2:$A$419,0)),"")))</f>
        <v>390</v>
      </c>
      <c r="J5" s="15"/>
      <c r="K5" s="3" t="s">
        <v>5698</v>
      </c>
      <c r="L5" s="15" t="s">
        <v>147</v>
      </c>
      <c r="M5" s="15"/>
      <c r="N5" s="15"/>
      <c r="O5" s="3" t="s">
        <v>5699</v>
      </c>
      <c r="P5" s="15" t="n">
        <f aca="false">LEN(O5)</f>
        <v>50</v>
      </c>
      <c r="Q5" s="3" t="s">
        <v>5021</v>
      </c>
      <c r="R5" s="15" t="n">
        <f aca="false">LEN(Q5)</f>
        <v>147</v>
      </c>
      <c r="S5" s="15" t="str">
        <f aca="false">IF(H5="","",IF(ISNUMBER(SEARCH(SUBSTITUTE(H5,"-"," "),SUBSTITUTE(O5,"-"," "))),"Yes","Check"))</f>
        <v>Yes</v>
      </c>
      <c r="T5" s="3"/>
      <c r="U5" s="3" t="s">
        <v>5700</v>
      </c>
      <c r="V5" s="3"/>
      <c r="W5" s="3"/>
      <c r="X5" s="3"/>
      <c r="Y5" s="15" t="s">
        <v>5684</v>
      </c>
      <c r="Z5" s="16"/>
      <c r="AA5" s="3"/>
      <c r="AB5" s="3" t="s">
        <v>5685</v>
      </c>
      <c r="AC5" s="3" t="s">
        <v>5686</v>
      </c>
      <c r="AD5" s="15" t="s">
        <v>5687</v>
      </c>
      <c r="AE5" s="17"/>
      <c r="AF5" s="17"/>
      <c r="AG5" s="17" t="s">
        <v>5688</v>
      </c>
    </row>
    <row r="6" customFormat="false" ht="46.25" hidden="false" customHeight="false" outlineLevel="0" collapsed="false">
      <c r="A6" s="15" t="str">
        <f aca="false">"B"&amp;TEXT(ROW()-1,"0000")</f>
        <v>B0005</v>
      </c>
      <c r="B6" s="17" t="s">
        <v>5678</v>
      </c>
      <c r="C6" s="15" t="n">
        <v>1</v>
      </c>
      <c r="D6" s="15" t="s">
        <v>84</v>
      </c>
      <c r="E6" s="15" t="s">
        <v>5689</v>
      </c>
      <c r="F6" s="3" t="s">
        <v>5028</v>
      </c>
      <c r="G6" s="15" t="s">
        <v>5025</v>
      </c>
      <c r="H6" s="15" t="s">
        <v>5029</v>
      </c>
      <c r="I6" s="20" t="n">
        <f aca="false">IFERROR(INDEX('Nationwide KWs'!$D$2:$D$158,MATCH(H6,'Nationwide KWs'!$A$2:$A$158,0)),IFERROR(INDEX('Provincial KWs'!$E$2:$E$137,MATCH(H6,'Provincial KWs'!$A$2:$A$137,0)),IFERROR(INDEX('City KWs'!$F$2:$F$419,MATCH(H6,'City KWs'!$A$2:$A$419,0)),"")))</f>
        <v>1600</v>
      </c>
      <c r="J6" s="15"/>
      <c r="K6" s="3" t="s">
        <v>5701</v>
      </c>
      <c r="L6" s="15" t="s">
        <v>147</v>
      </c>
      <c r="M6" s="15"/>
      <c r="N6" s="15"/>
      <c r="O6" s="3" t="s">
        <v>5028</v>
      </c>
      <c r="P6" s="15" t="n">
        <f aca="false">LEN(O6)</f>
        <v>49</v>
      </c>
      <c r="Q6" s="3" t="s">
        <v>5027</v>
      </c>
      <c r="R6" s="15" t="n">
        <f aca="false">LEN(Q6)</f>
        <v>155</v>
      </c>
      <c r="S6" s="15" t="str">
        <f aca="false">IF(H6="","",IF(ISNUMBER(SEARCH(SUBSTITUTE(H6,"-"," "),SUBSTITUTE(O6,"-"," "))),"Yes","Check"))</f>
        <v>Yes</v>
      </c>
      <c r="T6" s="3"/>
      <c r="U6" s="3" t="s">
        <v>5702</v>
      </c>
      <c r="V6" s="3"/>
      <c r="W6" s="3"/>
      <c r="X6" s="3"/>
      <c r="Y6" s="15" t="s">
        <v>5684</v>
      </c>
      <c r="Z6" s="16"/>
      <c r="AA6" s="3"/>
      <c r="AB6" s="3" t="s">
        <v>5685</v>
      </c>
      <c r="AC6" s="3" t="s">
        <v>5686</v>
      </c>
      <c r="AD6" s="15" t="s">
        <v>5687</v>
      </c>
      <c r="AE6" s="17"/>
      <c r="AF6" s="17"/>
      <c r="AG6" s="17" t="s">
        <v>5688</v>
      </c>
    </row>
    <row r="7" customFormat="false" ht="35.05" hidden="false" customHeight="false" outlineLevel="0" collapsed="false">
      <c r="A7" s="15" t="str">
        <f aca="false">"B"&amp;TEXT(ROW()-1,"0000")</f>
        <v>B0006</v>
      </c>
      <c r="B7" s="17" t="s">
        <v>5678</v>
      </c>
      <c r="C7" s="15" t="n">
        <v>1</v>
      </c>
      <c r="D7" s="15" t="s">
        <v>82</v>
      </c>
      <c r="E7" s="15" t="s">
        <v>5679</v>
      </c>
      <c r="F7" s="3" t="s">
        <v>5034</v>
      </c>
      <c r="G7" s="15" t="s">
        <v>5031</v>
      </c>
      <c r="H7" s="15" t="s">
        <v>5035</v>
      </c>
      <c r="I7" s="20" t="str">
        <f aca="false">IFERROR(INDEX('Nationwide KWs'!$D$2:$D$158,MATCH(H7,'Nationwide KWs'!$A$2:$A$158,0)),IFERROR(INDEX('Provincial KWs'!$E$2:$E$137,MATCH(H7,'Provincial KWs'!$A$2:$A$137,0)),IFERROR(INDEX('City KWs'!$F$2:$F$419,MATCH(H7,'City KWs'!$A$2:$A$419,0)),"")))</f>
        <v/>
      </c>
      <c r="J7" s="15"/>
      <c r="K7" s="3" t="s">
        <v>5703</v>
      </c>
      <c r="L7" s="15" t="s">
        <v>5704</v>
      </c>
      <c r="M7" s="15"/>
      <c r="N7" s="15"/>
      <c r="O7" s="3" t="s">
        <v>5705</v>
      </c>
      <c r="P7" s="15" t="n">
        <f aca="false">LEN(O7)</f>
        <v>50</v>
      </c>
      <c r="Q7" s="3" t="s">
        <v>5033</v>
      </c>
      <c r="R7" s="15" t="n">
        <f aca="false">LEN(Q7)</f>
        <v>145</v>
      </c>
      <c r="S7" s="15" t="str">
        <f aca="false">IF(H7="","",IF(ISNUMBER(SEARCH(SUBSTITUTE(H7,"-"," "),SUBSTITUTE(O7,"-"," "))),"Yes","Check"))</f>
        <v>Yes</v>
      </c>
      <c r="T7" s="3"/>
      <c r="U7" s="3" t="s">
        <v>5706</v>
      </c>
      <c r="V7" s="3"/>
      <c r="W7" s="3"/>
      <c r="X7" s="3"/>
      <c r="Y7" s="15" t="s">
        <v>5684</v>
      </c>
      <c r="Z7" s="16"/>
      <c r="AA7" s="3"/>
      <c r="AB7" s="3" t="s">
        <v>5685</v>
      </c>
      <c r="AC7" s="3" t="s">
        <v>5686</v>
      </c>
      <c r="AD7" s="15" t="s">
        <v>5687</v>
      </c>
      <c r="AE7" s="17"/>
      <c r="AF7" s="17"/>
      <c r="AG7" s="17" t="s">
        <v>5688</v>
      </c>
    </row>
    <row r="8" customFormat="false" ht="35.05" hidden="false" customHeight="false" outlineLevel="0" collapsed="false">
      <c r="A8" s="15" t="str">
        <f aca="false">"B"&amp;TEXT(ROW()-1,"0000")</f>
        <v>B0007</v>
      </c>
      <c r="B8" s="17" t="s">
        <v>5678</v>
      </c>
      <c r="C8" s="15" t="n">
        <v>1</v>
      </c>
      <c r="D8" s="15" t="s">
        <v>74</v>
      </c>
      <c r="E8" s="15" t="s">
        <v>5707</v>
      </c>
      <c r="F8" s="3" t="s">
        <v>5040</v>
      </c>
      <c r="G8" s="15" t="s">
        <v>5037</v>
      </c>
      <c r="H8" s="15" t="s">
        <v>5041</v>
      </c>
      <c r="I8" s="20" t="n">
        <f aca="false">IFERROR(INDEX('Nationwide KWs'!$D$2:$D$158,MATCH(H8,'Nationwide KWs'!$A$2:$A$158,0)),IFERROR(INDEX('Provincial KWs'!$E$2:$E$137,MATCH(H8,'Provincial KWs'!$A$2:$A$137,0)),IFERROR(INDEX('City KWs'!$F$2:$F$419,MATCH(H8,'City KWs'!$A$2:$A$419,0)),"")))</f>
        <v>1600</v>
      </c>
      <c r="J8" s="15"/>
      <c r="K8" s="3" t="s">
        <v>5708</v>
      </c>
      <c r="L8" s="15" t="s">
        <v>147</v>
      </c>
      <c r="M8" s="15"/>
      <c r="N8" s="15"/>
      <c r="O8" s="3" t="s">
        <v>5038</v>
      </c>
      <c r="P8" s="15" t="n">
        <f aca="false">LEN(O8)</f>
        <v>51</v>
      </c>
      <c r="Q8" s="3" t="s">
        <v>5039</v>
      </c>
      <c r="R8" s="15" t="n">
        <f aca="false">LEN(Q8)</f>
        <v>152</v>
      </c>
      <c r="S8" s="15" t="str">
        <f aca="false">IF(H8="","",IF(ISNUMBER(SEARCH(SUBSTITUTE(H8,"-"," "),SUBSTITUTE(O8,"-"," "))),"Yes","Check"))</f>
        <v>Yes</v>
      </c>
      <c r="T8" s="3"/>
      <c r="U8" s="3" t="s">
        <v>5709</v>
      </c>
      <c r="V8" s="3"/>
      <c r="W8" s="3"/>
      <c r="X8" s="3"/>
      <c r="Y8" s="15" t="s">
        <v>5684</v>
      </c>
      <c r="Z8" s="16"/>
      <c r="AA8" s="3"/>
      <c r="AB8" s="3" t="s">
        <v>5685</v>
      </c>
      <c r="AC8" s="3" t="s">
        <v>5686</v>
      </c>
      <c r="AD8" s="15" t="s">
        <v>5687</v>
      </c>
      <c r="AE8" s="17"/>
      <c r="AF8" s="17"/>
      <c r="AG8" s="17" t="s">
        <v>5688</v>
      </c>
    </row>
    <row r="9" customFormat="false" ht="46.25" hidden="false" customHeight="false" outlineLevel="0" collapsed="false">
      <c r="A9" s="15" t="str">
        <f aca="false">"B"&amp;TEXT(ROW()-1,"0000")</f>
        <v>B0008</v>
      </c>
      <c r="B9" s="17" t="s">
        <v>5678</v>
      </c>
      <c r="C9" s="15" t="n">
        <v>1</v>
      </c>
      <c r="D9" s="15" t="s">
        <v>74</v>
      </c>
      <c r="E9" s="15" t="s">
        <v>5707</v>
      </c>
      <c r="F9" s="3" t="s">
        <v>5046</v>
      </c>
      <c r="G9" s="15" t="s">
        <v>5043</v>
      </c>
      <c r="H9" s="15" t="s">
        <v>5047</v>
      </c>
      <c r="I9" s="20" t="n">
        <f aca="false">IFERROR(INDEX('Nationwide KWs'!$D$2:$D$158,MATCH(H9,'Nationwide KWs'!$A$2:$A$158,0)),IFERROR(INDEX('Provincial KWs'!$E$2:$E$137,MATCH(H9,'Provincial KWs'!$A$2:$A$137,0)),IFERROR(INDEX('City KWs'!$F$2:$F$419,MATCH(H9,'City KWs'!$A$2:$A$419,0)),"")))</f>
        <v>1900</v>
      </c>
      <c r="J9" s="15"/>
      <c r="K9" s="3" t="s">
        <v>5710</v>
      </c>
      <c r="L9" s="15" t="s">
        <v>147</v>
      </c>
      <c r="M9" s="15"/>
      <c r="N9" s="15"/>
      <c r="O9" s="3" t="s">
        <v>5044</v>
      </c>
      <c r="P9" s="15" t="n">
        <f aca="false">LEN(O9)</f>
        <v>54</v>
      </c>
      <c r="Q9" s="3" t="s">
        <v>5045</v>
      </c>
      <c r="R9" s="15" t="n">
        <f aca="false">LEN(Q9)</f>
        <v>148</v>
      </c>
      <c r="S9" s="15" t="str">
        <f aca="false">IF(H9="","",IF(ISNUMBER(SEARCH(SUBSTITUTE(H9,"-"," "),SUBSTITUTE(O9,"-"," "))),"Yes","Check"))</f>
        <v>Yes</v>
      </c>
      <c r="T9" s="3"/>
      <c r="U9" s="3" t="s">
        <v>5711</v>
      </c>
      <c r="V9" s="3"/>
      <c r="W9" s="3"/>
      <c r="X9" s="3"/>
      <c r="Y9" s="15" t="s">
        <v>5684</v>
      </c>
      <c r="Z9" s="16"/>
      <c r="AA9" s="3"/>
      <c r="AB9" s="3" t="s">
        <v>5685</v>
      </c>
      <c r="AC9" s="3" t="s">
        <v>5686</v>
      </c>
      <c r="AD9" s="15" t="s">
        <v>5687</v>
      </c>
      <c r="AE9" s="17"/>
      <c r="AF9" s="17"/>
      <c r="AG9" s="17" t="s">
        <v>5688</v>
      </c>
    </row>
    <row r="10" customFormat="false" ht="35.05" hidden="false" customHeight="false" outlineLevel="0" collapsed="false">
      <c r="A10" s="15" t="str">
        <f aca="false">"B"&amp;TEXT(ROW()-1,"0000")</f>
        <v>B0009</v>
      </c>
      <c r="B10" s="17" t="s">
        <v>5678</v>
      </c>
      <c r="C10" s="15" t="n">
        <v>1</v>
      </c>
      <c r="D10" s="15" t="s">
        <v>82</v>
      </c>
      <c r="E10" s="15" t="s">
        <v>5679</v>
      </c>
      <c r="F10" s="3" t="s">
        <v>5052</v>
      </c>
      <c r="G10" s="15" t="s">
        <v>5049</v>
      </c>
      <c r="H10" s="15" t="s">
        <v>5053</v>
      </c>
      <c r="I10" s="20" t="n">
        <f aca="false">IFERROR(INDEX('Nationwide KWs'!$D$2:$D$158,MATCH(H10,'Nationwide KWs'!$A$2:$A$158,0)),IFERROR(INDEX('Provincial KWs'!$E$2:$E$137,MATCH(H10,'Provincial KWs'!$A$2:$A$137,0)),IFERROR(INDEX('City KWs'!$F$2:$F$419,MATCH(H10,'City KWs'!$A$2:$A$419,0)),"")))</f>
        <v>1300</v>
      </c>
      <c r="J10" s="15"/>
      <c r="K10" s="3" t="s">
        <v>5712</v>
      </c>
      <c r="L10" s="15" t="s">
        <v>5713</v>
      </c>
      <c r="M10" s="15"/>
      <c r="N10" s="15"/>
      <c r="O10" s="3" t="s">
        <v>5050</v>
      </c>
      <c r="P10" s="15" t="n">
        <f aca="false">LEN(O10)</f>
        <v>52</v>
      </c>
      <c r="Q10" s="3" t="s">
        <v>5051</v>
      </c>
      <c r="R10" s="15" t="n">
        <f aca="false">LEN(Q10)</f>
        <v>156</v>
      </c>
      <c r="S10" s="15" t="str">
        <f aca="false">IF(H10="","",IF(ISNUMBER(SEARCH(SUBSTITUTE(H10,"-"," "),SUBSTITUTE(O10,"-"," "))),"Yes","Check"))</f>
        <v>Yes</v>
      </c>
      <c r="T10" s="3"/>
      <c r="U10" s="3" t="s">
        <v>5714</v>
      </c>
      <c r="V10" s="3"/>
      <c r="W10" s="3"/>
      <c r="X10" s="3"/>
      <c r="Y10" s="15" t="s">
        <v>5684</v>
      </c>
      <c r="Z10" s="16"/>
      <c r="AA10" s="3"/>
      <c r="AB10" s="3" t="s">
        <v>5685</v>
      </c>
      <c r="AC10" s="3" t="s">
        <v>5686</v>
      </c>
      <c r="AD10" s="15" t="s">
        <v>5687</v>
      </c>
      <c r="AE10" s="17"/>
      <c r="AF10" s="17"/>
      <c r="AG10" s="17" t="s">
        <v>5688</v>
      </c>
    </row>
    <row r="11" customFormat="false" ht="46.25" hidden="false" customHeight="false" outlineLevel="0" collapsed="false">
      <c r="A11" s="15" t="str">
        <f aca="false">"B"&amp;TEXT(ROW()-1,"0000")</f>
        <v>B0010</v>
      </c>
      <c r="B11" s="17" t="s">
        <v>5678</v>
      </c>
      <c r="C11" s="15" t="n">
        <v>1</v>
      </c>
      <c r="D11" s="15" t="s">
        <v>74</v>
      </c>
      <c r="E11" s="15" t="s">
        <v>5707</v>
      </c>
      <c r="F11" s="3" t="s">
        <v>5058</v>
      </c>
      <c r="G11" s="15" t="s">
        <v>5055</v>
      </c>
      <c r="H11" s="15" t="s">
        <v>5715</v>
      </c>
      <c r="I11" s="20" t="str">
        <f aca="false">IFERROR(INDEX('Nationwide KWs'!$D$2:$D$158,MATCH(H11,'Nationwide KWs'!$A$2:$A$158,0)),IFERROR(INDEX('Provincial KWs'!$E$2:$E$137,MATCH(H11,'Provincial KWs'!$A$2:$A$137,0)),IFERROR(INDEX('City KWs'!$F$2:$F$419,MATCH(H11,'City KWs'!$A$2:$A$419,0)),"")))</f>
        <v/>
      </c>
      <c r="J11" s="15"/>
      <c r="K11" s="3" t="s">
        <v>5716</v>
      </c>
      <c r="L11" s="15" t="s">
        <v>147</v>
      </c>
      <c r="M11" s="15"/>
      <c r="N11" s="15"/>
      <c r="O11" s="3" t="s">
        <v>5056</v>
      </c>
      <c r="P11" s="15" t="n">
        <f aca="false">LEN(O11)</f>
        <v>51</v>
      </c>
      <c r="Q11" s="3" t="s">
        <v>5057</v>
      </c>
      <c r="R11" s="15" t="n">
        <f aca="false">LEN(Q11)</f>
        <v>158</v>
      </c>
      <c r="S11" s="15" t="str">
        <f aca="false">IF(H11="","",IF(ISNUMBER(SEARCH(SUBSTITUTE(H11,"-"," "),SUBSTITUTE(O11,"-"," "))),"Yes","Check"))</f>
        <v>Yes</v>
      </c>
      <c r="T11" s="3"/>
      <c r="U11" s="3" t="s">
        <v>5717</v>
      </c>
      <c r="V11" s="3"/>
      <c r="W11" s="3"/>
      <c r="X11" s="3"/>
      <c r="Y11" s="15" t="s">
        <v>5684</v>
      </c>
      <c r="Z11" s="16"/>
      <c r="AA11" s="3"/>
      <c r="AB11" s="3" t="s">
        <v>5685</v>
      </c>
      <c r="AC11" s="3" t="s">
        <v>5686</v>
      </c>
      <c r="AD11" s="15" t="s">
        <v>5687</v>
      </c>
      <c r="AE11" s="17"/>
      <c r="AF11" s="17"/>
      <c r="AG11" s="17" t="s">
        <v>5688</v>
      </c>
    </row>
    <row r="12" customFormat="false" ht="46.25" hidden="false" customHeight="false" outlineLevel="0" collapsed="false">
      <c r="A12" s="15" t="str">
        <f aca="false">"B"&amp;TEXT(ROW()-1,"0000")</f>
        <v>B0011</v>
      </c>
      <c r="B12" s="17" t="s">
        <v>5678</v>
      </c>
      <c r="C12" s="15" t="n">
        <v>1</v>
      </c>
      <c r="D12" s="15" t="s">
        <v>75</v>
      </c>
      <c r="E12" s="15" t="s">
        <v>5707</v>
      </c>
      <c r="F12" s="3" t="s">
        <v>5063</v>
      </c>
      <c r="G12" s="15" t="s">
        <v>5060</v>
      </c>
      <c r="H12" s="15" t="s">
        <v>5718</v>
      </c>
      <c r="I12" s="20" t="str">
        <f aca="false">IFERROR(INDEX('Nationwide KWs'!$D$2:$D$158,MATCH(H12,'Nationwide KWs'!$A$2:$A$158,0)),IFERROR(INDEX('Provincial KWs'!$E$2:$E$137,MATCH(H12,'Provincial KWs'!$A$2:$A$137,0)),IFERROR(INDEX('City KWs'!$F$2:$F$419,MATCH(H12,'City KWs'!$A$2:$A$419,0)),"")))</f>
        <v/>
      </c>
      <c r="J12" s="15"/>
      <c r="K12" s="3" t="s">
        <v>5719</v>
      </c>
      <c r="L12" s="15" t="s">
        <v>147</v>
      </c>
      <c r="M12" s="15"/>
      <c r="N12" s="15"/>
      <c r="O12" s="3" t="s">
        <v>5061</v>
      </c>
      <c r="P12" s="15" t="n">
        <f aca="false">LEN(O12)</f>
        <v>53</v>
      </c>
      <c r="Q12" s="3" t="s">
        <v>5062</v>
      </c>
      <c r="R12" s="15" t="n">
        <f aca="false">LEN(Q12)</f>
        <v>152</v>
      </c>
      <c r="S12" s="15" t="str">
        <f aca="false">IF(H12="","",IF(ISNUMBER(SEARCH(SUBSTITUTE(H12,"-"," "),SUBSTITUTE(O12,"-"," "))),"Yes","Check"))</f>
        <v>Yes</v>
      </c>
      <c r="T12" s="3"/>
      <c r="U12" s="3" t="s">
        <v>5720</v>
      </c>
      <c r="V12" s="3"/>
      <c r="W12" s="3"/>
      <c r="X12" s="3"/>
      <c r="Y12" s="15" t="s">
        <v>5684</v>
      </c>
      <c r="Z12" s="16"/>
      <c r="AA12" s="3"/>
      <c r="AB12" s="3" t="s">
        <v>5685</v>
      </c>
      <c r="AC12" s="3" t="s">
        <v>5686</v>
      </c>
      <c r="AD12" s="15" t="s">
        <v>5687</v>
      </c>
      <c r="AE12" s="17"/>
      <c r="AF12" s="17"/>
      <c r="AG12" s="17" t="s">
        <v>5688</v>
      </c>
    </row>
    <row r="13" customFormat="false" ht="46.25" hidden="false" customHeight="false" outlineLevel="0" collapsed="false">
      <c r="A13" s="15" t="str">
        <f aca="false">"B"&amp;TEXT(ROW()-1,"0000")</f>
        <v>B0012</v>
      </c>
      <c r="B13" s="17" t="s">
        <v>5678</v>
      </c>
      <c r="C13" s="15" t="n">
        <v>1</v>
      </c>
      <c r="D13" s="15" t="s">
        <v>82</v>
      </c>
      <c r="E13" s="15" t="s">
        <v>5679</v>
      </c>
      <c r="F13" s="3" t="s">
        <v>5069</v>
      </c>
      <c r="G13" s="15" t="s">
        <v>5066</v>
      </c>
      <c r="H13" s="15" t="s">
        <v>5721</v>
      </c>
      <c r="I13" s="20" t="str">
        <f aca="false">IFERROR(INDEX('Nationwide KWs'!$D$2:$D$158,MATCH(H13,'Nationwide KWs'!$A$2:$A$158,0)),IFERROR(INDEX('Provincial KWs'!$E$2:$E$137,MATCH(H13,'Provincial KWs'!$A$2:$A$137,0)),IFERROR(INDEX('City KWs'!$F$2:$F$419,MATCH(H13,'City KWs'!$A$2:$A$419,0)),"")))</f>
        <v/>
      </c>
      <c r="J13" s="15"/>
      <c r="K13" s="3" t="s">
        <v>5722</v>
      </c>
      <c r="L13" s="15" t="s">
        <v>5704</v>
      </c>
      <c r="M13" s="15"/>
      <c r="N13" s="15"/>
      <c r="O13" s="3" t="s">
        <v>5067</v>
      </c>
      <c r="P13" s="15" t="n">
        <f aca="false">LEN(O13)</f>
        <v>57</v>
      </c>
      <c r="Q13" s="3" t="s">
        <v>5068</v>
      </c>
      <c r="R13" s="15" t="n">
        <f aca="false">LEN(Q13)</f>
        <v>150</v>
      </c>
      <c r="S13" s="15" t="str">
        <f aca="false">IF(H13="","",IF(ISNUMBER(SEARCH(SUBSTITUTE(H13,"-"," "),SUBSTITUTE(O13,"-"," "))),"Yes","Check"))</f>
        <v>Yes</v>
      </c>
      <c r="T13" s="3"/>
      <c r="U13" s="3" t="s">
        <v>5723</v>
      </c>
      <c r="V13" s="3"/>
      <c r="W13" s="3"/>
      <c r="X13" s="3"/>
      <c r="Y13" s="15" t="s">
        <v>5684</v>
      </c>
      <c r="Z13" s="16"/>
      <c r="AA13" s="3"/>
      <c r="AB13" s="3" t="s">
        <v>5685</v>
      </c>
      <c r="AC13" s="3" t="s">
        <v>5686</v>
      </c>
      <c r="AD13" s="15" t="s">
        <v>5687</v>
      </c>
      <c r="AE13" s="17"/>
      <c r="AF13" s="17"/>
      <c r="AG13" s="17" t="s">
        <v>5688</v>
      </c>
    </row>
    <row r="14" customFormat="false" ht="35.05" hidden="false" customHeight="false" outlineLevel="0" collapsed="false">
      <c r="A14" s="15" t="str">
        <f aca="false">"B"&amp;TEXT(ROW()-1,"0000")</f>
        <v>B0013</v>
      </c>
      <c r="B14" s="17" t="s">
        <v>5678</v>
      </c>
      <c r="C14" s="15" t="n">
        <v>1</v>
      </c>
      <c r="D14" s="15" t="s">
        <v>78</v>
      </c>
      <c r="E14" s="15" t="s">
        <v>5697</v>
      </c>
      <c r="F14" s="3" t="s">
        <v>5075</v>
      </c>
      <c r="G14" s="15" t="s">
        <v>5072</v>
      </c>
      <c r="H14" s="15" t="s">
        <v>5724</v>
      </c>
      <c r="I14" s="20" t="str">
        <f aca="false">IFERROR(INDEX('Nationwide KWs'!$D$2:$D$158,MATCH(H14,'Nationwide KWs'!$A$2:$A$158,0)),IFERROR(INDEX('Provincial KWs'!$E$2:$E$137,MATCH(H14,'Provincial KWs'!$A$2:$A$137,0)),IFERROR(INDEX('City KWs'!$F$2:$F$419,MATCH(H14,'City KWs'!$A$2:$A$419,0)),"")))</f>
        <v/>
      </c>
      <c r="J14" s="15"/>
      <c r="K14" s="3" t="s">
        <v>5725</v>
      </c>
      <c r="L14" s="15" t="s">
        <v>147</v>
      </c>
      <c r="M14" s="15"/>
      <c r="N14" s="15"/>
      <c r="O14" s="3" t="s">
        <v>5073</v>
      </c>
      <c r="P14" s="15" t="n">
        <f aca="false">LEN(O14)</f>
        <v>53</v>
      </c>
      <c r="Q14" s="3" t="s">
        <v>5074</v>
      </c>
      <c r="R14" s="15" t="n">
        <f aca="false">LEN(Q14)</f>
        <v>156</v>
      </c>
      <c r="S14" s="15" t="str">
        <f aca="false">IF(H14="","",IF(ISNUMBER(SEARCH(SUBSTITUTE(H14,"-"," "),SUBSTITUTE(O14,"-"," "))),"Yes","Check"))</f>
        <v>Yes</v>
      </c>
      <c r="T14" s="3"/>
      <c r="U14" s="3" t="s">
        <v>5726</v>
      </c>
      <c r="V14" s="3"/>
      <c r="W14" s="3"/>
      <c r="X14" s="3"/>
      <c r="Y14" s="15" t="s">
        <v>5684</v>
      </c>
      <c r="Z14" s="16"/>
      <c r="AA14" s="3"/>
      <c r="AB14" s="3" t="s">
        <v>5685</v>
      </c>
      <c r="AC14" s="3" t="s">
        <v>5686</v>
      </c>
      <c r="AD14" s="15" t="s">
        <v>5687</v>
      </c>
      <c r="AE14" s="17"/>
      <c r="AF14" s="17"/>
      <c r="AG14" s="17" t="s">
        <v>5688</v>
      </c>
    </row>
    <row r="15" customFormat="false" ht="35.05" hidden="false" customHeight="false" outlineLevel="0" collapsed="false">
      <c r="A15" s="15" t="str">
        <f aca="false">"B"&amp;TEXT(ROW()-1,"0000")</f>
        <v>B0014</v>
      </c>
      <c r="B15" s="17" t="s">
        <v>5678</v>
      </c>
      <c r="C15" s="15" t="n">
        <v>1</v>
      </c>
      <c r="D15" s="15" t="s">
        <v>89</v>
      </c>
      <c r="E15" s="15" t="s">
        <v>5193</v>
      </c>
      <c r="F15" s="3" t="s">
        <v>5081</v>
      </c>
      <c r="G15" s="15" t="s">
        <v>5078</v>
      </c>
      <c r="H15" s="15" t="s">
        <v>5082</v>
      </c>
      <c r="I15" s="20" t="n">
        <f aca="false">IFERROR(INDEX('Nationwide KWs'!$D$2:$D$158,MATCH(H15,'Nationwide KWs'!$A$2:$A$158,0)),IFERROR(INDEX('Provincial KWs'!$E$2:$E$137,MATCH(H15,'Provincial KWs'!$A$2:$A$137,0)),IFERROR(INDEX('City KWs'!$F$2:$F$419,MATCH(H15,'City KWs'!$A$2:$A$419,0)),"")))</f>
        <v>720</v>
      </c>
      <c r="J15" s="15"/>
      <c r="K15" s="3" t="s">
        <v>5727</v>
      </c>
      <c r="L15" s="15" t="s">
        <v>147</v>
      </c>
      <c r="M15" s="15"/>
      <c r="N15" s="15"/>
      <c r="O15" s="3" t="s">
        <v>5079</v>
      </c>
      <c r="P15" s="15" t="n">
        <f aca="false">LEN(O15)</f>
        <v>55</v>
      </c>
      <c r="Q15" s="3" t="s">
        <v>5080</v>
      </c>
      <c r="R15" s="15" t="n">
        <f aca="false">LEN(Q15)</f>
        <v>158</v>
      </c>
      <c r="S15" s="15" t="str">
        <f aca="false">IF(H15="","",IF(ISNUMBER(SEARCH(SUBSTITUTE(H15,"-"," "),SUBSTITUTE(O15,"-"," "))),"Yes","Check"))</f>
        <v>Yes</v>
      </c>
      <c r="T15" s="3"/>
      <c r="U15" s="3" t="s">
        <v>5728</v>
      </c>
      <c r="V15" s="3"/>
      <c r="W15" s="3"/>
      <c r="X15" s="3"/>
      <c r="Y15" s="15" t="s">
        <v>5684</v>
      </c>
      <c r="Z15" s="16"/>
      <c r="AA15" s="3"/>
      <c r="AB15" s="3" t="s">
        <v>5685</v>
      </c>
      <c r="AC15" s="3" t="s">
        <v>5686</v>
      </c>
      <c r="AD15" s="15" t="s">
        <v>5687</v>
      </c>
      <c r="AE15" s="17"/>
      <c r="AF15" s="17"/>
      <c r="AG15" s="17" t="s">
        <v>5688</v>
      </c>
    </row>
    <row r="16" customFormat="false" ht="46.25" hidden="false" customHeight="false" outlineLevel="0" collapsed="false">
      <c r="A16" s="15" t="str">
        <f aca="false">"B"&amp;TEXT(ROW()-1,"0000")</f>
        <v>B0015</v>
      </c>
      <c r="B16" s="17" t="s">
        <v>5678</v>
      </c>
      <c r="C16" s="15" t="n">
        <v>1</v>
      </c>
      <c r="D16" s="15" t="s">
        <v>81</v>
      </c>
      <c r="E16" s="15" t="s">
        <v>5173</v>
      </c>
      <c r="F16" s="3" t="s">
        <v>5087</v>
      </c>
      <c r="G16" s="15" t="s">
        <v>5084</v>
      </c>
      <c r="H16" s="15" t="s">
        <v>5362</v>
      </c>
      <c r="I16" s="20" t="n">
        <f aca="false">IFERROR(INDEX('Nationwide KWs'!$D$2:$D$158,MATCH(H16,'Nationwide KWs'!$A$2:$A$158,0)),IFERROR(INDEX('Provincial KWs'!$E$2:$E$137,MATCH(H16,'Provincial KWs'!$A$2:$A$137,0)),IFERROR(INDEX('City KWs'!$F$2:$F$419,MATCH(H16,'City KWs'!$A$2:$A$419,0)),"")))</f>
        <v>880</v>
      </c>
      <c r="J16" s="15"/>
      <c r="K16" s="3" t="s">
        <v>5729</v>
      </c>
      <c r="L16" s="15" t="s">
        <v>147</v>
      </c>
      <c r="M16" s="15"/>
      <c r="N16" s="15"/>
      <c r="O16" s="3" t="s">
        <v>5730</v>
      </c>
      <c r="P16" s="15" t="n">
        <f aca="false">LEN(O16)</f>
        <v>49</v>
      </c>
      <c r="Q16" s="3" t="s">
        <v>5086</v>
      </c>
      <c r="R16" s="15" t="n">
        <f aca="false">LEN(Q16)</f>
        <v>160</v>
      </c>
      <c r="S16" s="15" t="str">
        <f aca="false">IF(H16="","",IF(ISNUMBER(SEARCH(SUBSTITUTE(H16,"-"," "),SUBSTITUTE(O16,"-"," "))),"Yes","Check"))</f>
        <v>Yes</v>
      </c>
      <c r="T16" s="3"/>
      <c r="U16" s="3" t="s">
        <v>5731</v>
      </c>
      <c r="V16" s="3"/>
      <c r="W16" s="3"/>
      <c r="X16" s="3"/>
      <c r="Y16" s="15" t="s">
        <v>5684</v>
      </c>
      <c r="Z16" s="16"/>
      <c r="AA16" s="3"/>
      <c r="AB16" s="3" t="s">
        <v>5685</v>
      </c>
      <c r="AC16" s="3" t="s">
        <v>5686</v>
      </c>
      <c r="AD16" s="15" t="s">
        <v>5687</v>
      </c>
      <c r="AE16" s="17"/>
      <c r="AF16" s="17"/>
      <c r="AG16" s="17" t="s">
        <v>5688</v>
      </c>
    </row>
    <row r="17" customFormat="false" ht="35.05" hidden="false" customHeight="false" outlineLevel="0" collapsed="false">
      <c r="A17" s="15" t="str">
        <f aca="false">"B"&amp;TEXT(ROW()-1,"0000")</f>
        <v>B0016</v>
      </c>
      <c r="B17" s="17" t="s">
        <v>5678</v>
      </c>
      <c r="C17" s="15" t="n">
        <v>1</v>
      </c>
      <c r="D17" s="15" t="s">
        <v>86</v>
      </c>
      <c r="E17" s="15" t="s">
        <v>5689</v>
      </c>
      <c r="F17" s="3" t="s">
        <v>5093</v>
      </c>
      <c r="G17" s="15" t="s">
        <v>5090</v>
      </c>
      <c r="H17" s="15" t="s">
        <v>5732</v>
      </c>
      <c r="I17" s="20" t="n">
        <f aca="false">IFERROR(INDEX('Nationwide KWs'!$D$2:$D$158,MATCH(H17,'Nationwide KWs'!$A$2:$A$158,0)),IFERROR(INDEX('Provincial KWs'!$E$2:$E$137,MATCH(H17,'Provincial KWs'!$A$2:$A$137,0)),IFERROR(INDEX('City KWs'!$F$2:$F$419,MATCH(H17,'City KWs'!$A$2:$A$419,0)),"")))</f>
        <v>1600</v>
      </c>
      <c r="J17" s="15"/>
      <c r="K17" s="3" t="s">
        <v>5733</v>
      </c>
      <c r="L17" s="15" t="s">
        <v>5704</v>
      </c>
      <c r="M17" s="15"/>
      <c r="N17" s="15"/>
      <c r="O17" s="3" t="s">
        <v>5091</v>
      </c>
      <c r="P17" s="15" t="n">
        <f aca="false">LEN(O17)</f>
        <v>52</v>
      </c>
      <c r="Q17" s="3" t="s">
        <v>5092</v>
      </c>
      <c r="R17" s="15" t="n">
        <f aca="false">LEN(Q17)</f>
        <v>158</v>
      </c>
      <c r="S17" s="15" t="str">
        <f aca="false">IF(H17="","",IF(ISNUMBER(SEARCH(SUBSTITUTE(H17,"-"," "),SUBSTITUTE(O17,"-"," "))),"Yes","Check"))</f>
        <v>Yes</v>
      </c>
      <c r="T17" s="3"/>
      <c r="U17" s="3" t="s">
        <v>5734</v>
      </c>
      <c r="V17" s="3"/>
      <c r="W17" s="3"/>
      <c r="X17" s="3"/>
      <c r="Y17" s="15" t="s">
        <v>5684</v>
      </c>
      <c r="Z17" s="16"/>
      <c r="AA17" s="3"/>
      <c r="AB17" s="3" t="s">
        <v>5685</v>
      </c>
      <c r="AC17" s="3" t="s">
        <v>5686</v>
      </c>
      <c r="AD17" s="15" t="s">
        <v>5687</v>
      </c>
      <c r="AE17" s="17"/>
      <c r="AF17" s="17"/>
      <c r="AG17" s="17" t="s">
        <v>5688</v>
      </c>
    </row>
    <row r="18" customFormat="false" ht="35.05" hidden="false" customHeight="false" outlineLevel="0" collapsed="false">
      <c r="A18" s="15" t="str">
        <f aca="false">"B"&amp;TEXT(ROW()-1,"0000")</f>
        <v>B0017</v>
      </c>
      <c r="B18" s="17" t="s">
        <v>5678</v>
      </c>
      <c r="C18" s="15" t="n">
        <v>1</v>
      </c>
      <c r="D18" s="15" t="s">
        <v>74</v>
      </c>
      <c r="E18" s="15" t="s">
        <v>5707</v>
      </c>
      <c r="F18" s="3" t="s">
        <v>5099</v>
      </c>
      <c r="G18" s="15" t="s">
        <v>5096</v>
      </c>
      <c r="H18" s="15" t="s">
        <v>5100</v>
      </c>
      <c r="I18" s="20" t="n">
        <f aca="false">IFERROR(INDEX('Nationwide KWs'!$D$2:$D$158,MATCH(H18,'Nationwide KWs'!$A$2:$A$158,0)),IFERROR(INDEX('Provincial KWs'!$E$2:$E$137,MATCH(H18,'Provincial KWs'!$A$2:$A$137,0)),IFERROR(INDEX('City KWs'!$F$2:$F$419,MATCH(H18,'City KWs'!$A$2:$A$419,0)),"")))</f>
        <v>1900</v>
      </c>
      <c r="J18" s="15"/>
      <c r="K18" s="3" t="s">
        <v>5735</v>
      </c>
      <c r="L18" s="15" t="s">
        <v>147</v>
      </c>
      <c r="M18" s="15"/>
      <c r="N18" s="15"/>
      <c r="O18" s="3" t="s">
        <v>5736</v>
      </c>
      <c r="P18" s="15" t="n">
        <f aca="false">LEN(O18)</f>
        <v>45</v>
      </c>
      <c r="Q18" s="3" t="s">
        <v>5098</v>
      </c>
      <c r="R18" s="15" t="n">
        <f aca="false">LEN(Q18)</f>
        <v>146</v>
      </c>
      <c r="S18" s="15" t="str">
        <f aca="false">IF(H18="","",IF(ISNUMBER(SEARCH(SUBSTITUTE(H18,"-"," "),SUBSTITUTE(O18,"-"," "))),"Yes","Check"))</f>
        <v>Yes</v>
      </c>
      <c r="T18" s="3"/>
      <c r="U18" s="3" t="s">
        <v>5737</v>
      </c>
      <c r="V18" s="3"/>
      <c r="W18" s="3"/>
      <c r="X18" s="3"/>
      <c r="Y18" s="15" t="s">
        <v>5684</v>
      </c>
      <c r="Z18" s="16"/>
      <c r="AA18" s="3"/>
      <c r="AB18" s="3" t="s">
        <v>5685</v>
      </c>
      <c r="AC18" s="3" t="s">
        <v>5686</v>
      </c>
      <c r="AD18" s="15" t="s">
        <v>5687</v>
      </c>
      <c r="AE18" s="17"/>
      <c r="AF18" s="17"/>
      <c r="AG18" s="17" t="s">
        <v>5688</v>
      </c>
    </row>
    <row r="19" customFormat="false" ht="35.05" hidden="false" customHeight="false" outlineLevel="0" collapsed="false">
      <c r="A19" s="15" t="str">
        <f aca="false">"B"&amp;TEXT(ROW()-1,"0000")</f>
        <v>B0018</v>
      </c>
      <c r="B19" s="17" t="s">
        <v>5678</v>
      </c>
      <c r="C19" s="15" t="n">
        <v>1</v>
      </c>
      <c r="D19" s="15" t="s">
        <v>82</v>
      </c>
      <c r="E19" s="15" t="s">
        <v>5679</v>
      </c>
      <c r="F19" s="3" t="s">
        <v>5105</v>
      </c>
      <c r="G19" s="15" t="s">
        <v>5102</v>
      </c>
      <c r="H19" s="15" t="s">
        <v>5106</v>
      </c>
      <c r="I19" s="20" t="n">
        <f aca="false">IFERROR(INDEX('Nationwide KWs'!$D$2:$D$158,MATCH(H19,'Nationwide KWs'!$A$2:$A$158,0)),IFERROR(INDEX('Provincial KWs'!$E$2:$E$137,MATCH(H19,'Provincial KWs'!$A$2:$A$137,0)),IFERROR(INDEX('City KWs'!$F$2:$F$419,MATCH(H19,'City KWs'!$A$2:$A$419,0)),"")))</f>
        <v>1600</v>
      </c>
      <c r="J19" s="15"/>
      <c r="K19" s="3" t="s">
        <v>5738</v>
      </c>
      <c r="L19" s="15" t="s">
        <v>147</v>
      </c>
      <c r="M19" s="15"/>
      <c r="N19" s="15"/>
      <c r="O19" s="3" t="s">
        <v>5739</v>
      </c>
      <c r="P19" s="15" t="n">
        <f aca="false">LEN(O19)</f>
        <v>41</v>
      </c>
      <c r="Q19" s="3" t="s">
        <v>5104</v>
      </c>
      <c r="R19" s="15" t="n">
        <f aca="false">LEN(Q19)</f>
        <v>154</v>
      </c>
      <c r="S19" s="15" t="str">
        <f aca="false">IF(H19="","",IF(ISNUMBER(SEARCH(SUBSTITUTE(H19,"-"," "),SUBSTITUTE(O19,"-"," "))),"Yes","Check"))</f>
        <v>Yes</v>
      </c>
      <c r="T19" s="3"/>
      <c r="U19" s="3" t="s">
        <v>5740</v>
      </c>
      <c r="V19" s="3"/>
      <c r="W19" s="3"/>
      <c r="X19" s="3"/>
      <c r="Y19" s="15" t="s">
        <v>5684</v>
      </c>
      <c r="Z19" s="16"/>
      <c r="AA19" s="3"/>
      <c r="AB19" s="3" t="s">
        <v>5685</v>
      </c>
      <c r="AC19" s="3" t="s">
        <v>5686</v>
      </c>
      <c r="AD19" s="15" t="s">
        <v>5687</v>
      </c>
      <c r="AE19" s="17"/>
      <c r="AF19" s="17"/>
      <c r="AG19" s="17" t="s">
        <v>5688</v>
      </c>
    </row>
    <row r="20" customFormat="false" ht="57.45" hidden="false" customHeight="false" outlineLevel="0" collapsed="false">
      <c r="A20" s="15" t="str">
        <f aca="false">"B"&amp;TEXT(ROW()-1,"0000")</f>
        <v>B0019</v>
      </c>
      <c r="B20" s="17" t="s">
        <v>5741</v>
      </c>
      <c r="C20" s="15" t="n">
        <v>1</v>
      </c>
      <c r="D20" s="15" t="s">
        <v>76</v>
      </c>
      <c r="E20" s="15" t="s">
        <v>5742</v>
      </c>
      <c r="F20" s="3" t="s">
        <v>5743</v>
      </c>
      <c r="G20" s="15" t="s">
        <v>5744</v>
      </c>
      <c r="H20" s="15" t="s">
        <v>5256</v>
      </c>
      <c r="I20" s="20" t="n">
        <f aca="false">IFERROR(INDEX('Nationwide KWs'!$D$2:$D$158,MATCH(H20,'Nationwide KWs'!$A$2:$A$158,0)),IFERROR(INDEX('Provincial KWs'!$E$2:$E$137,MATCH(H20,'Provincial KWs'!$A$2:$A$137,0)),IFERROR(INDEX('City KWs'!$F$2:$F$419,MATCH(H20,'City KWs'!$A$2:$A$419,0)),"")))</f>
        <v>880</v>
      </c>
      <c r="J20" s="15" t="s">
        <v>5745</v>
      </c>
      <c r="K20" s="3" t="s">
        <v>5746</v>
      </c>
      <c r="L20" s="15" t="s">
        <v>147</v>
      </c>
      <c r="M20" s="15" t="s">
        <v>5159</v>
      </c>
      <c r="N20" s="15" t="s">
        <v>5747</v>
      </c>
      <c r="O20" s="3" t="s">
        <v>5748</v>
      </c>
      <c r="P20" s="15" t="n">
        <f aca="false">LEN(O20)</f>
        <v>48</v>
      </c>
      <c r="Q20" s="3" t="s">
        <v>5749</v>
      </c>
      <c r="R20" s="15" t="n">
        <f aca="false">LEN(Q20)</f>
        <v>152</v>
      </c>
      <c r="S20" s="15" t="str">
        <f aca="false">IF(H20="","",IF(ISNUMBER(SEARCH(SUBSTITUTE(H20,"-"," "),SUBSTITUTE(O20,"-"," "))),"Yes","Check"))</f>
        <v>Yes</v>
      </c>
      <c r="T20" s="3" t="s">
        <v>5750</v>
      </c>
      <c r="U20" s="3" t="s">
        <v>5751</v>
      </c>
      <c r="V20" s="3" t="s">
        <v>5752</v>
      </c>
      <c r="W20" s="3" t="s">
        <v>5753</v>
      </c>
      <c r="X20" s="3" t="s">
        <v>5754</v>
      </c>
      <c r="Y20" s="15" t="s">
        <v>5684</v>
      </c>
      <c r="Z20" s="16" t="n">
        <v>1800</v>
      </c>
      <c r="AA20" s="3" t="s">
        <v>5755</v>
      </c>
      <c r="AB20" s="3" t="s">
        <v>5756</v>
      </c>
      <c r="AC20" s="3" t="s">
        <v>5757</v>
      </c>
      <c r="AD20" s="15" t="s">
        <v>5687</v>
      </c>
      <c r="AE20" s="17"/>
      <c r="AF20" s="17"/>
      <c r="AG20" s="17"/>
    </row>
    <row r="21" customFormat="false" ht="57.45" hidden="false" customHeight="false" outlineLevel="0" collapsed="false">
      <c r="A21" s="15" t="str">
        <f aca="false">"B"&amp;TEXT(ROW()-1,"0000")</f>
        <v>B0020</v>
      </c>
      <c r="B21" s="17" t="s">
        <v>5741</v>
      </c>
      <c r="C21" s="15" t="n">
        <v>1</v>
      </c>
      <c r="D21" s="15" t="s">
        <v>76</v>
      </c>
      <c r="E21" s="15" t="s">
        <v>5758</v>
      </c>
      <c r="F21" s="3" t="s">
        <v>5759</v>
      </c>
      <c r="G21" s="15" t="s">
        <v>5760</v>
      </c>
      <c r="H21" s="15" t="s">
        <v>5761</v>
      </c>
      <c r="I21" s="20" t="str">
        <f aca="false">IFERROR(INDEX('Nationwide KWs'!$D$2:$D$158,MATCH(H21,'Nationwide KWs'!$A$2:$A$158,0)),IFERROR(INDEX('Provincial KWs'!$E$2:$E$137,MATCH(H21,'Provincial KWs'!$A$2:$A$137,0)),IFERROR(INDEX('City KWs'!$F$2:$F$419,MATCH(H21,'City KWs'!$A$2:$A$419,0)),"")))</f>
        <v/>
      </c>
      <c r="J21" s="15" t="s">
        <v>5745</v>
      </c>
      <c r="K21" s="3" t="s">
        <v>5762</v>
      </c>
      <c r="L21" s="15" t="s">
        <v>147</v>
      </c>
      <c r="M21" s="15" t="s">
        <v>5177</v>
      </c>
      <c r="N21" s="15" t="s">
        <v>5763</v>
      </c>
      <c r="O21" s="3" t="s">
        <v>5764</v>
      </c>
      <c r="P21" s="15" t="n">
        <f aca="false">LEN(O21)</f>
        <v>53</v>
      </c>
      <c r="Q21" s="3" t="s">
        <v>5765</v>
      </c>
      <c r="R21" s="15" t="n">
        <f aca="false">LEN(Q21)</f>
        <v>154</v>
      </c>
      <c r="S21" s="15" t="str">
        <f aca="false">IF(H21="","",IF(ISNUMBER(SEARCH(SUBSTITUTE(H21,"-"," "),SUBSTITUTE(O21,"-"," "))),"Yes","Check"))</f>
        <v>Yes</v>
      </c>
      <c r="T21" s="3" t="s">
        <v>5766</v>
      </c>
      <c r="U21" s="3" t="s">
        <v>5767</v>
      </c>
      <c r="V21" s="3" t="s">
        <v>5768</v>
      </c>
      <c r="W21" s="3" t="s">
        <v>5769</v>
      </c>
      <c r="X21" s="3" t="s">
        <v>5754</v>
      </c>
      <c r="Y21" s="15" t="s">
        <v>5684</v>
      </c>
      <c r="Z21" s="16" t="n">
        <v>2000</v>
      </c>
      <c r="AA21" s="3" t="s">
        <v>5770</v>
      </c>
      <c r="AB21" s="3" t="s">
        <v>5771</v>
      </c>
      <c r="AC21" s="3" t="s">
        <v>5772</v>
      </c>
      <c r="AD21" s="15" t="s">
        <v>5773</v>
      </c>
      <c r="AE21" s="17"/>
      <c r="AF21" s="17"/>
      <c r="AG21" s="17"/>
    </row>
    <row r="22" customFormat="false" ht="46.25" hidden="false" customHeight="false" outlineLevel="0" collapsed="false">
      <c r="A22" s="15" t="str">
        <f aca="false">"B"&amp;TEXT(ROW()-1,"0000")</f>
        <v>B0021</v>
      </c>
      <c r="B22" s="17" t="s">
        <v>5741</v>
      </c>
      <c r="C22" s="15" t="n">
        <v>1</v>
      </c>
      <c r="D22" s="15" t="s">
        <v>76</v>
      </c>
      <c r="E22" s="15" t="s">
        <v>5774</v>
      </c>
      <c r="F22" s="3" t="s">
        <v>5775</v>
      </c>
      <c r="G22" s="15" t="s">
        <v>5776</v>
      </c>
      <c r="H22" s="15" t="s">
        <v>5777</v>
      </c>
      <c r="I22" s="20" t="str">
        <f aca="false">IFERROR(INDEX('Nationwide KWs'!$D$2:$D$158,MATCH(H22,'Nationwide KWs'!$A$2:$A$158,0)),IFERROR(INDEX('Provincial KWs'!$E$2:$E$137,MATCH(H22,'Provincial KWs'!$A$2:$A$137,0)),IFERROR(INDEX('City KWs'!$F$2:$F$419,MATCH(H22,'City KWs'!$A$2:$A$419,0)),"")))</f>
        <v/>
      </c>
      <c r="J22" s="15" t="s">
        <v>5778</v>
      </c>
      <c r="K22" s="3" t="s">
        <v>5779</v>
      </c>
      <c r="L22" s="15" t="s">
        <v>147</v>
      </c>
      <c r="M22" s="15" t="s">
        <v>5159</v>
      </c>
      <c r="N22" s="15" t="s">
        <v>5747</v>
      </c>
      <c r="O22" s="3" t="s">
        <v>5780</v>
      </c>
      <c r="P22" s="15" t="n">
        <f aca="false">LEN(O22)</f>
        <v>55</v>
      </c>
      <c r="Q22" s="3" t="s">
        <v>5781</v>
      </c>
      <c r="R22" s="15" t="n">
        <f aca="false">LEN(Q22)</f>
        <v>154</v>
      </c>
      <c r="S22" s="15" t="str">
        <f aca="false">IF(H22="","",IF(ISNUMBER(SEARCH(SUBSTITUTE(H22,"-"," "),SUBSTITUTE(O22,"-"," "))),"Yes","Check"))</f>
        <v>Check</v>
      </c>
      <c r="T22" s="3" t="s">
        <v>5782</v>
      </c>
      <c r="U22" s="3" t="s">
        <v>5783</v>
      </c>
      <c r="V22" s="3" t="s">
        <v>5784</v>
      </c>
      <c r="W22" s="3" t="s">
        <v>5785</v>
      </c>
      <c r="X22" s="3" t="s">
        <v>5786</v>
      </c>
      <c r="Y22" s="15" t="s">
        <v>5684</v>
      </c>
      <c r="Z22" s="16" t="n">
        <v>1800</v>
      </c>
      <c r="AA22" s="3" t="s">
        <v>5787</v>
      </c>
      <c r="AB22" s="3" t="s">
        <v>5788</v>
      </c>
      <c r="AC22" s="3" t="s">
        <v>5789</v>
      </c>
      <c r="AD22" s="15" t="s">
        <v>5773</v>
      </c>
      <c r="AE22" s="17"/>
      <c r="AF22" s="17"/>
      <c r="AG22" s="17"/>
    </row>
    <row r="23" customFormat="false" ht="46.25" hidden="false" customHeight="false" outlineLevel="0" collapsed="false">
      <c r="A23" s="15" t="str">
        <f aca="false">"B"&amp;TEXT(ROW()-1,"0000")</f>
        <v>B0022</v>
      </c>
      <c r="B23" s="17" t="s">
        <v>5741</v>
      </c>
      <c r="C23" s="15" t="n">
        <v>2</v>
      </c>
      <c r="D23" s="15" t="s">
        <v>76</v>
      </c>
      <c r="E23" s="15" t="s">
        <v>5790</v>
      </c>
      <c r="F23" s="3" t="s">
        <v>5791</v>
      </c>
      <c r="G23" s="15" t="s">
        <v>5792</v>
      </c>
      <c r="H23" s="15" t="s">
        <v>5793</v>
      </c>
      <c r="I23" s="20" t="str">
        <f aca="false">IFERROR(INDEX('Nationwide KWs'!$D$2:$D$158,MATCH(H23,'Nationwide KWs'!$A$2:$A$158,0)),IFERROR(INDEX('Provincial KWs'!$E$2:$E$137,MATCH(H23,'Provincial KWs'!$A$2:$A$137,0)),IFERROR(INDEX('City KWs'!$F$2:$F$419,MATCH(H23,'City KWs'!$A$2:$A$419,0)),"")))</f>
        <v/>
      </c>
      <c r="J23" s="15" t="s">
        <v>5778</v>
      </c>
      <c r="K23" s="3" t="s">
        <v>5794</v>
      </c>
      <c r="L23" s="15" t="s">
        <v>147</v>
      </c>
      <c r="M23" s="15" t="s">
        <v>5159</v>
      </c>
      <c r="N23" s="15" t="s">
        <v>5795</v>
      </c>
      <c r="O23" s="3" t="s">
        <v>5796</v>
      </c>
      <c r="P23" s="15" t="n">
        <f aca="false">LEN(O23)</f>
        <v>53</v>
      </c>
      <c r="Q23" s="3" t="s">
        <v>5797</v>
      </c>
      <c r="R23" s="15" t="n">
        <f aca="false">LEN(Q23)</f>
        <v>152</v>
      </c>
      <c r="S23" s="15" t="str">
        <f aca="false">IF(H23="","",IF(ISNUMBER(SEARCH(SUBSTITUTE(H23,"-"," "),SUBSTITUTE(O23,"-"," "))),"Yes","Check"))</f>
        <v>Yes</v>
      </c>
      <c r="T23" s="3" t="s">
        <v>5798</v>
      </c>
      <c r="U23" s="3" t="s">
        <v>5799</v>
      </c>
      <c r="V23" s="3" t="s">
        <v>5800</v>
      </c>
      <c r="W23" s="3" t="s">
        <v>5801</v>
      </c>
      <c r="X23" s="3" t="s">
        <v>5754</v>
      </c>
      <c r="Y23" s="15" t="s">
        <v>5684</v>
      </c>
      <c r="Z23" s="16" t="n">
        <v>1800</v>
      </c>
      <c r="AA23" s="3" t="s">
        <v>5802</v>
      </c>
      <c r="AB23" s="3" t="s">
        <v>5803</v>
      </c>
      <c r="AC23" s="3" t="s">
        <v>5804</v>
      </c>
      <c r="AD23" s="15" t="s">
        <v>5687</v>
      </c>
      <c r="AE23" s="17"/>
      <c r="AF23" s="17"/>
      <c r="AG23" s="17"/>
    </row>
    <row r="24" customFormat="false" ht="46.25" hidden="false" customHeight="false" outlineLevel="0" collapsed="false">
      <c r="A24" s="15" t="str">
        <f aca="false">"B"&amp;TEXT(ROW()-1,"0000")</f>
        <v>B0023</v>
      </c>
      <c r="B24" s="17" t="s">
        <v>5741</v>
      </c>
      <c r="C24" s="15" t="n">
        <v>2</v>
      </c>
      <c r="D24" s="15" t="s">
        <v>76</v>
      </c>
      <c r="E24" s="15" t="s">
        <v>5758</v>
      </c>
      <c r="F24" s="3" t="s">
        <v>5805</v>
      </c>
      <c r="G24" s="15" t="s">
        <v>5806</v>
      </c>
      <c r="H24" s="15" t="s">
        <v>5807</v>
      </c>
      <c r="I24" s="20" t="str">
        <f aca="false">IFERROR(INDEX('Nationwide KWs'!$D$2:$D$158,MATCH(H24,'Nationwide KWs'!$A$2:$A$158,0)),IFERROR(INDEX('Provincial KWs'!$E$2:$E$137,MATCH(H24,'Provincial KWs'!$A$2:$A$137,0)),IFERROR(INDEX('City KWs'!$F$2:$F$419,MATCH(H24,'City KWs'!$A$2:$A$419,0)),"")))</f>
        <v/>
      </c>
      <c r="J24" s="15" t="s">
        <v>5778</v>
      </c>
      <c r="K24" s="3" t="s">
        <v>5808</v>
      </c>
      <c r="L24" s="15" t="s">
        <v>147</v>
      </c>
      <c r="M24" s="15" t="s">
        <v>5159</v>
      </c>
      <c r="N24" s="15" t="s">
        <v>5747</v>
      </c>
      <c r="O24" s="3" t="s">
        <v>5809</v>
      </c>
      <c r="P24" s="15" t="n">
        <f aca="false">LEN(O24)</f>
        <v>51</v>
      </c>
      <c r="Q24" s="3" t="s">
        <v>5810</v>
      </c>
      <c r="R24" s="15" t="n">
        <f aca="false">LEN(Q24)</f>
        <v>151</v>
      </c>
      <c r="S24" s="15" t="str">
        <f aca="false">IF(H24="","",IF(ISNUMBER(SEARCH(SUBSTITUTE(H24,"-"," "),SUBSTITUTE(O24,"-"," "))),"Yes","Check"))</f>
        <v>Check</v>
      </c>
      <c r="T24" s="3" t="s">
        <v>5811</v>
      </c>
      <c r="U24" s="3" t="s">
        <v>5812</v>
      </c>
      <c r="V24" s="3" t="s">
        <v>5813</v>
      </c>
      <c r="W24" s="3" t="s">
        <v>5814</v>
      </c>
      <c r="X24" s="3" t="s">
        <v>5754</v>
      </c>
      <c r="Y24" s="15" t="s">
        <v>5684</v>
      </c>
      <c r="Z24" s="16" t="n">
        <v>1700</v>
      </c>
      <c r="AA24" s="3" t="s">
        <v>5815</v>
      </c>
      <c r="AB24" s="3" t="s">
        <v>5816</v>
      </c>
      <c r="AC24" s="3" t="s">
        <v>5817</v>
      </c>
      <c r="AD24" s="15" t="s">
        <v>5773</v>
      </c>
      <c r="AE24" s="17"/>
      <c r="AF24" s="17"/>
      <c r="AG24" s="17"/>
    </row>
    <row r="25" customFormat="false" ht="46.25" hidden="false" customHeight="false" outlineLevel="0" collapsed="false">
      <c r="A25" s="15" t="str">
        <f aca="false">"B"&amp;TEXT(ROW()-1,"0000")</f>
        <v>B0024</v>
      </c>
      <c r="B25" s="17" t="s">
        <v>5741</v>
      </c>
      <c r="C25" s="15" t="n">
        <v>2</v>
      </c>
      <c r="D25" s="15" t="s">
        <v>76</v>
      </c>
      <c r="E25" s="15" t="s">
        <v>5758</v>
      </c>
      <c r="F25" s="3" t="s">
        <v>5818</v>
      </c>
      <c r="G25" s="15" t="s">
        <v>5819</v>
      </c>
      <c r="H25" s="15" t="s">
        <v>5820</v>
      </c>
      <c r="I25" s="20" t="str">
        <f aca="false">IFERROR(INDEX('Nationwide KWs'!$D$2:$D$158,MATCH(H25,'Nationwide KWs'!$A$2:$A$158,0)),IFERROR(INDEX('Provincial KWs'!$E$2:$E$137,MATCH(H25,'Provincial KWs'!$A$2:$A$137,0)),IFERROR(INDEX('City KWs'!$F$2:$F$419,MATCH(H25,'City KWs'!$A$2:$A$419,0)),"")))</f>
        <v/>
      </c>
      <c r="J25" s="15" t="s">
        <v>5778</v>
      </c>
      <c r="K25" s="3" t="s">
        <v>5821</v>
      </c>
      <c r="L25" s="15" t="s">
        <v>147</v>
      </c>
      <c r="M25" s="15" t="s">
        <v>5177</v>
      </c>
      <c r="N25" s="15" t="s">
        <v>5747</v>
      </c>
      <c r="O25" s="3" t="s">
        <v>5822</v>
      </c>
      <c r="P25" s="15" t="n">
        <f aca="false">LEN(O25)</f>
        <v>54</v>
      </c>
      <c r="Q25" s="3" t="s">
        <v>5823</v>
      </c>
      <c r="R25" s="15" t="n">
        <f aca="false">LEN(Q25)</f>
        <v>144</v>
      </c>
      <c r="S25" s="15" t="str">
        <f aca="false">IF(H25="","",IF(ISNUMBER(SEARCH(SUBSTITUTE(H25,"-"," "),SUBSTITUTE(O25,"-"," "))),"Yes","Check"))</f>
        <v>Yes</v>
      </c>
      <c r="T25" s="3" t="s">
        <v>5824</v>
      </c>
      <c r="U25" s="3" t="s">
        <v>5825</v>
      </c>
      <c r="V25" s="3" t="s">
        <v>5826</v>
      </c>
      <c r="W25" s="3" t="s">
        <v>5827</v>
      </c>
      <c r="X25" s="3" t="s">
        <v>5754</v>
      </c>
      <c r="Y25" s="15" t="s">
        <v>5684</v>
      </c>
      <c r="Z25" s="16" t="n">
        <v>1500</v>
      </c>
      <c r="AA25" s="3" t="s">
        <v>5828</v>
      </c>
      <c r="AB25" s="3" t="s">
        <v>5829</v>
      </c>
      <c r="AC25" s="3" t="s">
        <v>5830</v>
      </c>
      <c r="AD25" s="15" t="s">
        <v>5773</v>
      </c>
      <c r="AE25" s="17"/>
      <c r="AF25" s="17"/>
      <c r="AG25" s="17"/>
    </row>
    <row r="26" customFormat="false" ht="46.25" hidden="false" customHeight="false" outlineLevel="0" collapsed="false">
      <c r="A26" s="15" t="str">
        <f aca="false">"B"&amp;TEXT(ROW()-1,"0000")</f>
        <v>B0025</v>
      </c>
      <c r="B26" s="17" t="s">
        <v>5741</v>
      </c>
      <c r="C26" s="15" t="n">
        <v>2</v>
      </c>
      <c r="D26" s="15" t="s">
        <v>76</v>
      </c>
      <c r="E26" s="15" t="s">
        <v>5831</v>
      </c>
      <c r="F26" s="3" t="s">
        <v>5832</v>
      </c>
      <c r="G26" s="15" t="s">
        <v>5833</v>
      </c>
      <c r="H26" s="15" t="s">
        <v>5834</v>
      </c>
      <c r="I26" s="20" t="str">
        <f aca="false">IFERROR(INDEX('Nationwide KWs'!$D$2:$D$158,MATCH(H26,'Nationwide KWs'!$A$2:$A$158,0)),IFERROR(INDEX('Provincial KWs'!$E$2:$E$137,MATCH(H26,'Provincial KWs'!$A$2:$A$137,0)),IFERROR(INDEX('City KWs'!$F$2:$F$419,MATCH(H26,'City KWs'!$A$2:$A$419,0)),"")))</f>
        <v/>
      </c>
      <c r="J26" s="15" t="s">
        <v>5745</v>
      </c>
      <c r="K26" s="3" t="s">
        <v>5835</v>
      </c>
      <c r="L26" s="15" t="s">
        <v>147</v>
      </c>
      <c r="M26" s="15" t="s">
        <v>5177</v>
      </c>
      <c r="N26" s="15" t="s">
        <v>5747</v>
      </c>
      <c r="O26" s="3" t="s">
        <v>5836</v>
      </c>
      <c r="P26" s="15" t="n">
        <f aca="false">LEN(O26)</f>
        <v>52</v>
      </c>
      <c r="Q26" s="3" t="s">
        <v>5837</v>
      </c>
      <c r="R26" s="15" t="n">
        <f aca="false">LEN(Q26)</f>
        <v>152</v>
      </c>
      <c r="S26" s="15" t="str">
        <f aca="false">IF(H26="","",IF(ISNUMBER(SEARCH(SUBSTITUTE(H26,"-"," "),SUBSTITUTE(O26,"-"," "))),"Yes","Check"))</f>
        <v>Yes</v>
      </c>
      <c r="T26" s="3" t="s">
        <v>5838</v>
      </c>
      <c r="U26" s="3" t="s">
        <v>5839</v>
      </c>
      <c r="V26" s="3" t="s">
        <v>5840</v>
      </c>
      <c r="W26" s="3" t="s">
        <v>5841</v>
      </c>
      <c r="X26" s="3" t="s">
        <v>5754</v>
      </c>
      <c r="Y26" s="15" t="s">
        <v>5684</v>
      </c>
      <c r="Z26" s="16" t="n">
        <v>1600</v>
      </c>
      <c r="AA26" s="3" t="s">
        <v>5842</v>
      </c>
      <c r="AB26" s="3" t="s">
        <v>5843</v>
      </c>
      <c r="AC26" s="3" t="s">
        <v>5844</v>
      </c>
      <c r="AD26" s="15" t="s">
        <v>5773</v>
      </c>
      <c r="AE26" s="17"/>
      <c r="AF26" s="17"/>
      <c r="AG26" s="17"/>
    </row>
    <row r="27" customFormat="false" ht="46.25" hidden="false" customHeight="false" outlineLevel="0" collapsed="false">
      <c r="A27" s="15" t="str">
        <f aca="false">"B"&amp;TEXT(ROW()-1,"0000")</f>
        <v>B0026</v>
      </c>
      <c r="B27" s="17" t="s">
        <v>5741</v>
      </c>
      <c r="C27" s="15" t="n">
        <v>2</v>
      </c>
      <c r="D27" s="15" t="s">
        <v>76</v>
      </c>
      <c r="E27" s="15" t="s">
        <v>5845</v>
      </c>
      <c r="F27" s="3" t="s">
        <v>5846</v>
      </c>
      <c r="G27" s="15" t="s">
        <v>5847</v>
      </c>
      <c r="H27" s="15" t="s">
        <v>5848</v>
      </c>
      <c r="I27" s="20" t="str">
        <f aca="false">IFERROR(INDEX('Nationwide KWs'!$D$2:$D$158,MATCH(H27,'Nationwide KWs'!$A$2:$A$158,0)),IFERROR(INDEX('Provincial KWs'!$E$2:$E$137,MATCH(H27,'Provincial KWs'!$A$2:$A$137,0)),IFERROR(INDEX('City KWs'!$F$2:$F$419,MATCH(H27,'City KWs'!$A$2:$A$419,0)),"")))</f>
        <v/>
      </c>
      <c r="J27" s="15" t="s">
        <v>5778</v>
      </c>
      <c r="K27" s="3" t="s">
        <v>5849</v>
      </c>
      <c r="L27" s="15" t="s">
        <v>147</v>
      </c>
      <c r="M27" s="15" t="s">
        <v>5177</v>
      </c>
      <c r="N27" s="15" t="s">
        <v>5763</v>
      </c>
      <c r="O27" s="3" t="s">
        <v>5850</v>
      </c>
      <c r="P27" s="15" t="n">
        <f aca="false">LEN(O27)</f>
        <v>47</v>
      </c>
      <c r="Q27" s="3" t="s">
        <v>5851</v>
      </c>
      <c r="R27" s="15" t="n">
        <f aca="false">LEN(Q27)</f>
        <v>151</v>
      </c>
      <c r="S27" s="15" t="str">
        <f aca="false">IF(H27="","",IF(ISNUMBER(SEARCH(SUBSTITUTE(H27,"-"," "),SUBSTITUTE(O27,"-"," "))),"Yes","Check"))</f>
        <v>Yes</v>
      </c>
      <c r="T27" s="3" t="s">
        <v>5852</v>
      </c>
      <c r="U27" s="3" t="s">
        <v>5853</v>
      </c>
      <c r="V27" s="3" t="s">
        <v>5854</v>
      </c>
      <c r="W27" s="3" t="s">
        <v>5855</v>
      </c>
      <c r="X27" s="3" t="s">
        <v>5754</v>
      </c>
      <c r="Y27" s="15" t="s">
        <v>5684</v>
      </c>
      <c r="Z27" s="16" t="n">
        <v>2000</v>
      </c>
      <c r="AA27" s="3" t="s">
        <v>5856</v>
      </c>
      <c r="AB27" s="3" t="s">
        <v>5857</v>
      </c>
      <c r="AC27" s="3" t="s">
        <v>5858</v>
      </c>
      <c r="AD27" s="15" t="s">
        <v>5773</v>
      </c>
      <c r="AE27" s="17"/>
      <c r="AF27" s="17"/>
      <c r="AG27" s="17"/>
    </row>
    <row r="28" customFormat="false" ht="46.25" hidden="false" customHeight="false" outlineLevel="0" collapsed="false">
      <c r="A28" s="15" t="str">
        <f aca="false">"B"&amp;TEXT(ROW()-1,"0000")</f>
        <v>B0027</v>
      </c>
      <c r="B28" s="17" t="s">
        <v>5741</v>
      </c>
      <c r="C28" s="15" t="n">
        <v>2</v>
      </c>
      <c r="D28" s="15" t="s">
        <v>76</v>
      </c>
      <c r="E28" s="15" t="s">
        <v>5859</v>
      </c>
      <c r="F28" s="3" t="s">
        <v>5860</v>
      </c>
      <c r="G28" s="15" t="s">
        <v>5861</v>
      </c>
      <c r="H28" s="15" t="s">
        <v>5862</v>
      </c>
      <c r="I28" s="20" t="str">
        <f aca="false">IFERROR(INDEX('Nationwide KWs'!$D$2:$D$158,MATCH(H28,'Nationwide KWs'!$A$2:$A$158,0)),IFERROR(INDEX('Provincial KWs'!$E$2:$E$137,MATCH(H28,'Provincial KWs'!$A$2:$A$137,0)),IFERROR(INDEX('City KWs'!$F$2:$F$419,MATCH(H28,'City KWs'!$A$2:$A$419,0)),"")))</f>
        <v/>
      </c>
      <c r="J28" s="15" t="s">
        <v>5778</v>
      </c>
      <c r="K28" s="3" t="s">
        <v>5863</v>
      </c>
      <c r="L28" s="15" t="s">
        <v>147</v>
      </c>
      <c r="M28" s="15" t="s">
        <v>5159</v>
      </c>
      <c r="N28" s="15" t="s">
        <v>5747</v>
      </c>
      <c r="O28" s="3" t="s">
        <v>5864</v>
      </c>
      <c r="P28" s="15" t="n">
        <f aca="false">LEN(O28)</f>
        <v>46</v>
      </c>
      <c r="Q28" s="3" t="s">
        <v>5865</v>
      </c>
      <c r="R28" s="15" t="n">
        <f aca="false">LEN(Q28)</f>
        <v>151</v>
      </c>
      <c r="S28" s="15" t="str">
        <f aca="false">IF(H28="","",IF(ISNUMBER(SEARCH(SUBSTITUTE(H28,"-"," "),SUBSTITUTE(O28,"-"," "))),"Yes","Check"))</f>
        <v>Yes</v>
      </c>
      <c r="T28" s="3" t="s">
        <v>5866</v>
      </c>
      <c r="U28" s="3" t="s">
        <v>5867</v>
      </c>
      <c r="V28" s="3" t="s">
        <v>5868</v>
      </c>
      <c r="W28" s="3" t="s">
        <v>5869</v>
      </c>
      <c r="X28" s="3" t="s">
        <v>5870</v>
      </c>
      <c r="Y28" s="15" t="s">
        <v>5684</v>
      </c>
      <c r="Z28" s="16" t="n">
        <v>1700</v>
      </c>
      <c r="AA28" s="3" t="s">
        <v>5871</v>
      </c>
      <c r="AB28" s="3" t="s">
        <v>5872</v>
      </c>
      <c r="AC28" s="3" t="s">
        <v>5873</v>
      </c>
      <c r="AD28" s="15" t="s">
        <v>5773</v>
      </c>
      <c r="AE28" s="17"/>
      <c r="AF28" s="17"/>
      <c r="AG28" s="17"/>
    </row>
    <row r="29" customFormat="false" ht="46.25" hidden="false" customHeight="false" outlineLevel="0" collapsed="false">
      <c r="A29" s="15" t="str">
        <f aca="false">"B"&amp;TEXT(ROW()-1,"0000")</f>
        <v>B0028</v>
      </c>
      <c r="B29" s="17" t="s">
        <v>5741</v>
      </c>
      <c r="C29" s="15" t="n">
        <v>2</v>
      </c>
      <c r="D29" s="15" t="s">
        <v>76</v>
      </c>
      <c r="E29" s="15" t="s">
        <v>5874</v>
      </c>
      <c r="F29" s="3" t="s">
        <v>5875</v>
      </c>
      <c r="G29" s="15" t="s">
        <v>5876</v>
      </c>
      <c r="H29" s="15" t="s">
        <v>5877</v>
      </c>
      <c r="I29" s="20" t="str">
        <f aca="false">IFERROR(INDEX('Nationwide KWs'!$D$2:$D$158,MATCH(H29,'Nationwide KWs'!$A$2:$A$158,0)),IFERROR(INDEX('Provincial KWs'!$E$2:$E$137,MATCH(H29,'Provincial KWs'!$A$2:$A$137,0)),IFERROR(INDEX('City KWs'!$F$2:$F$419,MATCH(H29,'City KWs'!$A$2:$A$419,0)),"")))</f>
        <v/>
      </c>
      <c r="J29" s="15" t="s">
        <v>5778</v>
      </c>
      <c r="K29" s="3" t="s">
        <v>5878</v>
      </c>
      <c r="L29" s="15" t="s">
        <v>147</v>
      </c>
      <c r="M29" s="15" t="s">
        <v>5177</v>
      </c>
      <c r="N29" s="15" t="s">
        <v>5747</v>
      </c>
      <c r="O29" s="3" t="s">
        <v>5875</v>
      </c>
      <c r="P29" s="15" t="n">
        <f aca="false">LEN(O29)</f>
        <v>46</v>
      </c>
      <c r="Q29" s="3" t="s">
        <v>5879</v>
      </c>
      <c r="R29" s="15" t="n">
        <f aca="false">LEN(Q29)</f>
        <v>153</v>
      </c>
      <c r="S29" s="15" t="str">
        <f aca="false">IF(H29="","",IF(ISNUMBER(SEARCH(SUBSTITUTE(H29,"-"," "),SUBSTITUTE(O29,"-"," "))),"Yes","Check"))</f>
        <v>Yes</v>
      </c>
      <c r="T29" s="3" t="s">
        <v>5880</v>
      </c>
      <c r="U29" s="3" t="s">
        <v>5881</v>
      </c>
      <c r="V29" s="3" t="s">
        <v>5882</v>
      </c>
      <c r="W29" s="3" t="s">
        <v>5883</v>
      </c>
      <c r="X29" s="3" t="s">
        <v>5754</v>
      </c>
      <c r="Y29" s="15" t="s">
        <v>5684</v>
      </c>
      <c r="Z29" s="16" t="n">
        <v>1500</v>
      </c>
      <c r="AA29" s="3" t="s">
        <v>5884</v>
      </c>
      <c r="AB29" s="3" t="s">
        <v>5885</v>
      </c>
      <c r="AC29" s="3" t="s">
        <v>5886</v>
      </c>
      <c r="AD29" s="15" t="s">
        <v>5773</v>
      </c>
      <c r="AE29" s="17"/>
      <c r="AF29" s="17"/>
      <c r="AG29" s="17"/>
    </row>
    <row r="30" customFormat="false" ht="46.25" hidden="false" customHeight="false" outlineLevel="0" collapsed="false">
      <c r="A30" s="15" t="str">
        <f aca="false">"B"&amp;TEXT(ROW()-1,"0000")</f>
        <v>B0029</v>
      </c>
      <c r="B30" s="17" t="s">
        <v>5741</v>
      </c>
      <c r="C30" s="15" t="n">
        <v>2</v>
      </c>
      <c r="D30" s="15" t="s">
        <v>76</v>
      </c>
      <c r="E30" s="15" t="s">
        <v>5887</v>
      </c>
      <c r="F30" s="3" t="s">
        <v>5888</v>
      </c>
      <c r="G30" s="15" t="s">
        <v>5889</v>
      </c>
      <c r="H30" s="15" t="s">
        <v>5890</v>
      </c>
      <c r="I30" s="20" t="str">
        <f aca="false">IFERROR(INDEX('Nationwide KWs'!$D$2:$D$158,MATCH(H30,'Nationwide KWs'!$A$2:$A$158,0)),IFERROR(INDEX('Provincial KWs'!$E$2:$E$137,MATCH(H30,'Provincial KWs'!$A$2:$A$137,0)),IFERROR(INDEX('City KWs'!$F$2:$F$419,MATCH(H30,'City KWs'!$A$2:$A$419,0)),"")))</f>
        <v/>
      </c>
      <c r="J30" s="15" t="s">
        <v>5778</v>
      </c>
      <c r="K30" s="3" t="s">
        <v>5891</v>
      </c>
      <c r="L30" s="15" t="s">
        <v>147</v>
      </c>
      <c r="M30" s="15" t="s">
        <v>5177</v>
      </c>
      <c r="N30" s="15" t="s">
        <v>5763</v>
      </c>
      <c r="O30" s="3" t="s">
        <v>5888</v>
      </c>
      <c r="P30" s="15" t="n">
        <f aca="false">LEN(O30)</f>
        <v>48</v>
      </c>
      <c r="Q30" s="3" t="s">
        <v>5892</v>
      </c>
      <c r="R30" s="15" t="n">
        <f aca="false">LEN(Q30)</f>
        <v>151</v>
      </c>
      <c r="S30" s="15" t="str">
        <f aca="false">IF(H30="","",IF(ISNUMBER(SEARCH(SUBSTITUTE(H30,"-"," "),SUBSTITUTE(O30,"-"," "))),"Yes","Check"))</f>
        <v>Yes</v>
      </c>
      <c r="T30" s="3" t="s">
        <v>5893</v>
      </c>
      <c r="U30" s="3" t="s">
        <v>5894</v>
      </c>
      <c r="V30" s="3" t="s">
        <v>5895</v>
      </c>
      <c r="W30" s="3" t="s">
        <v>5896</v>
      </c>
      <c r="X30" s="3" t="s">
        <v>5754</v>
      </c>
      <c r="Y30" s="15" t="s">
        <v>5684</v>
      </c>
      <c r="Z30" s="16" t="n">
        <v>1200</v>
      </c>
      <c r="AA30" s="3" t="s">
        <v>5897</v>
      </c>
      <c r="AB30" s="3" t="s">
        <v>5898</v>
      </c>
      <c r="AC30" s="3" t="s">
        <v>5899</v>
      </c>
      <c r="AD30" s="15" t="s">
        <v>5773</v>
      </c>
      <c r="AE30" s="17"/>
      <c r="AF30" s="17"/>
      <c r="AG30" s="17"/>
    </row>
    <row r="31" customFormat="false" ht="46.25" hidden="false" customHeight="false" outlineLevel="0" collapsed="false">
      <c r="A31" s="15" t="str">
        <f aca="false">"B"&amp;TEXT(ROW()-1,"0000")</f>
        <v>B0030</v>
      </c>
      <c r="B31" s="17" t="s">
        <v>5741</v>
      </c>
      <c r="C31" s="15" t="n">
        <v>3</v>
      </c>
      <c r="D31" s="15" t="s">
        <v>76</v>
      </c>
      <c r="E31" s="15" t="s">
        <v>5900</v>
      </c>
      <c r="F31" s="3" t="s">
        <v>5901</v>
      </c>
      <c r="G31" s="15" t="s">
        <v>5902</v>
      </c>
      <c r="H31" s="15" t="s">
        <v>5903</v>
      </c>
      <c r="I31" s="20" t="str">
        <f aca="false">IFERROR(INDEX('Nationwide KWs'!$D$2:$D$158,MATCH(H31,'Nationwide KWs'!$A$2:$A$158,0)),IFERROR(INDEX('Provincial KWs'!$E$2:$E$137,MATCH(H31,'Provincial KWs'!$A$2:$A$137,0)),IFERROR(INDEX('City KWs'!$F$2:$F$419,MATCH(H31,'City KWs'!$A$2:$A$419,0)),"")))</f>
        <v/>
      </c>
      <c r="J31" s="15" t="s">
        <v>5778</v>
      </c>
      <c r="K31" s="3" t="s">
        <v>5904</v>
      </c>
      <c r="L31" s="15" t="s">
        <v>147</v>
      </c>
      <c r="M31" s="15" t="s">
        <v>5177</v>
      </c>
      <c r="N31" s="15" t="s">
        <v>5747</v>
      </c>
      <c r="O31" s="3" t="s">
        <v>5905</v>
      </c>
      <c r="P31" s="15" t="n">
        <f aca="false">LEN(O31)</f>
        <v>53</v>
      </c>
      <c r="Q31" s="3" t="s">
        <v>5906</v>
      </c>
      <c r="R31" s="15" t="n">
        <f aca="false">LEN(Q31)</f>
        <v>149</v>
      </c>
      <c r="S31" s="15" t="str">
        <f aca="false">IF(H31="","",IF(ISNUMBER(SEARCH(SUBSTITUTE(H31,"-"," "),SUBSTITUTE(O31,"-"," "))),"Yes","Check"))</f>
        <v>Yes</v>
      </c>
      <c r="T31" s="3" t="s">
        <v>5907</v>
      </c>
      <c r="U31" s="3" t="s">
        <v>5908</v>
      </c>
      <c r="V31" s="3" t="s">
        <v>5909</v>
      </c>
      <c r="W31" s="3" t="s">
        <v>5910</v>
      </c>
      <c r="X31" s="3" t="s">
        <v>5911</v>
      </c>
      <c r="Y31" s="15" t="s">
        <v>5912</v>
      </c>
      <c r="Z31" s="16" t="n">
        <v>1400</v>
      </c>
      <c r="AA31" s="3" t="s">
        <v>5913</v>
      </c>
      <c r="AB31" s="3" t="s">
        <v>5914</v>
      </c>
      <c r="AC31" s="3" t="s">
        <v>5915</v>
      </c>
      <c r="AD31" s="15" t="s">
        <v>5773</v>
      </c>
      <c r="AE31" s="17"/>
      <c r="AF31" s="17"/>
      <c r="AG31" s="17"/>
    </row>
    <row r="32" customFormat="false" ht="46.25" hidden="false" customHeight="false" outlineLevel="0" collapsed="false">
      <c r="A32" s="15" t="str">
        <f aca="false">"B"&amp;TEXT(ROW()-1,"0000")</f>
        <v>B0031</v>
      </c>
      <c r="B32" s="17" t="s">
        <v>5741</v>
      </c>
      <c r="C32" s="15" t="n">
        <v>3</v>
      </c>
      <c r="D32" s="15" t="s">
        <v>76</v>
      </c>
      <c r="E32" s="15" t="s">
        <v>5900</v>
      </c>
      <c r="F32" s="3" t="s">
        <v>5916</v>
      </c>
      <c r="G32" s="15" t="s">
        <v>5917</v>
      </c>
      <c r="H32" s="15" t="s">
        <v>5918</v>
      </c>
      <c r="I32" s="20" t="str">
        <f aca="false">IFERROR(INDEX('Nationwide KWs'!$D$2:$D$158,MATCH(H32,'Nationwide KWs'!$A$2:$A$158,0)),IFERROR(INDEX('Provincial KWs'!$E$2:$E$137,MATCH(H32,'Provincial KWs'!$A$2:$A$137,0)),IFERROR(INDEX('City KWs'!$F$2:$F$419,MATCH(H32,'City KWs'!$A$2:$A$419,0)),"")))</f>
        <v/>
      </c>
      <c r="J32" s="15" t="s">
        <v>5778</v>
      </c>
      <c r="K32" s="3" t="s">
        <v>5919</v>
      </c>
      <c r="L32" s="15" t="s">
        <v>147</v>
      </c>
      <c r="M32" s="15" t="s">
        <v>5177</v>
      </c>
      <c r="N32" s="15" t="s">
        <v>5747</v>
      </c>
      <c r="O32" s="3" t="s">
        <v>5920</v>
      </c>
      <c r="P32" s="15" t="n">
        <f aca="false">LEN(O32)</f>
        <v>53</v>
      </c>
      <c r="Q32" s="3" t="s">
        <v>5921</v>
      </c>
      <c r="R32" s="15" t="n">
        <f aca="false">LEN(Q32)</f>
        <v>151</v>
      </c>
      <c r="S32" s="15" t="str">
        <f aca="false">IF(H32="","",IF(ISNUMBER(SEARCH(SUBSTITUTE(H32,"-"," "),SUBSTITUTE(O32,"-"," "))),"Yes","Check"))</f>
        <v>Yes</v>
      </c>
      <c r="T32" s="3" t="s">
        <v>5922</v>
      </c>
      <c r="U32" s="3" t="s">
        <v>5923</v>
      </c>
      <c r="V32" s="3" t="s">
        <v>5924</v>
      </c>
      <c r="W32" s="3" t="s">
        <v>5925</v>
      </c>
      <c r="X32" s="3" t="s">
        <v>5786</v>
      </c>
      <c r="Y32" s="15" t="s">
        <v>5684</v>
      </c>
      <c r="Z32" s="16" t="n">
        <v>1600</v>
      </c>
      <c r="AA32" s="3" t="s">
        <v>5926</v>
      </c>
      <c r="AB32" s="3" t="s">
        <v>5927</v>
      </c>
      <c r="AC32" s="3" t="s">
        <v>5928</v>
      </c>
      <c r="AD32" s="15" t="s">
        <v>5773</v>
      </c>
      <c r="AE32" s="17"/>
      <c r="AF32" s="17"/>
      <c r="AG32" s="17"/>
    </row>
    <row r="33" customFormat="false" ht="35.05" hidden="false" customHeight="false" outlineLevel="0" collapsed="false">
      <c r="A33" s="15" t="str">
        <f aca="false">"B"&amp;TEXT(ROW()-1,"0000")</f>
        <v>B0032</v>
      </c>
      <c r="B33" s="17" t="s">
        <v>5741</v>
      </c>
      <c r="C33" s="15" t="n">
        <v>3</v>
      </c>
      <c r="D33" s="15" t="s">
        <v>76</v>
      </c>
      <c r="E33" s="15" t="s">
        <v>5790</v>
      </c>
      <c r="F33" s="3" t="s">
        <v>5929</v>
      </c>
      <c r="G33" s="15" t="s">
        <v>5930</v>
      </c>
      <c r="H33" s="15" t="s">
        <v>5931</v>
      </c>
      <c r="I33" s="20" t="str">
        <f aca="false">IFERROR(INDEX('Nationwide KWs'!$D$2:$D$158,MATCH(H33,'Nationwide KWs'!$A$2:$A$158,0)),IFERROR(INDEX('Provincial KWs'!$E$2:$E$137,MATCH(H33,'Provincial KWs'!$A$2:$A$137,0)),IFERROR(INDEX('City KWs'!$F$2:$F$419,MATCH(H33,'City KWs'!$A$2:$A$419,0)),"")))</f>
        <v/>
      </c>
      <c r="J33" s="15" t="s">
        <v>5778</v>
      </c>
      <c r="K33" s="3" t="s">
        <v>5932</v>
      </c>
      <c r="L33" s="15" t="s">
        <v>147</v>
      </c>
      <c r="M33" s="15" t="s">
        <v>5177</v>
      </c>
      <c r="N33" s="15" t="s">
        <v>5747</v>
      </c>
      <c r="O33" s="3" t="s">
        <v>5933</v>
      </c>
      <c r="P33" s="15" t="n">
        <f aca="false">LEN(O33)</f>
        <v>54</v>
      </c>
      <c r="Q33" s="3" t="s">
        <v>5934</v>
      </c>
      <c r="R33" s="15" t="n">
        <f aca="false">LEN(Q33)</f>
        <v>152</v>
      </c>
      <c r="S33" s="15" t="str">
        <f aca="false">IF(H33="","",IF(ISNUMBER(SEARCH(SUBSTITUTE(H33,"-"," "),SUBSTITUTE(O33,"-"," "))),"Yes","Check"))</f>
        <v>Yes</v>
      </c>
      <c r="T33" s="3" t="s">
        <v>5935</v>
      </c>
      <c r="U33" s="3" t="s">
        <v>5936</v>
      </c>
      <c r="V33" s="3" t="s">
        <v>5937</v>
      </c>
      <c r="W33" s="3" t="s">
        <v>5938</v>
      </c>
      <c r="X33" s="3" t="s">
        <v>5754</v>
      </c>
      <c r="Y33" s="15" t="s">
        <v>5684</v>
      </c>
      <c r="Z33" s="16" t="n">
        <v>1500</v>
      </c>
      <c r="AA33" s="3" t="s">
        <v>5939</v>
      </c>
      <c r="AB33" s="3" t="s">
        <v>5940</v>
      </c>
      <c r="AC33" s="3" t="s">
        <v>5941</v>
      </c>
      <c r="AD33" s="15" t="s">
        <v>5773</v>
      </c>
      <c r="AE33" s="17"/>
      <c r="AF33" s="17"/>
      <c r="AG33" s="17"/>
    </row>
    <row r="34" customFormat="false" ht="46.25" hidden="false" customHeight="false" outlineLevel="0" collapsed="false">
      <c r="A34" s="15" t="str">
        <f aca="false">"B"&amp;TEXT(ROW()-1,"0000")</f>
        <v>B0033</v>
      </c>
      <c r="B34" s="17" t="s">
        <v>5741</v>
      </c>
      <c r="C34" s="15" t="n">
        <v>3</v>
      </c>
      <c r="D34" s="15" t="s">
        <v>76</v>
      </c>
      <c r="E34" s="15" t="s">
        <v>5790</v>
      </c>
      <c r="F34" s="3" t="s">
        <v>5942</v>
      </c>
      <c r="G34" s="15" t="s">
        <v>5943</v>
      </c>
      <c r="H34" s="15" t="s">
        <v>5944</v>
      </c>
      <c r="I34" s="20" t="str">
        <f aca="false">IFERROR(INDEX('Nationwide KWs'!$D$2:$D$158,MATCH(H34,'Nationwide KWs'!$A$2:$A$158,0)),IFERROR(INDEX('Provincial KWs'!$E$2:$E$137,MATCH(H34,'Provincial KWs'!$A$2:$A$137,0)),IFERROR(INDEX('City KWs'!$F$2:$F$419,MATCH(H34,'City KWs'!$A$2:$A$419,0)),"")))</f>
        <v/>
      </c>
      <c r="J34" s="15" t="s">
        <v>5778</v>
      </c>
      <c r="K34" s="3" t="s">
        <v>5945</v>
      </c>
      <c r="L34" s="15" t="s">
        <v>147</v>
      </c>
      <c r="M34" s="15" t="s">
        <v>5159</v>
      </c>
      <c r="N34" s="15" t="s">
        <v>5747</v>
      </c>
      <c r="O34" s="3" t="s">
        <v>5946</v>
      </c>
      <c r="P34" s="15" t="n">
        <f aca="false">LEN(O34)</f>
        <v>53</v>
      </c>
      <c r="Q34" s="3" t="s">
        <v>5947</v>
      </c>
      <c r="R34" s="15" t="n">
        <f aca="false">LEN(Q34)</f>
        <v>146</v>
      </c>
      <c r="S34" s="15" t="str">
        <f aca="false">IF(H34="","",IF(ISNUMBER(SEARCH(SUBSTITUTE(H34,"-"," "),SUBSTITUTE(O34,"-"," "))),"Yes","Check"))</f>
        <v>Check</v>
      </c>
      <c r="T34" s="3" t="s">
        <v>5948</v>
      </c>
      <c r="U34" s="3" t="s">
        <v>5949</v>
      </c>
      <c r="V34" s="3" t="s">
        <v>5950</v>
      </c>
      <c r="W34" s="3" t="s">
        <v>5951</v>
      </c>
      <c r="X34" s="3" t="s">
        <v>5754</v>
      </c>
      <c r="Y34" s="15" t="s">
        <v>5684</v>
      </c>
      <c r="Z34" s="16" t="n">
        <v>1500</v>
      </c>
      <c r="AA34" s="3" t="s">
        <v>5952</v>
      </c>
      <c r="AB34" s="3" t="s">
        <v>5953</v>
      </c>
      <c r="AC34" s="3" t="s">
        <v>5954</v>
      </c>
      <c r="AD34" s="15" t="s">
        <v>5773</v>
      </c>
      <c r="AE34" s="17"/>
      <c r="AF34" s="17"/>
      <c r="AG34" s="17"/>
    </row>
    <row r="35" customFormat="false" ht="46.25" hidden="false" customHeight="false" outlineLevel="0" collapsed="false">
      <c r="A35" s="15" t="str">
        <f aca="false">"B"&amp;TEXT(ROW()-1,"0000")</f>
        <v>B0034</v>
      </c>
      <c r="B35" s="17" t="s">
        <v>5741</v>
      </c>
      <c r="C35" s="15" t="n">
        <v>3</v>
      </c>
      <c r="D35" s="15" t="s">
        <v>76</v>
      </c>
      <c r="E35" s="15" t="s">
        <v>5859</v>
      </c>
      <c r="F35" s="3" t="s">
        <v>5955</v>
      </c>
      <c r="G35" s="15" t="s">
        <v>5956</v>
      </c>
      <c r="H35" s="15" t="s">
        <v>5957</v>
      </c>
      <c r="I35" s="20" t="str">
        <f aca="false">IFERROR(INDEX('Nationwide KWs'!$D$2:$D$158,MATCH(H35,'Nationwide KWs'!$A$2:$A$158,0)),IFERROR(INDEX('Provincial KWs'!$E$2:$E$137,MATCH(H35,'Provincial KWs'!$A$2:$A$137,0)),IFERROR(INDEX('City KWs'!$F$2:$F$419,MATCH(H35,'City KWs'!$A$2:$A$419,0)),"")))</f>
        <v/>
      </c>
      <c r="J35" s="15" t="s">
        <v>5778</v>
      </c>
      <c r="K35" s="3" t="s">
        <v>5958</v>
      </c>
      <c r="L35" s="15" t="s">
        <v>147</v>
      </c>
      <c r="M35" s="15" t="s">
        <v>5159</v>
      </c>
      <c r="N35" s="15" t="s">
        <v>5747</v>
      </c>
      <c r="O35" s="3" t="s">
        <v>5959</v>
      </c>
      <c r="P35" s="15" t="n">
        <f aca="false">LEN(O35)</f>
        <v>47</v>
      </c>
      <c r="Q35" s="3" t="s">
        <v>5960</v>
      </c>
      <c r="R35" s="15" t="n">
        <f aca="false">LEN(Q35)</f>
        <v>145</v>
      </c>
      <c r="S35" s="15" t="str">
        <f aca="false">IF(H35="","",IF(ISNUMBER(SEARCH(SUBSTITUTE(H35,"-"," "),SUBSTITUTE(O35,"-"," "))),"Yes","Check"))</f>
        <v>Yes</v>
      </c>
      <c r="T35" s="3" t="s">
        <v>5961</v>
      </c>
      <c r="U35" s="3" t="s">
        <v>5962</v>
      </c>
      <c r="V35" s="3" t="s">
        <v>5963</v>
      </c>
      <c r="W35" s="3" t="s">
        <v>5964</v>
      </c>
      <c r="X35" s="3" t="s">
        <v>5754</v>
      </c>
      <c r="Y35" s="15" t="s">
        <v>5684</v>
      </c>
      <c r="Z35" s="16" t="n">
        <v>1500</v>
      </c>
      <c r="AA35" s="3" t="s">
        <v>5965</v>
      </c>
      <c r="AB35" s="3" t="s">
        <v>5966</v>
      </c>
      <c r="AC35" s="3" t="s">
        <v>5967</v>
      </c>
      <c r="AD35" s="15" t="s">
        <v>5773</v>
      </c>
      <c r="AE35" s="17"/>
      <c r="AF35" s="17"/>
      <c r="AG35" s="17"/>
    </row>
    <row r="36" customFormat="false" ht="35.05" hidden="false" customHeight="false" outlineLevel="0" collapsed="false">
      <c r="A36" s="15" t="str">
        <f aca="false">"B"&amp;TEXT(ROW()-1,"0000")</f>
        <v>B0035</v>
      </c>
      <c r="B36" s="17" t="s">
        <v>5741</v>
      </c>
      <c r="C36" s="15" t="n">
        <v>3</v>
      </c>
      <c r="D36" s="15" t="s">
        <v>76</v>
      </c>
      <c r="E36" s="15" t="s">
        <v>5859</v>
      </c>
      <c r="F36" s="3" t="s">
        <v>5968</v>
      </c>
      <c r="G36" s="15" t="s">
        <v>5969</v>
      </c>
      <c r="H36" s="15" t="s">
        <v>5970</v>
      </c>
      <c r="I36" s="20" t="str">
        <f aca="false">IFERROR(INDEX('Nationwide KWs'!$D$2:$D$158,MATCH(H36,'Nationwide KWs'!$A$2:$A$158,0)),IFERROR(INDEX('Provincial KWs'!$E$2:$E$137,MATCH(H36,'Provincial KWs'!$A$2:$A$137,0)),IFERROR(INDEX('City KWs'!$F$2:$F$419,MATCH(H36,'City KWs'!$A$2:$A$419,0)),"")))</f>
        <v/>
      </c>
      <c r="J36" s="15" t="s">
        <v>5778</v>
      </c>
      <c r="K36" s="3" t="s">
        <v>5971</v>
      </c>
      <c r="L36" s="15" t="s">
        <v>147</v>
      </c>
      <c r="M36" s="15" t="s">
        <v>5159</v>
      </c>
      <c r="N36" s="15" t="s">
        <v>5747</v>
      </c>
      <c r="O36" s="3" t="s">
        <v>5972</v>
      </c>
      <c r="P36" s="15" t="n">
        <f aca="false">LEN(O36)</f>
        <v>51</v>
      </c>
      <c r="Q36" s="3" t="s">
        <v>5973</v>
      </c>
      <c r="R36" s="15" t="n">
        <f aca="false">LEN(Q36)</f>
        <v>148</v>
      </c>
      <c r="S36" s="15" t="str">
        <f aca="false">IF(H36="","",IF(ISNUMBER(SEARCH(SUBSTITUTE(H36,"-"," "),SUBSTITUTE(O36,"-"," "))),"Yes","Check"))</f>
        <v>Yes</v>
      </c>
      <c r="T36" s="3" t="s">
        <v>5974</v>
      </c>
      <c r="U36" s="3" t="s">
        <v>5975</v>
      </c>
      <c r="V36" s="3" t="s">
        <v>5976</v>
      </c>
      <c r="W36" s="3" t="s">
        <v>5977</v>
      </c>
      <c r="X36" s="3" t="s">
        <v>5754</v>
      </c>
      <c r="Y36" s="15" t="s">
        <v>5684</v>
      </c>
      <c r="Z36" s="16" t="n">
        <v>1400</v>
      </c>
      <c r="AA36" s="3" t="s">
        <v>5978</v>
      </c>
      <c r="AB36" s="3" t="s">
        <v>5979</v>
      </c>
      <c r="AC36" s="3" t="s">
        <v>5980</v>
      </c>
      <c r="AD36" s="15" t="s">
        <v>5773</v>
      </c>
      <c r="AE36" s="17"/>
      <c r="AF36" s="17"/>
      <c r="AG36" s="17"/>
    </row>
    <row r="37" customFormat="false" ht="46.25" hidden="false" customHeight="false" outlineLevel="0" collapsed="false">
      <c r="A37" s="15" t="str">
        <f aca="false">"B"&amp;TEXT(ROW()-1,"0000")</f>
        <v>B0036</v>
      </c>
      <c r="B37" s="17" t="s">
        <v>5741</v>
      </c>
      <c r="C37" s="15" t="n">
        <v>1</v>
      </c>
      <c r="D37" s="15" t="s">
        <v>77</v>
      </c>
      <c r="E37" s="15" t="s">
        <v>5742</v>
      </c>
      <c r="F37" s="3" t="s">
        <v>5981</v>
      </c>
      <c r="G37" s="15" t="s">
        <v>5982</v>
      </c>
      <c r="H37" s="15" t="s">
        <v>5983</v>
      </c>
      <c r="I37" s="20" t="str">
        <f aca="false">IFERROR(INDEX('Nationwide KWs'!$D$2:$D$158,MATCH(H37,'Nationwide KWs'!$A$2:$A$158,0)),IFERROR(INDEX('Provincial KWs'!$E$2:$E$137,MATCH(H37,'Provincial KWs'!$A$2:$A$137,0)),IFERROR(INDEX('City KWs'!$F$2:$F$419,MATCH(H37,'City KWs'!$A$2:$A$419,0)),"")))</f>
        <v/>
      </c>
      <c r="J37" s="15" t="s">
        <v>5778</v>
      </c>
      <c r="K37" s="3" t="s">
        <v>5984</v>
      </c>
      <c r="L37" s="15" t="s">
        <v>147</v>
      </c>
      <c r="M37" s="15" t="s">
        <v>5159</v>
      </c>
      <c r="N37" s="15" t="s">
        <v>5747</v>
      </c>
      <c r="O37" s="3" t="s">
        <v>5985</v>
      </c>
      <c r="P37" s="15" t="n">
        <f aca="false">LEN(O37)</f>
        <v>52</v>
      </c>
      <c r="Q37" s="3" t="s">
        <v>5986</v>
      </c>
      <c r="R37" s="15" t="n">
        <f aca="false">LEN(Q37)</f>
        <v>154</v>
      </c>
      <c r="S37" s="15" t="str">
        <f aca="false">IF(H37="","",IF(ISNUMBER(SEARCH(SUBSTITUTE(H37,"-"," "),SUBSTITUTE(O37,"-"," "))),"Yes","Check"))</f>
        <v>Yes</v>
      </c>
      <c r="T37" s="3" t="s">
        <v>5987</v>
      </c>
      <c r="U37" s="3" t="s">
        <v>5988</v>
      </c>
      <c r="V37" s="3" t="s">
        <v>5989</v>
      </c>
      <c r="W37" s="3" t="s">
        <v>5990</v>
      </c>
      <c r="X37" s="3" t="s">
        <v>5991</v>
      </c>
      <c r="Y37" s="15" t="s">
        <v>5684</v>
      </c>
      <c r="Z37" s="16" t="n">
        <v>1800</v>
      </c>
      <c r="AA37" s="3" t="s">
        <v>5992</v>
      </c>
      <c r="AB37" s="3" t="s">
        <v>5993</v>
      </c>
      <c r="AC37" s="3" t="s">
        <v>5994</v>
      </c>
      <c r="AD37" s="15" t="s">
        <v>5687</v>
      </c>
      <c r="AE37" s="17"/>
      <c r="AF37" s="17"/>
      <c r="AG37" s="17"/>
    </row>
    <row r="38" customFormat="false" ht="46.25" hidden="false" customHeight="false" outlineLevel="0" collapsed="false">
      <c r="A38" s="15" t="str">
        <f aca="false">"B"&amp;TEXT(ROW()-1,"0000")</f>
        <v>B0037</v>
      </c>
      <c r="B38" s="17" t="s">
        <v>5741</v>
      </c>
      <c r="C38" s="15" t="n">
        <v>1</v>
      </c>
      <c r="D38" s="15" t="s">
        <v>77</v>
      </c>
      <c r="E38" s="15" t="s">
        <v>5859</v>
      </c>
      <c r="F38" s="3" t="s">
        <v>5995</v>
      </c>
      <c r="G38" s="15" t="s">
        <v>5996</v>
      </c>
      <c r="H38" s="15" t="s">
        <v>5997</v>
      </c>
      <c r="I38" s="20" t="str">
        <f aca="false">IFERROR(INDEX('Nationwide KWs'!$D$2:$D$158,MATCH(H38,'Nationwide KWs'!$A$2:$A$158,0)),IFERROR(INDEX('Provincial KWs'!$E$2:$E$137,MATCH(H38,'Provincial KWs'!$A$2:$A$137,0)),IFERROR(INDEX('City KWs'!$F$2:$F$419,MATCH(H38,'City KWs'!$A$2:$A$419,0)),"")))</f>
        <v/>
      </c>
      <c r="J38" s="15" t="s">
        <v>5998</v>
      </c>
      <c r="K38" s="3" t="s">
        <v>5999</v>
      </c>
      <c r="L38" s="15" t="s">
        <v>147</v>
      </c>
      <c r="M38" s="15" t="s">
        <v>5159</v>
      </c>
      <c r="N38" s="15" t="s">
        <v>5747</v>
      </c>
      <c r="O38" s="3" t="s">
        <v>6000</v>
      </c>
      <c r="P38" s="15" t="n">
        <f aca="false">LEN(O38)</f>
        <v>52</v>
      </c>
      <c r="Q38" s="3" t="s">
        <v>6001</v>
      </c>
      <c r="R38" s="15" t="n">
        <f aca="false">LEN(Q38)</f>
        <v>150</v>
      </c>
      <c r="S38" s="15" t="str">
        <f aca="false">IF(H38="","",IF(ISNUMBER(SEARCH(SUBSTITUTE(H38,"-"," "),SUBSTITUTE(O38,"-"," "))),"Yes","Check"))</f>
        <v>Yes</v>
      </c>
      <c r="T38" s="3" t="s">
        <v>6002</v>
      </c>
      <c r="U38" s="3" t="s">
        <v>6003</v>
      </c>
      <c r="V38" s="3" t="s">
        <v>6004</v>
      </c>
      <c r="W38" s="3" t="s">
        <v>6005</v>
      </c>
      <c r="X38" s="3" t="s">
        <v>5870</v>
      </c>
      <c r="Y38" s="15" t="s">
        <v>5684</v>
      </c>
      <c r="Z38" s="16" t="n">
        <v>1600</v>
      </c>
      <c r="AA38" s="3" t="s">
        <v>6006</v>
      </c>
      <c r="AB38" s="3" t="s">
        <v>6007</v>
      </c>
      <c r="AC38" s="3" t="s">
        <v>6008</v>
      </c>
      <c r="AD38" s="15" t="s">
        <v>5773</v>
      </c>
      <c r="AE38" s="17"/>
      <c r="AF38" s="17"/>
      <c r="AG38" s="17"/>
    </row>
    <row r="39" customFormat="false" ht="57.45" hidden="false" customHeight="false" outlineLevel="0" collapsed="false">
      <c r="A39" s="15" t="str">
        <f aca="false">"B"&amp;TEXT(ROW()-1,"0000")</f>
        <v>B0038</v>
      </c>
      <c r="B39" s="17" t="s">
        <v>5741</v>
      </c>
      <c r="C39" s="15" t="n">
        <v>1</v>
      </c>
      <c r="D39" s="15" t="s">
        <v>77</v>
      </c>
      <c r="E39" s="15" t="s">
        <v>6009</v>
      </c>
      <c r="F39" s="3" t="s">
        <v>6010</v>
      </c>
      <c r="G39" s="15" t="s">
        <v>6011</v>
      </c>
      <c r="H39" s="15" t="s">
        <v>6012</v>
      </c>
      <c r="I39" s="20" t="str">
        <f aca="false">IFERROR(INDEX('Nationwide KWs'!$D$2:$D$158,MATCH(H39,'Nationwide KWs'!$A$2:$A$158,0)),IFERROR(INDEX('Provincial KWs'!$E$2:$E$137,MATCH(H39,'Provincial KWs'!$A$2:$A$137,0)),IFERROR(INDEX('City KWs'!$F$2:$F$419,MATCH(H39,'City KWs'!$A$2:$A$419,0)),"")))</f>
        <v/>
      </c>
      <c r="J39" s="15" t="s">
        <v>5778</v>
      </c>
      <c r="K39" s="3" t="s">
        <v>6013</v>
      </c>
      <c r="L39" s="15" t="s">
        <v>5704</v>
      </c>
      <c r="M39" s="15" t="s">
        <v>5177</v>
      </c>
      <c r="N39" s="15" t="s">
        <v>5747</v>
      </c>
      <c r="O39" s="3" t="s">
        <v>6014</v>
      </c>
      <c r="P39" s="15" t="n">
        <f aca="false">LEN(O39)</f>
        <v>55</v>
      </c>
      <c r="Q39" s="3" t="s">
        <v>6015</v>
      </c>
      <c r="R39" s="15" t="n">
        <f aca="false">LEN(Q39)</f>
        <v>152</v>
      </c>
      <c r="S39" s="15" t="str">
        <f aca="false">IF(H39="","",IF(ISNUMBER(SEARCH(SUBSTITUTE(H39,"-"," "),SUBSTITUTE(O39,"-"," "))),"Yes","Check"))</f>
        <v>Yes</v>
      </c>
      <c r="T39" s="3" t="s">
        <v>6016</v>
      </c>
      <c r="U39" s="3" t="s">
        <v>6017</v>
      </c>
      <c r="V39" s="3" t="s">
        <v>6018</v>
      </c>
      <c r="W39" s="3" t="s">
        <v>6019</v>
      </c>
      <c r="X39" s="3" t="s">
        <v>5870</v>
      </c>
      <c r="Y39" s="15" t="s">
        <v>5684</v>
      </c>
      <c r="Z39" s="16" t="n">
        <v>1800</v>
      </c>
      <c r="AA39" s="3" t="s">
        <v>6020</v>
      </c>
      <c r="AB39" s="3" t="s">
        <v>6021</v>
      </c>
      <c r="AC39" s="3" t="s">
        <v>6022</v>
      </c>
      <c r="AD39" s="15" t="s">
        <v>6023</v>
      </c>
      <c r="AE39" s="17"/>
      <c r="AF39" s="17"/>
      <c r="AG39" s="17"/>
    </row>
    <row r="40" customFormat="false" ht="46.25" hidden="false" customHeight="false" outlineLevel="0" collapsed="false">
      <c r="A40" s="15" t="str">
        <f aca="false">"B"&amp;TEXT(ROW()-1,"0000")</f>
        <v>B0039</v>
      </c>
      <c r="B40" s="17" t="s">
        <v>5741</v>
      </c>
      <c r="C40" s="15" t="n">
        <v>1</v>
      </c>
      <c r="D40" s="15" t="s">
        <v>77</v>
      </c>
      <c r="E40" s="15" t="s">
        <v>5774</v>
      </c>
      <c r="F40" s="3" t="s">
        <v>6024</v>
      </c>
      <c r="G40" s="15" t="s">
        <v>6025</v>
      </c>
      <c r="H40" s="15" t="s">
        <v>6026</v>
      </c>
      <c r="I40" s="20" t="str">
        <f aca="false">IFERROR(INDEX('Nationwide KWs'!$D$2:$D$158,MATCH(H40,'Nationwide KWs'!$A$2:$A$158,0)),IFERROR(INDEX('Provincial KWs'!$E$2:$E$137,MATCH(H40,'Provincial KWs'!$A$2:$A$137,0)),IFERROR(INDEX('City KWs'!$F$2:$F$419,MATCH(H40,'City KWs'!$A$2:$A$419,0)),"")))</f>
        <v/>
      </c>
      <c r="J40" s="15" t="s">
        <v>5998</v>
      </c>
      <c r="K40" s="3" t="s">
        <v>6027</v>
      </c>
      <c r="L40" s="15" t="s">
        <v>147</v>
      </c>
      <c r="M40" s="15" t="s">
        <v>5159</v>
      </c>
      <c r="N40" s="15" t="s">
        <v>5747</v>
      </c>
      <c r="O40" s="3" t="s">
        <v>6028</v>
      </c>
      <c r="P40" s="15" t="n">
        <f aca="false">LEN(O40)</f>
        <v>51</v>
      </c>
      <c r="Q40" s="3" t="s">
        <v>6029</v>
      </c>
      <c r="R40" s="15" t="n">
        <f aca="false">LEN(Q40)</f>
        <v>145</v>
      </c>
      <c r="S40" s="15" t="str">
        <f aca="false">IF(H40="","",IF(ISNUMBER(SEARCH(SUBSTITUTE(H40,"-"," "),SUBSTITUTE(O40,"-"," "))),"Yes","Check"))</f>
        <v>Check</v>
      </c>
      <c r="T40" s="3" t="s">
        <v>6030</v>
      </c>
      <c r="U40" s="3" t="s">
        <v>6031</v>
      </c>
      <c r="V40" s="3" t="s">
        <v>6032</v>
      </c>
      <c r="W40" s="3" t="s">
        <v>6033</v>
      </c>
      <c r="X40" s="3" t="s">
        <v>5870</v>
      </c>
      <c r="Y40" s="15" t="s">
        <v>5684</v>
      </c>
      <c r="Z40" s="16" t="n">
        <v>1700</v>
      </c>
      <c r="AA40" s="3" t="s">
        <v>6034</v>
      </c>
      <c r="AB40" s="3" t="s">
        <v>6035</v>
      </c>
      <c r="AC40" s="3" t="s">
        <v>6036</v>
      </c>
      <c r="AD40" s="15" t="s">
        <v>5773</v>
      </c>
      <c r="AE40" s="17"/>
      <c r="AF40" s="17"/>
      <c r="AG40" s="17"/>
    </row>
    <row r="41" customFormat="false" ht="46.25" hidden="false" customHeight="false" outlineLevel="0" collapsed="false">
      <c r="A41" s="15" t="str">
        <f aca="false">"B"&amp;TEXT(ROW()-1,"0000")</f>
        <v>B0040</v>
      </c>
      <c r="B41" s="17" t="s">
        <v>5741</v>
      </c>
      <c r="C41" s="15" t="n">
        <v>2</v>
      </c>
      <c r="D41" s="15" t="s">
        <v>77</v>
      </c>
      <c r="E41" s="15" t="s">
        <v>6037</v>
      </c>
      <c r="F41" s="3" t="s">
        <v>6038</v>
      </c>
      <c r="G41" s="15" t="s">
        <v>6039</v>
      </c>
      <c r="H41" s="15" t="s">
        <v>6040</v>
      </c>
      <c r="I41" s="20" t="str">
        <f aca="false">IFERROR(INDEX('Nationwide KWs'!$D$2:$D$158,MATCH(H41,'Nationwide KWs'!$A$2:$A$158,0)),IFERROR(INDEX('Provincial KWs'!$E$2:$E$137,MATCH(H41,'Provincial KWs'!$A$2:$A$137,0)),IFERROR(INDEX('City KWs'!$F$2:$F$419,MATCH(H41,'City KWs'!$A$2:$A$419,0)),"")))</f>
        <v/>
      </c>
      <c r="J41" s="15" t="s">
        <v>5998</v>
      </c>
      <c r="K41" s="3" t="s">
        <v>6041</v>
      </c>
      <c r="L41" s="15" t="s">
        <v>147</v>
      </c>
      <c r="M41" s="15" t="s">
        <v>5159</v>
      </c>
      <c r="N41" s="15" t="s">
        <v>5747</v>
      </c>
      <c r="O41" s="3" t="s">
        <v>6042</v>
      </c>
      <c r="P41" s="15" t="n">
        <f aca="false">LEN(O41)</f>
        <v>49</v>
      </c>
      <c r="Q41" s="3" t="s">
        <v>6043</v>
      </c>
      <c r="R41" s="15" t="n">
        <f aca="false">LEN(Q41)</f>
        <v>146</v>
      </c>
      <c r="S41" s="15" t="str">
        <f aca="false">IF(H41="","",IF(ISNUMBER(SEARCH(SUBSTITUTE(H41,"-"," "),SUBSTITUTE(O41,"-"," "))),"Yes","Check"))</f>
        <v>Yes</v>
      </c>
      <c r="T41" s="3" t="s">
        <v>6044</v>
      </c>
      <c r="U41" s="3" t="s">
        <v>6045</v>
      </c>
      <c r="V41" s="3" t="s">
        <v>6046</v>
      </c>
      <c r="W41" s="3" t="s">
        <v>6047</v>
      </c>
      <c r="X41" s="3" t="s">
        <v>5870</v>
      </c>
      <c r="Y41" s="15" t="s">
        <v>5684</v>
      </c>
      <c r="Z41" s="16" t="n">
        <v>1400</v>
      </c>
      <c r="AA41" s="3" t="s">
        <v>6048</v>
      </c>
      <c r="AB41" s="3" t="s">
        <v>6049</v>
      </c>
      <c r="AC41" s="3" t="s">
        <v>6050</v>
      </c>
      <c r="AD41" s="15" t="s">
        <v>5773</v>
      </c>
      <c r="AE41" s="17"/>
      <c r="AF41" s="17"/>
      <c r="AG41" s="17"/>
    </row>
    <row r="42" customFormat="false" ht="35.05" hidden="false" customHeight="false" outlineLevel="0" collapsed="false">
      <c r="A42" s="15" t="str">
        <f aca="false">"B"&amp;TEXT(ROW()-1,"0000")</f>
        <v>B0041</v>
      </c>
      <c r="B42" s="17" t="s">
        <v>5741</v>
      </c>
      <c r="C42" s="15" t="n">
        <v>2</v>
      </c>
      <c r="D42" s="15" t="s">
        <v>77</v>
      </c>
      <c r="E42" s="15" t="s">
        <v>5790</v>
      </c>
      <c r="F42" s="3" t="s">
        <v>6051</v>
      </c>
      <c r="G42" s="15" t="s">
        <v>6052</v>
      </c>
      <c r="H42" s="15" t="s">
        <v>6053</v>
      </c>
      <c r="I42" s="20" t="str">
        <f aca="false">IFERROR(INDEX('Nationwide KWs'!$D$2:$D$158,MATCH(H42,'Nationwide KWs'!$A$2:$A$158,0)),IFERROR(INDEX('Provincial KWs'!$E$2:$E$137,MATCH(H42,'Provincial KWs'!$A$2:$A$137,0)),IFERROR(INDEX('City KWs'!$F$2:$F$419,MATCH(H42,'City KWs'!$A$2:$A$419,0)),"")))</f>
        <v/>
      </c>
      <c r="J42" s="15" t="s">
        <v>5998</v>
      </c>
      <c r="K42" s="3" t="s">
        <v>6054</v>
      </c>
      <c r="L42" s="15" t="s">
        <v>147</v>
      </c>
      <c r="M42" s="15" t="s">
        <v>5159</v>
      </c>
      <c r="N42" s="15" t="s">
        <v>5747</v>
      </c>
      <c r="O42" s="3" t="s">
        <v>6055</v>
      </c>
      <c r="P42" s="15" t="n">
        <f aca="false">LEN(O42)</f>
        <v>49</v>
      </c>
      <c r="Q42" s="3" t="s">
        <v>6056</v>
      </c>
      <c r="R42" s="15" t="n">
        <f aca="false">LEN(Q42)</f>
        <v>146</v>
      </c>
      <c r="S42" s="15" t="str">
        <f aca="false">IF(H42="","",IF(ISNUMBER(SEARCH(SUBSTITUTE(H42,"-"," "),SUBSTITUTE(O42,"-"," "))),"Yes","Check"))</f>
        <v>Yes</v>
      </c>
      <c r="T42" s="3" t="s">
        <v>6057</v>
      </c>
      <c r="U42" s="3" t="s">
        <v>6058</v>
      </c>
      <c r="V42" s="3" t="s">
        <v>6059</v>
      </c>
      <c r="W42" s="3" t="s">
        <v>6060</v>
      </c>
      <c r="X42" s="3" t="s">
        <v>5991</v>
      </c>
      <c r="Y42" s="15" t="s">
        <v>5684</v>
      </c>
      <c r="Z42" s="16" t="n">
        <v>1600</v>
      </c>
      <c r="AA42" s="3" t="s">
        <v>6061</v>
      </c>
      <c r="AB42" s="3" t="s">
        <v>6062</v>
      </c>
      <c r="AC42" s="3" t="s">
        <v>6063</v>
      </c>
      <c r="AD42" s="15" t="s">
        <v>5773</v>
      </c>
      <c r="AE42" s="17"/>
      <c r="AF42" s="17"/>
      <c r="AG42" s="17"/>
    </row>
    <row r="43" customFormat="false" ht="46.25" hidden="false" customHeight="false" outlineLevel="0" collapsed="false">
      <c r="A43" s="15" t="str">
        <f aca="false">"B"&amp;TEXT(ROW()-1,"0000")</f>
        <v>B0042</v>
      </c>
      <c r="B43" s="17" t="s">
        <v>5741</v>
      </c>
      <c r="C43" s="15" t="n">
        <v>2</v>
      </c>
      <c r="D43" s="15" t="s">
        <v>77</v>
      </c>
      <c r="E43" s="15" t="s">
        <v>5790</v>
      </c>
      <c r="F43" s="3" t="s">
        <v>6064</v>
      </c>
      <c r="G43" s="15" t="s">
        <v>6065</v>
      </c>
      <c r="H43" s="15" t="s">
        <v>6066</v>
      </c>
      <c r="I43" s="20" t="str">
        <f aca="false">IFERROR(INDEX('Nationwide KWs'!$D$2:$D$158,MATCH(H43,'Nationwide KWs'!$A$2:$A$158,0)),IFERROR(INDEX('Provincial KWs'!$E$2:$E$137,MATCH(H43,'Provincial KWs'!$A$2:$A$137,0)),IFERROR(INDEX('City KWs'!$F$2:$F$419,MATCH(H43,'City KWs'!$A$2:$A$419,0)),"")))</f>
        <v/>
      </c>
      <c r="J43" s="15" t="s">
        <v>5778</v>
      </c>
      <c r="K43" s="3" t="s">
        <v>6067</v>
      </c>
      <c r="L43" s="15" t="s">
        <v>147</v>
      </c>
      <c r="M43" s="15" t="s">
        <v>5159</v>
      </c>
      <c r="N43" s="15" t="s">
        <v>5747</v>
      </c>
      <c r="O43" s="3" t="s">
        <v>6068</v>
      </c>
      <c r="P43" s="15" t="n">
        <f aca="false">LEN(O43)</f>
        <v>50</v>
      </c>
      <c r="Q43" s="3" t="s">
        <v>6069</v>
      </c>
      <c r="R43" s="15" t="n">
        <f aca="false">LEN(Q43)</f>
        <v>155</v>
      </c>
      <c r="S43" s="15" t="str">
        <f aca="false">IF(H43="","",IF(ISNUMBER(SEARCH(SUBSTITUTE(H43,"-"," "),SUBSTITUTE(O43,"-"," "))),"Yes","Check"))</f>
        <v>Yes</v>
      </c>
      <c r="T43" s="3" t="s">
        <v>6070</v>
      </c>
      <c r="U43" s="3" t="s">
        <v>6071</v>
      </c>
      <c r="V43" s="3" t="s">
        <v>6072</v>
      </c>
      <c r="W43" s="3" t="s">
        <v>6073</v>
      </c>
      <c r="X43" s="3" t="s">
        <v>6074</v>
      </c>
      <c r="Y43" s="15" t="s">
        <v>5684</v>
      </c>
      <c r="Z43" s="16" t="n">
        <v>1500</v>
      </c>
      <c r="AA43" s="3" t="s">
        <v>6075</v>
      </c>
      <c r="AB43" s="3" t="s">
        <v>6076</v>
      </c>
      <c r="AC43" s="3" t="s">
        <v>6077</v>
      </c>
      <c r="AD43" s="15" t="s">
        <v>5773</v>
      </c>
      <c r="AE43" s="17"/>
      <c r="AF43" s="17"/>
      <c r="AG43" s="17"/>
    </row>
    <row r="44" customFormat="false" ht="46.25" hidden="false" customHeight="false" outlineLevel="0" collapsed="false">
      <c r="A44" s="15" t="str">
        <f aca="false">"B"&amp;TEXT(ROW()-1,"0000")</f>
        <v>B0043</v>
      </c>
      <c r="B44" s="17" t="s">
        <v>5741</v>
      </c>
      <c r="C44" s="15" t="n">
        <v>2</v>
      </c>
      <c r="D44" s="15" t="s">
        <v>77</v>
      </c>
      <c r="E44" s="15" t="s">
        <v>5758</v>
      </c>
      <c r="F44" s="3" t="s">
        <v>6078</v>
      </c>
      <c r="G44" s="15" t="s">
        <v>6079</v>
      </c>
      <c r="H44" s="15" t="s">
        <v>6080</v>
      </c>
      <c r="I44" s="20" t="str">
        <f aca="false">IFERROR(INDEX('Nationwide KWs'!$D$2:$D$158,MATCH(H44,'Nationwide KWs'!$A$2:$A$158,0)),IFERROR(INDEX('Provincial KWs'!$E$2:$E$137,MATCH(H44,'Provincial KWs'!$A$2:$A$137,0)),IFERROR(INDEX('City KWs'!$F$2:$F$419,MATCH(H44,'City KWs'!$A$2:$A$419,0)),"")))</f>
        <v/>
      </c>
      <c r="J44" s="15" t="s">
        <v>5778</v>
      </c>
      <c r="K44" s="3" t="s">
        <v>6081</v>
      </c>
      <c r="L44" s="15" t="s">
        <v>147</v>
      </c>
      <c r="M44" s="15" t="s">
        <v>5177</v>
      </c>
      <c r="N44" s="15" t="s">
        <v>5747</v>
      </c>
      <c r="O44" s="3" t="s">
        <v>6082</v>
      </c>
      <c r="P44" s="15" t="n">
        <f aca="false">LEN(O44)</f>
        <v>50</v>
      </c>
      <c r="Q44" s="3" t="s">
        <v>6083</v>
      </c>
      <c r="R44" s="15" t="n">
        <f aca="false">LEN(Q44)</f>
        <v>154</v>
      </c>
      <c r="S44" s="15" t="str">
        <f aca="false">IF(H44="","",IF(ISNUMBER(SEARCH(SUBSTITUTE(H44,"-"," "),SUBSTITUTE(O44,"-"," "))),"Yes","Check"))</f>
        <v>Yes</v>
      </c>
      <c r="T44" s="3" t="s">
        <v>6084</v>
      </c>
      <c r="U44" s="3" t="s">
        <v>6085</v>
      </c>
      <c r="V44" s="3" t="s">
        <v>6086</v>
      </c>
      <c r="W44" s="3" t="s">
        <v>6087</v>
      </c>
      <c r="X44" s="3" t="s">
        <v>5991</v>
      </c>
      <c r="Y44" s="15" t="s">
        <v>5684</v>
      </c>
      <c r="Z44" s="16" t="n">
        <v>1500</v>
      </c>
      <c r="AA44" s="3" t="s">
        <v>6088</v>
      </c>
      <c r="AB44" s="3" t="s">
        <v>6089</v>
      </c>
      <c r="AC44" s="3" t="s">
        <v>6090</v>
      </c>
      <c r="AD44" s="15" t="s">
        <v>5773</v>
      </c>
      <c r="AE44" s="17"/>
      <c r="AF44" s="17"/>
      <c r="AG44" s="17"/>
    </row>
    <row r="45" customFormat="false" ht="46.25" hidden="false" customHeight="false" outlineLevel="0" collapsed="false">
      <c r="A45" s="15" t="str">
        <f aca="false">"B"&amp;TEXT(ROW()-1,"0000")</f>
        <v>B0044</v>
      </c>
      <c r="B45" s="17" t="s">
        <v>5741</v>
      </c>
      <c r="C45" s="15" t="n">
        <v>2</v>
      </c>
      <c r="D45" s="15" t="s">
        <v>77</v>
      </c>
      <c r="E45" s="15" t="s">
        <v>5758</v>
      </c>
      <c r="F45" s="3" t="s">
        <v>6091</v>
      </c>
      <c r="G45" s="15" t="s">
        <v>6092</v>
      </c>
      <c r="H45" s="15" t="s">
        <v>5261</v>
      </c>
      <c r="I45" s="20" t="n">
        <f aca="false">IFERROR(INDEX('Nationwide KWs'!$D$2:$D$158,MATCH(H45,'Nationwide KWs'!$A$2:$A$158,0)),IFERROR(INDEX('Provincial KWs'!$E$2:$E$137,MATCH(H45,'Provincial KWs'!$A$2:$A$137,0)),IFERROR(INDEX('City KWs'!$F$2:$F$419,MATCH(H45,'City KWs'!$A$2:$A$419,0)),"")))</f>
        <v>2900</v>
      </c>
      <c r="J45" s="15" t="s">
        <v>6093</v>
      </c>
      <c r="K45" s="3" t="s">
        <v>6094</v>
      </c>
      <c r="L45" s="15" t="s">
        <v>147</v>
      </c>
      <c r="M45" s="15" t="s">
        <v>5177</v>
      </c>
      <c r="N45" s="15" t="s">
        <v>5763</v>
      </c>
      <c r="O45" s="3" t="s">
        <v>6095</v>
      </c>
      <c r="P45" s="15" t="n">
        <f aca="false">LEN(O45)</f>
        <v>55</v>
      </c>
      <c r="Q45" s="3" t="s">
        <v>6096</v>
      </c>
      <c r="R45" s="15" t="n">
        <f aca="false">LEN(Q45)</f>
        <v>155</v>
      </c>
      <c r="S45" s="15" t="str">
        <f aca="false">IF(H45="","",IF(ISNUMBER(SEARCH(SUBSTITUTE(H45,"-"," "),SUBSTITUTE(O45,"-"," "))),"Yes","Check"))</f>
        <v>Yes</v>
      </c>
      <c r="T45" s="3" t="s">
        <v>6097</v>
      </c>
      <c r="U45" s="3" t="s">
        <v>6098</v>
      </c>
      <c r="V45" s="3" t="s">
        <v>6099</v>
      </c>
      <c r="W45" s="3" t="s">
        <v>6100</v>
      </c>
      <c r="X45" s="3" t="s">
        <v>5991</v>
      </c>
      <c r="Y45" s="15" t="s">
        <v>5684</v>
      </c>
      <c r="Z45" s="16" t="n">
        <v>2000</v>
      </c>
      <c r="AA45" s="3" t="s">
        <v>6101</v>
      </c>
      <c r="AB45" s="3" t="s">
        <v>6102</v>
      </c>
      <c r="AC45" s="3" t="s">
        <v>6103</v>
      </c>
      <c r="AD45" s="15" t="s">
        <v>5773</v>
      </c>
      <c r="AE45" s="17"/>
      <c r="AF45" s="17"/>
      <c r="AG45" s="17"/>
    </row>
    <row r="46" customFormat="false" ht="46.25" hidden="false" customHeight="false" outlineLevel="0" collapsed="false">
      <c r="A46" s="15" t="str">
        <f aca="false">"B"&amp;TEXT(ROW()-1,"0000")</f>
        <v>B0045</v>
      </c>
      <c r="B46" s="17" t="s">
        <v>5741</v>
      </c>
      <c r="C46" s="15" t="n">
        <v>2</v>
      </c>
      <c r="D46" s="15" t="s">
        <v>77</v>
      </c>
      <c r="E46" s="15" t="s">
        <v>5758</v>
      </c>
      <c r="F46" s="3" t="s">
        <v>6104</v>
      </c>
      <c r="G46" s="15" t="s">
        <v>6105</v>
      </c>
      <c r="H46" s="15" t="s">
        <v>6106</v>
      </c>
      <c r="I46" s="20" t="str">
        <f aca="false">IFERROR(INDEX('Nationwide KWs'!$D$2:$D$158,MATCH(H46,'Nationwide KWs'!$A$2:$A$158,0)),IFERROR(INDEX('Provincial KWs'!$E$2:$E$137,MATCH(H46,'Provincial KWs'!$A$2:$A$137,0)),IFERROR(INDEX('City KWs'!$F$2:$F$419,MATCH(H46,'City KWs'!$A$2:$A$419,0)),"")))</f>
        <v/>
      </c>
      <c r="J46" s="15" t="s">
        <v>5778</v>
      </c>
      <c r="K46" s="3" t="s">
        <v>6107</v>
      </c>
      <c r="L46" s="15" t="s">
        <v>147</v>
      </c>
      <c r="M46" s="15" t="s">
        <v>5177</v>
      </c>
      <c r="N46" s="15" t="s">
        <v>5747</v>
      </c>
      <c r="O46" s="3" t="s">
        <v>6108</v>
      </c>
      <c r="P46" s="15" t="n">
        <f aca="false">LEN(O46)</f>
        <v>53</v>
      </c>
      <c r="Q46" s="3" t="s">
        <v>6109</v>
      </c>
      <c r="R46" s="15" t="n">
        <f aca="false">LEN(Q46)</f>
        <v>150</v>
      </c>
      <c r="S46" s="15" t="str">
        <f aca="false">IF(H46="","",IF(ISNUMBER(SEARCH(SUBSTITUTE(H46,"-"," "),SUBSTITUTE(O46,"-"," "))),"Yes","Check"))</f>
        <v>Yes</v>
      </c>
      <c r="T46" s="3" t="s">
        <v>6110</v>
      </c>
      <c r="U46" s="3" t="s">
        <v>6111</v>
      </c>
      <c r="V46" s="3" t="s">
        <v>6112</v>
      </c>
      <c r="W46" s="3" t="s">
        <v>6113</v>
      </c>
      <c r="X46" s="3" t="s">
        <v>5991</v>
      </c>
      <c r="Y46" s="15" t="s">
        <v>5684</v>
      </c>
      <c r="Z46" s="16" t="n">
        <v>1500</v>
      </c>
      <c r="AA46" s="3" t="s">
        <v>6114</v>
      </c>
      <c r="AB46" s="3" t="s">
        <v>6115</v>
      </c>
      <c r="AC46" s="3" t="s">
        <v>6116</v>
      </c>
      <c r="AD46" s="15" t="s">
        <v>5773</v>
      </c>
      <c r="AE46" s="17"/>
      <c r="AF46" s="17"/>
      <c r="AG46" s="17"/>
    </row>
    <row r="47" customFormat="false" ht="46.25" hidden="false" customHeight="false" outlineLevel="0" collapsed="false">
      <c r="A47" s="15" t="str">
        <f aca="false">"B"&amp;TEXT(ROW()-1,"0000")</f>
        <v>B0046</v>
      </c>
      <c r="B47" s="17" t="s">
        <v>5741</v>
      </c>
      <c r="C47" s="15" t="n">
        <v>2</v>
      </c>
      <c r="D47" s="15" t="s">
        <v>77</v>
      </c>
      <c r="E47" s="15" t="s">
        <v>5859</v>
      </c>
      <c r="F47" s="3" t="s">
        <v>6117</v>
      </c>
      <c r="G47" s="15" t="s">
        <v>6118</v>
      </c>
      <c r="H47" s="15" t="s">
        <v>6119</v>
      </c>
      <c r="I47" s="20" t="str">
        <f aca="false">IFERROR(INDEX('Nationwide KWs'!$D$2:$D$158,MATCH(H47,'Nationwide KWs'!$A$2:$A$158,0)),IFERROR(INDEX('Provincial KWs'!$E$2:$E$137,MATCH(H47,'Provincial KWs'!$A$2:$A$137,0)),IFERROR(INDEX('City KWs'!$F$2:$F$419,MATCH(H47,'City KWs'!$A$2:$A$419,0)),"")))</f>
        <v/>
      </c>
      <c r="J47" s="15" t="s">
        <v>5998</v>
      </c>
      <c r="K47" s="3" t="s">
        <v>6120</v>
      </c>
      <c r="L47" s="15" t="s">
        <v>147</v>
      </c>
      <c r="M47" s="15" t="s">
        <v>5159</v>
      </c>
      <c r="N47" s="15" t="s">
        <v>5747</v>
      </c>
      <c r="O47" s="3" t="s">
        <v>6121</v>
      </c>
      <c r="P47" s="15" t="n">
        <f aca="false">LEN(O47)</f>
        <v>48</v>
      </c>
      <c r="Q47" s="3" t="s">
        <v>6122</v>
      </c>
      <c r="R47" s="15" t="n">
        <f aca="false">LEN(Q47)</f>
        <v>155</v>
      </c>
      <c r="S47" s="15" t="str">
        <f aca="false">IF(H47="","",IF(ISNUMBER(SEARCH(SUBSTITUTE(H47,"-"," "),SUBSTITUTE(O47,"-"," "))),"Yes","Check"))</f>
        <v>Yes</v>
      </c>
      <c r="T47" s="3" t="s">
        <v>6123</v>
      </c>
      <c r="U47" s="3" t="s">
        <v>6124</v>
      </c>
      <c r="V47" s="3" t="s">
        <v>6125</v>
      </c>
      <c r="W47" s="3" t="s">
        <v>6126</v>
      </c>
      <c r="X47" s="3" t="s">
        <v>5870</v>
      </c>
      <c r="Y47" s="15" t="s">
        <v>5684</v>
      </c>
      <c r="Z47" s="16" t="n">
        <v>1700</v>
      </c>
      <c r="AA47" s="3" t="s">
        <v>6127</v>
      </c>
      <c r="AB47" s="3" t="s">
        <v>6128</v>
      </c>
      <c r="AC47" s="3" t="s">
        <v>6129</v>
      </c>
      <c r="AD47" s="15" t="s">
        <v>5773</v>
      </c>
      <c r="AE47" s="17"/>
      <c r="AF47" s="17"/>
      <c r="AG47" s="17"/>
    </row>
    <row r="48" customFormat="false" ht="46.25" hidden="false" customHeight="false" outlineLevel="0" collapsed="false">
      <c r="A48" s="15" t="str">
        <f aca="false">"B"&amp;TEXT(ROW()-1,"0000")</f>
        <v>B0047</v>
      </c>
      <c r="B48" s="17" t="s">
        <v>5741</v>
      </c>
      <c r="C48" s="15" t="n">
        <v>2</v>
      </c>
      <c r="D48" s="15" t="s">
        <v>77</v>
      </c>
      <c r="E48" s="15" t="s">
        <v>5859</v>
      </c>
      <c r="F48" s="3" t="s">
        <v>6130</v>
      </c>
      <c r="G48" s="15" t="s">
        <v>6131</v>
      </c>
      <c r="H48" s="15" t="s">
        <v>6132</v>
      </c>
      <c r="I48" s="20" t="str">
        <f aca="false">IFERROR(INDEX('Nationwide KWs'!$D$2:$D$158,MATCH(H48,'Nationwide KWs'!$A$2:$A$158,0)),IFERROR(INDEX('Provincial KWs'!$E$2:$E$137,MATCH(H48,'Provincial KWs'!$A$2:$A$137,0)),IFERROR(INDEX('City KWs'!$F$2:$F$419,MATCH(H48,'City KWs'!$A$2:$A$419,0)),"")))</f>
        <v/>
      </c>
      <c r="J48" s="15" t="s">
        <v>5778</v>
      </c>
      <c r="K48" s="3" t="s">
        <v>6133</v>
      </c>
      <c r="L48" s="15" t="s">
        <v>147</v>
      </c>
      <c r="M48" s="15" t="s">
        <v>5177</v>
      </c>
      <c r="N48" s="15" t="s">
        <v>5747</v>
      </c>
      <c r="O48" s="3" t="s">
        <v>6134</v>
      </c>
      <c r="P48" s="15" t="n">
        <f aca="false">LEN(O48)</f>
        <v>57</v>
      </c>
      <c r="Q48" s="3" t="s">
        <v>6135</v>
      </c>
      <c r="R48" s="15" t="n">
        <f aca="false">LEN(Q48)</f>
        <v>146</v>
      </c>
      <c r="S48" s="15" t="str">
        <f aca="false">IF(H48="","",IF(ISNUMBER(SEARCH(SUBSTITUTE(H48,"-"," "),SUBSTITUTE(O48,"-"," "))),"Yes","Check"))</f>
        <v>Check</v>
      </c>
      <c r="T48" s="3" t="s">
        <v>6136</v>
      </c>
      <c r="U48" s="3" t="s">
        <v>6137</v>
      </c>
      <c r="V48" s="3" t="s">
        <v>6138</v>
      </c>
      <c r="W48" s="3" t="s">
        <v>6139</v>
      </c>
      <c r="X48" s="3" t="s">
        <v>5870</v>
      </c>
      <c r="Y48" s="15" t="s">
        <v>5684</v>
      </c>
      <c r="Z48" s="16" t="n">
        <v>1800</v>
      </c>
      <c r="AA48" s="3" t="s">
        <v>6140</v>
      </c>
      <c r="AB48" s="3" t="s">
        <v>6141</v>
      </c>
      <c r="AC48" s="3" t="s">
        <v>6142</v>
      </c>
      <c r="AD48" s="15" t="s">
        <v>5773</v>
      </c>
      <c r="AE48" s="17"/>
      <c r="AF48" s="17"/>
      <c r="AG48" s="17"/>
    </row>
    <row r="49" customFormat="false" ht="46.25" hidden="false" customHeight="false" outlineLevel="0" collapsed="false">
      <c r="A49" s="15" t="str">
        <f aca="false">"B"&amp;TEXT(ROW()-1,"0000")</f>
        <v>B0048</v>
      </c>
      <c r="B49" s="17" t="s">
        <v>5741</v>
      </c>
      <c r="C49" s="15" t="n">
        <v>2</v>
      </c>
      <c r="D49" s="15" t="s">
        <v>77</v>
      </c>
      <c r="E49" s="15" t="s">
        <v>6143</v>
      </c>
      <c r="F49" s="3" t="s">
        <v>6144</v>
      </c>
      <c r="G49" s="15" t="s">
        <v>6145</v>
      </c>
      <c r="H49" s="15" t="s">
        <v>6146</v>
      </c>
      <c r="I49" s="20" t="str">
        <f aca="false">IFERROR(INDEX('Nationwide KWs'!$D$2:$D$158,MATCH(H49,'Nationwide KWs'!$A$2:$A$158,0)),IFERROR(INDEX('Provincial KWs'!$E$2:$E$137,MATCH(H49,'Provincial KWs'!$A$2:$A$137,0)),IFERROR(INDEX('City KWs'!$F$2:$F$419,MATCH(H49,'City KWs'!$A$2:$A$419,0)),"")))</f>
        <v/>
      </c>
      <c r="J49" s="15" t="s">
        <v>5778</v>
      </c>
      <c r="K49" s="3" t="s">
        <v>6147</v>
      </c>
      <c r="L49" s="15" t="s">
        <v>147</v>
      </c>
      <c r="M49" s="15" t="s">
        <v>5177</v>
      </c>
      <c r="N49" s="15" t="s">
        <v>5763</v>
      </c>
      <c r="O49" s="3" t="s">
        <v>6148</v>
      </c>
      <c r="P49" s="15" t="n">
        <f aca="false">LEN(O49)</f>
        <v>53</v>
      </c>
      <c r="Q49" s="3" t="s">
        <v>6149</v>
      </c>
      <c r="R49" s="15" t="n">
        <f aca="false">LEN(Q49)</f>
        <v>146</v>
      </c>
      <c r="S49" s="15" t="str">
        <f aca="false">IF(H49="","",IF(ISNUMBER(SEARCH(SUBSTITUTE(H49,"-"," "),SUBSTITUTE(O49,"-"," "))),"Yes","Check"))</f>
        <v>Yes</v>
      </c>
      <c r="T49" s="3" t="s">
        <v>6150</v>
      </c>
      <c r="U49" s="3" t="s">
        <v>6151</v>
      </c>
      <c r="V49" s="3" t="s">
        <v>6152</v>
      </c>
      <c r="W49" s="3" t="s">
        <v>6153</v>
      </c>
      <c r="X49" s="3" t="s">
        <v>5991</v>
      </c>
      <c r="Y49" s="15" t="s">
        <v>5684</v>
      </c>
      <c r="Z49" s="16" t="n">
        <v>1800</v>
      </c>
      <c r="AA49" s="3" t="s">
        <v>6154</v>
      </c>
      <c r="AB49" s="3" t="s">
        <v>6155</v>
      </c>
      <c r="AC49" s="3" t="s">
        <v>6156</v>
      </c>
      <c r="AD49" s="15" t="s">
        <v>5773</v>
      </c>
      <c r="AE49" s="17"/>
      <c r="AF49" s="17"/>
      <c r="AG49" s="17"/>
    </row>
    <row r="50" customFormat="false" ht="35.05" hidden="false" customHeight="false" outlineLevel="0" collapsed="false">
      <c r="A50" s="15" t="str">
        <f aca="false">"B"&amp;TEXT(ROW()-1,"0000")</f>
        <v>B0049</v>
      </c>
      <c r="B50" s="17" t="s">
        <v>5741</v>
      </c>
      <c r="C50" s="15" t="n">
        <v>2</v>
      </c>
      <c r="D50" s="15" t="s">
        <v>77</v>
      </c>
      <c r="E50" s="15" t="s">
        <v>5887</v>
      </c>
      <c r="F50" s="3" t="s">
        <v>6157</v>
      </c>
      <c r="G50" s="15" t="s">
        <v>6158</v>
      </c>
      <c r="H50" s="15" t="s">
        <v>6159</v>
      </c>
      <c r="I50" s="20" t="str">
        <f aca="false">IFERROR(INDEX('Nationwide KWs'!$D$2:$D$158,MATCH(H50,'Nationwide KWs'!$A$2:$A$158,0)),IFERROR(INDEX('Provincial KWs'!$E$2:$E$137,MATCH(H50,'Provincial KWs'!$A$2:$A$137,0)),IFERROR(INDEX('City KWs'!$F$2:$F$419,MATCH(H50,'City KWs'!$A$2:$A$419,0)),"")))</f>
        <v/>
      </c>
      <c r="J50" s="15" t="s">
        <v>5745</v>
      </c>
      <c r="K50" s="3" t="s">
        <v>6160</v>
      </c>
      <c r="L50" s="15" t="s">
        <v>147</v>
      </c>
      <c r="M50" s="15" t="s">
        <v>5177</v>
      </c>
      <c r="N50" s="15" t="s">
        <v>5763</v>
      </c>
      <c r="O50" s="3" t="s">
        <v>6161</v>
      </c>
      <c r="P50" s="15" t="n">
        <f aca="false">LEN(O50)</f>
        <v>52</v>
      </c>
      <c r="Q50" s="3" t="s">
        <v>6162</v>
      </c>
      <c r="R50" s="15" t="n">
        <f aca="false">LEN(Q50)</f>
        <v>152</v>
      </c>
      <c r="S50" s="15" t="str">
        <f aca="false">IF(H50="","",IF(ISNUMBER(SEARCH(SUBSTITUTE(H50,"-"," "),SUBSTITUTE(O50,"-"," "))),"Yes","Check"))</f>
        <v>Yes</v>
      </c>
      <c r="T50" s="3" t="s">
        <v>6163</v>
      </c>
      <c r="U50" s="3" t="s">
        <v>6164</v>
      </c>
      <c r="V50" s="3" t="s">
        <v>6165</v>
      </c>
      <c r="W50" s="3" t="s">
        <v>6166</v>
      </c>
      <c r="X50" s="3" t="s">
        <v>5991</v>
      </c>
      <c r="Y50" s="15" t="s">
        <v>5684</v>
      </c>
      <c r="Z50" s="16" t="n">
        <v>1300</v>
      </c>
      <c r="AA50" s="3" t="s">
        <v>6167</v>
      </c>
      <c r="AB50" s="3" t="s">
        <v>6168</v>
      </c>
      <c r="AC50" s="3" t="s">
        <v>6169</v>
      </c>
      <c r="AD50" s="15" t="s">
        <v>5773</v>
      </c>
      <c r="AE50" s="17"/>
      <c r="AF50" s="17"/>
      <c r="AG50" s="17"/>
    </row>
    <row r="51" customFormat="false" ht="46.25" hidden="false" customHeight="false" outlineLevel="0" collapsed="false">
      <c r="A51" s="15" t="str">
        <f aca="false">"B"&amp;TEXT(ROW()-1,"0000")</f>
        <v>B0050</v>
      </c>
      <c r="B51" s="17" t="s">
        <v>5741</v>
      </c>
      <c r="C51" s="15" t="n">
        <v>3</v>
      </c>
      <c r="D51" s="15" t="s">
        <v>77</v>
      </c>
      <c r="E51" s="15" t="s">
        <v>5900</v>
      </c>
      <c r="F51" s="3" t="s">
        <v>6170</v>
      </c>
      <c r="G51" s="15" t="s">
        <v>6171</v>
      </c>
      <c r="H51" s="15" t="s">
        <v>6172</v>
      </c>
      <c r="I51" s="20" t="str">
        <f aca="false">IFERROR(INDEX('Nationwide KWs'!$D$2:$D$158,MATCH(H51,'Nationwide KWs'!$A$2:$A$158,0)),IFERROR(INDEX('Provincial KWs'!$E$2:$E$137,MATCH(H51,'Provincial KWs'!$A$2:$A$137,0)),IFERROR(INDEX('City KWs'!$F$2:$F$419,MATCH(H51,'City KWs'!$A$2:$A$419,0)),"")))</f>
        <v/>
      </c>
      <c r="J51" s="15" t="s">
        <v>5778</v>
      </c>
      <c r="K51" s="3" t="s">
        <v>6173</v>
      </c>
      <c r="L51" s="15" t="s">
        <v>147</v>
      </c>
      <c r="M51" s="15" t="s">
        <v>5177</v>
      </c>
      <c r="N51" s="15" t="s">
        <v>5747</v>
      </c>
      <c r="O51" s="3" t="s">
        <v>6174</v>
      </c>
      <c r="P51" s="15" t="n">
        <f aca="false">LEN(O51)</f>
        <v>46</v>
      </c>
      <c r="Q51" s="3" t="s">
        <v>6175</v>
      </c>
      <c r="R51" s="15" t="n">
        <f aca="false">LEN(Q51)</f>
        <v>151</v>
      </c>
      <c r="S51" s="15" t="str">
        <f aca="false">IF(H51="","",IF(ISNUMBER(SEARCH(SUBSTITUTE(H51,"-"," "),SUBSTITUTE(O51,"-"," "))),"Yes","Check"))</f>
        <v>Yes</v>
      </c>
      <c r="T51" s="3" t="s">
        <v>6176</v>
      </c>
      <c r="U51" s="3" t="s">
        <v>6177</v>
      </c>
      <c r="V51" s="3" t="s">
        <v>6178</v>
      </c>
      <c r="W51" s="3" t="s">
        <v>6179</v>
      </c>
      <c r="X51" s="3" t="s">
        <v>6180</v>
      </c>
      <c r="Y51" s="15" t="s">
        <v>5912</v>
      </c>
      <c r="Z51" s="16" t="n">
        <v>1500</v>
      </c>
      <c r="AA51" s="3" t="s">
        <v>6181</v>
      </c>
      <c r="AB51" s="3" t="s">
        <v>6182</v>
      </c>
      <c r="AC51" s="3" t="s">
        <v>6183</v>
      </c>
      <c r="AD51" s="15" t="s">
        <v>5773</v>
      </c>
      <c r="AE51" s="17"/>
      <c r="AF51" s="17"/>
      <c r="AG51" s="17"/>
    </row>
    <row r="52" customFormat="false" ht="46.25" hidden="false" customHeight="false" outlineLevel="0" collapsed="false">
      <c r="A52" s="15" t="str">
        <f aca="false">"B"&amp;TEXT(ROW()-1,"0000")</f>
        <v>B0051</v>
      </c>
      <c r="B52" s="17" t="s">
        <v>5741</v>
      </c>
      <c r="C52" s="15" t="n">
        <v>3</v>
      </c>
      <c r="D52" s="15" t="s">
        <v>77</v>
      </c>
      <c r="E52" s="15" t="s">
        <v>5900</v>
      </c>
      <c r="F52" s="3" t="s">
        <v>6184</v>
      </c>
      <c r="G52" s="15" t="s">
        <v>6185</v>
      </c>
      <c r="H52" s="15" t="s">
        <v>6186</v>
      </c>
      <c r="I52" s="20" t="str">
        <f aca="false">IFERROR(INDEX('Nationwide KWs'!$D$2:$D$158,MATCH(H52,'Nationwide KWs'!$A$2:$A$158,0)),IFERROR(INDEX('Provincial KWs'!$E$2:$E$137,MATCH(H52,'Provincial KWs'!$A$2:$A$137,0)),IFERROR(INDEX('City KWs'!$F$2:$F$419,MATCH(H52,'City KWs'!$A$2:$A$419,0)),"")))</f>
        <v/>
      </c>
      <c r="J52" s="15" t="s">
        <v>5778</v>
      </c>
      <c r="K52" s="3" t="s">
        <v>6187</v>
      </c>
      <c r="L52" s="15" t="s">
        <v>147</v>
      </c>
      <c r="M52" s="15" t="s">
        <v>5177</v>
      </c>
      <c r="N52" s="15" t="s">
        <v>5747</v>
      </c>
      <c r="O52" s="3" t="s">
        <v>6188</v>
      </c>
      <c r="P52" s="15" t="n">
        <f aca="false">LEN(O52)</f>
        <v>50</v>
      </c>
      <c r="Q52" s="3" t="s">
        <v>6189</v>
      </c>
      <c r="R52" s="15" t="n">
        <f aca="false">LEN(Q52)</f>
        <v>154</v>
      </c>
      <c r="S52" s="15" t="str">
        <f aca="false">IF(H52="","",IF(ISNUMBER(SEARCH(SUBSTITUTE(H52,"-"," "),SUBSTITUTE(O52,"-"," "))),"Yes","Check"))</f>
        <v>Yes</v>
      </c>
      <c r="T52" s="3" t="s">
        <v>6190</v>
      </c>
      <c r="U52" s="3" t="s">
        <v>6191</v>
      </c>
      <c r="V52" s="3" t="s">
        <v>6192</v>
      </c>
      <c r="W52" s="3" t="s">
        <v>6193</v>
      </c>
      <c r="X52" s="3" t="s">
        <v>6194</v>
      </c>
      <c r="Y52" s="15" t="s">
        <v>5684</v>
      </c>
      <c r="Z52" s="16" t="n">
        <v>1800</v>
      </c>
      <c r="AA52" s="3" t="s">
        <v>6195</v>
      </c>
      <c r="AB52" s="3" t="s">
        <v>6196</v>
      </c>
      <c r="AC52" s="3" t="s">
        <v>6197</v>
      </c>
      <c r="AD52" s="15" t="s">
        <v>5773</v>
      </c>
      <c r="AE52" s="17"/>
      <c r="AF52" s="17"/>
      <c r="AG52" s="17"/>
    </row>
    <row r="53" customFormat="false" ht="46.25" hidden="false" customHeight="false" outlineLevel="0" collapsed="false">
      <c r="A53" s="15" t="str">
        <f aca="false">"B"&amp;TEXT(ROW()-1,"0000")</f>
        <v>B0052</v>
      </c>
      <c r="B53" s="17" t="s">
        <v>5741</v>
      </c>
      <c r="C53" s="15" t="n">
        <v>3</v>
      </c>
      <c r="D53" s="15" t="s">
        <v>77</v>
      </c>
      <c r="E53" s="15" t="s">
        <v>5900</v>
      </c>
      <c r="F53" s="3" t="s">
        <v>6198</v>
      </c>
      <c r="G53" s="15" t="s">
        <v>6199</v>
      </c>
      <c r="H53" s="15" t="s">
        <v>6200</v>
      </c>
      <c r="I53" s="20" t="str">
        <f aca="false">IFERROR(INDEX('Nationwide KWs'!$D$2:$D$158,MATCH(H53,'Nationwide KWs'!$A$2:$A$158,0)),IFERROR(INDEX('Provincial KWs'!$E$2:$E$137,MATCH(H53,'Provincial KWs'!$A$2:$A$137,0)),IFERROR(INDEX('City KWs'!$F$2:$F$419,MATCH(H53,'City KWs'!$A$2:$A$419,0)),"")))</f>
        <v/>
      </c>
      <c r="J53" s="15" t="s">
        <v>5778</v>
      </c>
      <c r="K53" s="3" t="s">
        <v>6201</v>
      </c>
      <c r="L53" s="15" t="s">
        <v>147</v>
      </c>
      <c r="M53" s="15" t="s">
        <v>5177</v>
      </c>
      <c r="N53" s="15" t="s">
        <v>5747</v>
      </c>
      <c r="O53" s="3" t="s">
        <v>6202</v>
      </c>
      <c r="P53" s="15" t="n">
        <f aca="false">LEN(O53)</f>
        <v>47</v>
      </c>
      <c r="Q53" s="3" t="s">
        <v>6203</v>
      </c>
      <c r="R53" s="15" t="n">
        <f aca="false">LEN(Q53)</f>
        <v>152</v>
      </c>
      <c r="S53" s="15" t="str">
        <f aca="false">IF(H53="","",IF(ISNUMBER(SEARCH(SUBSTITUTE(H53,"-"," "),SUBSTITUTE(O53,"-"," "))),"Yes","Check"))</f>
        <v>Yes</v>
      </c>
      <c r="T53" s="3" t="s">
        <v>6204</v>
      </c>
      <c r="U53" s="3" t="s">
        <v>6205</v>
      </c>
      <c r="V53" s="3" t="s">
        <v>6206</v>
      </c>
      <c r="W53" s="3" t="s">
        <v>6207</v>
      </c>
      <c r="X53" s="3" t="s">
        <v>6180</v>
      </c>
      <c r="Y53" s="15" t="s">
        <v>5684</v>
      </c>
      <c r="Z53" s="16" t="n">
        <v>1600</v>
      </c>
      <c r="AA53" s="3" t="s">
        <v>6208</v>
      </c>
      <c r="AB53" s="3" t="s">
        <v>6209</v>
      </c>
      <c r="AC53" s="3" t="s">
        <v>6210</v>
      </c>
      <c r="AD53" s="15" t="s">
        <v>5773</v>
      </c>
      <c r="AE53" s="17"/>
      <c r="AF53" s="17"/>
      <c r="AG53" s="17"/>
    </row>
    <row r="54" customFormat="false" ht="46.25" hidden="false" customHeight="false" outlineLevel="0" collapsed="false">
      <c r="A54" s="15" t="str">
        <f aca="false">"B"&amp;TEXT(ROW()-1,"0000")</f>
        <v>B0053</v>
      </c>
      <c r="B54" s="17" t="s">
        <v>5741</v>
      </c>
      <c r="C54" s="15" t="n">
        <v>3</v>
      </c>
      <c r="D54" s="15" t="s">
        <v>77</v>
      </c>
      <c r="E54" s="15" t="s">
        <v>5790</v>
      </c>
      <c r="F54" s="3" t="s">
        <v>6211</v>
      </c>
      <c r="G54" s="15" t="s">
        <v>6212</v>
      </c>
      <c r="H54" s="15" t="s">
        <v>6213</v>
      </c>
      <c r="I54" s="20" t="str">
        <f aca="false">IFERROR(INDEX('Nationwide KWs'!$D$2:$D$158,MATCH(H54,'Nationwide KWs'!$A$2:$A$158,0)),IFERROR(INDEX('Provincial KWs'!$E$2:$E$137,MATCH(H54,'Provincial KWs'!$A$2:$A$137,0)),IFERROR(INDEX('City KWs'!$F$2:$F$419,MATCH(H54,'City KWs'!$A$2:$A$419,0)),"")))</f>
        <v/>
      </c>
      <c r="J54" s="15" t="s">
        <v>5745</v>
      </c>
      <c r="K54" s="3" t="s">
        <v>6214</v>
      </c>
      <c r="L54" s="15" t="s">
        <v>147</v>
      </c>
      <c r="M54" s="15" t="s">
        <v>5177</v>
      </c>
      <c r="N54" s="15" t="s">
        <v>5763</v>
      </c>
      <c r="O54" s="3" t="s">
        <v>6215</v>
      </c>
      <c r="P54" s="15" t="n">
        <f aca="false">LEN(O54)</f>
        <v>51</v>
      </c>
      <c r="Q54" s="3" t="s">
        <v>6216</v>
      </c>
      <c r="R54" s="15" t="n">
        <f aca="false">LEN(Q54)</f>
        <v>155</v>
      </c>
      <c r="S54" s="15" t="str">
        <f aca="false">IF(H54="","",IF(ISNUMBER(SEARCH(SUBSTITUTE(H54,"-"," "),SUBSTITUTE(O54,"-"," "))),"Yes","Check"))</f>
        <v>Yes</v>
      </c>
      <c r="T54" s="3" t="s">
        <v>6217</v>
      </c>
      <c r="U54" s="3" t="s">
        <v>6218</v>
      </c>
      <c r="V54" s="3" t="s">
        <v>6219</v>
      </c>
      <c r="W54" s="3" t="s">
        <v>6220</v>
      </c>
      <c r="X54" s="3" t="s">
        <v>5991</v>
      </c>
      <c r="Y54" s="15" t="s">
        <v>5684</v>
      </c>
      <c r="Z54" s="16" t="n">
        <v>1400</v>
      </c>
      <c r="AA54" s="3" t="s">
        <v>6221</v>
      </c>
      <c r="AB54" s="3" t="s">
        <v>6222</v>
      </c>
      <c r="AC54" s="3" t="s">
        <v>6223</v>
      </c>
      <c r="AD54" s="15" t="s">
        <v>5773</v>
      </c>
      <c r="AE54" s="17"/>
      <c r="AF54" s="17"/>
      <c r="AG54" s="17"/>
    </row>
    <row r="55" customFormat="false" ht="46.25" hidden="false" customHeight="false" outlineLevel="0" collapsed="false">
      <c r="A55" s="15" t="str">
        <f aca="false">"B"&amp;TEXT(ROW()-1,"0000")</f>
        <v>B0054</v>
      </c>
      <c r="B55" s="17" t="s">
        <v>5741</v>
      </c>
      <c r="C55" s="15" t="n">
        <v>3</v>
      </c>
      <c r="D55" s="15" t="s">
        <v>77</v>
      </c>
      <c r="E55" s="15" t="s">
        <v>5758</v>
      </c>
      <c r="F55" s="3" t="s">
        <v>6224</v>
      </c>
      <c r="G55" s="15" t="s">
        <v>6225</v>
      </c>
      <c r="H55" s="15" t="s">
        <v>6226</v>
      </c>
      <c r="I55" s="20" t="str">
        <f aca="false">IFERROR(INDEX('Nationwide KWs'!$D$2:$D$158,MATCH(H55,'Nationwide KWs'!$A$2:$A$158,0)),IFERROR(INDEX('Provincial KWs'!$E$2:$E$137,MATCH(H55,'Provincial KWs'!$A$2:$A$137,0)),IFERROR(INDEX('City KWs'!$F$2:$F$419,MATCH(H55,'City KWs'!$A$2:$A$419,0)),"")))</f>
        <v/>
      </c>
      <c r="J55" s="15" t="s">
        <v>5998</v>
      </c>
      <c r="K55" s="3" t="s">
        <v>6227</v>
      </c>
      <c r="L55" s="15" t="s">
        <v>147</v>
      </c>
      <c r="M55" s="15" t="s">
        <v>5177</v>
      </c>
      <c r="N55" s="15" t="s">
        <v>5747</v>
      </c>
      <c r="O55" s="3" t="s">
        <v>6228</v>
      </c>
      <c r="P55" s="15" t="n">
        <f aca="false">LEN(O55)</f>
        <v>51</v>
      </c>
      <c r="Q55" s="3" t="s">
        <v>6229</v>
      </c>
      <c r="R55" s="15" t="n">
        <f aca="false">LEN(Q55)</f>
        <v>152</v>
      </c>
      <c r="S55" s="15" t="str">
        <f aca="false">IF(H55="","",IF(ISNUMBER(SEARCH(SUBSTITUTE(H55,"-"," "),SUBSTITUTE(O55,"-"," "))),"Yes","Check"))</f>
        <v>Yes</v>
      </c>
      <c r="T55" s="3" t="s">
        <v>6230</v>
      </c>
      <c r="U55" s="3" t="s">
        <v>6231</v>
      </c>
      <c r="V55" s="3" t="s">
        <v>6232</v>
      </c>
      <c r="W55" s="3" t="s">
        <v>6233</v>
      </c>
      <c r="X55" s="3" t="s">
        <v>5991</v>
      </c>
      <c r="Y55" s="15" t="s">
        <v>5684</v>
      </c>
      <c r="Z55" s="16" t="n">
        <v>1400</v>
      </c>
      <c r="AA55" s="3" t="s">
        <v>6234</v>
      </c>
      <c r="AB55" s="3" t="s">
        <v>6235</v>
      </c>
      <c r="AC55" s="3" t="s">
        <v>6236</v>
      </c>
      <c r="AD55" s="15" t="s">
        <v>5773</v>
      </c>
      <c r="AE55" s="17"/>
      <c r="AF55" s="17"/>
      <c r="AG55" s="17"/>
    </row>
    <row r="56" customFormat="false" ht="46.25" hidden="false" customHeight="false" outlineLevel="0" collapsed="false">
      <c r="A56" s="15" t="str">
        <f aca="false">"B"&amp;TEXT(ROW()-1,"0000")</f>
        <v>B0055</v>
      </c>
      <c r="B56" s="17" t="s">
        <v>5741</v>
      </c>
      <c r="C56" s="15" t="n">
        <v>1</v>
      </c>
      <c r="D56" s="15" t="s">
        <v>78</v>
      </c>
      <c r="E56" s="15" t="s">
        <v>6237</v>
      </c>
      <c r="F56" s="3" t="s">
        <v>6238</v>
      </c>
      <c r="G56" s="15" t="s">
        <v>6239</v>
      </c>
      <c r="H56" s="15" t="s">
        <v>6240</v>
      </c>
      <c r="I56" s="20" t="str">
        <f aca="false">IFERROR(INDEX('Nationwide KWs'!$D$2:$D$158,MATCH(H56,'Nationwide KWs'!$A$2:$A$158,0)),IFERROR(INDEX('Provincial KWs'!$E$2:$E$137,MATCH(H56,'Provincial KWs'!$A$2:$A$137,0)),IFERROR(INDEX('City KWs'!$F$2:$F$419,MATCH(H56,'City KWs'!$A$2:$A$419,0)),"")))</f>
        <v/>
      </c>
      <c r="J56" s="15" t="s">
        <v>6093</v>
      </c>
      <c r="K56" s="3" t="s">
        <v>6241</v>
      </c>
      <c r="L56" s="15" t="s">
        <v>147</v>
      </c>
      <c r="M56" s="15" t="s">
        <v>5177</v>
      </c>
      <c r="N56" s="15" t="s">
        <v>5763</v>
      </c>
      <c r="O56" s="3" t="s">
        <v>6242</v>
      </c>
      <c r="P56" s="15" t="n">
        <f aca="false">LEN(O56)</f>
        <v>52</v>
      </c>
      <c r="Q56" s="3" t="s">
        <v>6243</v>
      </c>
      <c r="R56" s="15" t="n">
        <f aca="false">LEN(Q56)</f>
        <v>154</v>
      </c>
      <c r="S56" s="15" t="str">
        <f aca="false">IF(H56="","",IF(ISNUMBER(SEARCH(SUBSTITUTE(H56,"-"," "),SUBSTITUTE(O56,"-"," "))),"Yes","Check"))</f>
        <v>Yes</v>
      </c>
      <c r="T56" s="3" t="s">
        <v>6244</v>
      </c>
      <c r="U56" s="3" t="s">
        <v>6245</v>
      </c>
      <c r="V56" s="3" t="s">
        <v>6246</v>
      </c>
      <c r="W56" s="3" t="s">
        <v>6247</v>
      </c>
      <c r="X56" s="3" t="s">
        <v>6248</v>
      </c>
      <c r="Y56" s="15" t="s">
        <v>5912</v>
      </c>
      <c r="Z56" s="16" t="n">
        <v>1700</v>
      </c>
      <c r="AA56" s="3" t="s">
        <v>6249</v>
      </c>
      <c r="AB56" s="3" t="s">
        <v>6250</v>
      </c>
      <c r="AC56" s="3" t="s">
        <v>6251</v>
      </c>
      <c r="AD56" s="15" t="s">
        <v>6023</v>
      </c>
      <c r="AE56" s="17"/>
      <c r="AF56" s="17"/>
      <c r="AG56" s="17"/>
    </row>
    <row r="57" customFormat="false" ht="46.25" hidden="false" customHeight="false" outlineLevel="0" collapsed="false">
      <c r="A57" s="15" t="str">
        <f aca="false">"B"&amp;TEXT(ROW()-1,"0000")</f>
        <v>B0056</v>
      </c>
      <c r="B57" s="17" t="s">
        <v>5741</v>
      </c>
      <c r="C57" s="15" t="n">
        <v>1</v>
      </c>
      <c r="D57" s="15" t="s">
        <v>78</v>
      </c>
      <c r="E57" s="15" t="s">
        <v>5742</v>
      </c>
      <c r="F57" s="3" t="s">
        <v>6252</v>
      </c>
      <c r="G57" s="15" t="s">
        <v>6253</v>
      </c>
      <c r="H57" s="15" t="s">
        <v>6254</v>
      </c>
      <c r="I57" s="20" t="str">
        <f aca="false">IFERROR(INDEX('Nationwide KWs'!$D$2:$D$158,MATCH(H57,'Nationwide KWs'!$A$2:$A$158,0)),IFERROR(INDEX('Provincial KWs'!$E$2:$E$137,MATCH(H57,'Provincial KWs'!$A$2:$A$137,0)),IFERROR(INDEX('City KWs'!$F$2:$F$419,MATCH(H57,'City KWs'!$A$2:$A$419,0)),"")))</f>
        <v/>
      </c>
      <c r="J57" s="15" t="s">
        <v>5745</v>
      </c>
      <c r="K57" s="3" t="s">
        <v>6255</v>
      </c>
      <c r="L57" s="15" t="s">
        <v>147</v>
      </c>
      <c r="M57" s="15" t="s">
        <v>5159</v>
      </c>
      <c r="N57" s="15" t="s">
        <v>5747</v>
      </c>
      <c r="O57" s="3" t="s">
        <v>6256</v>
      </c>
      <c r="P57" s="15" t="n">
        <f aca="false">LEN(O57)</f>
        <v>47</v>
      </c>
      <c r="Q57" s="3" t="s">
        <v>6257</v>
      </c>
      <c r="R57" s="15" t="n">
        <f aca="false">LEN(Q57)</f>
        <v>152</v>
      </c>
      <c r="S57" s="15" t="str">
        <f aca="false">IF(H57="","",IF(ISNUMBER(SEARCH(SUBSTITUTE(H57,"-"," "),SUBSTITUTE(O57,"-"," "))),"Yes","Check"))</f>
        <v>Yes</v>
      </c>
      <c r="T57" s="3" t="s">
        <v>6258</v>
      </c>
      <c r="U57" s="3" t="s">
        <v>6259</v>
      </c>
      <c r="V57" s="3" t="s">
        <v>6260</v>
      </c>
      <c r="W57" s="3" t="s">
        <v>6261</v>
      </c>
      <c r="X57" s="3" t="s">
        <v>6262</v>
      </c>
      <c r="Y57" s="15" t="s">
        <v>5684</v>
      </c>
      <c r="Z57" s="16" t="n">
        <v>1800</v>
      </c>
      <c r="AA57" s="3" t="s">
        <v>6263</v>
      </c>
      <c r="AB57" s="3" t="s">
        <v>6264</v>
      </c>
      <c r="AC57" s="3" t="s">
        <v>6265</v>
      </c>
      <c r="AD57" s="15" t="s">
        <v>5687</v>
      </c>
      <c r="AE57" s="17"/>
      <c r="AF57" s="17"/>
      <c r="AG57" s="17"/>
    </row>
    <row r="58" customFormat="false" ht="46.25" hidden="false" customHeight="false" outlineLevel="0" collapsed="false">
      <c r="A58" s="15" t="str">
        <f aca="false">"B"&amp;TEXT(ROW()-1,"0000")</f>
        <v>B0057</v>
      </c>
      <c r="B58" s="17" t="s">
        <v>5741</v>
      </c>
      <c r="C58" s="15" t="n">
        <v>1</v>
      </c>
      <c r="D58" s="15" t="s">
        <v>78</v>
      </c>
      <c r="E58" s="15" t="s">
        <v>6266</v>
      </c>
      <c r="F58" s="3" t="s">
        <v>6267</v>
      </c>
      <c r="G58" s="15" t="s">
        <v>6268</v>
      </c>
      <c r="H58" s="15" t="s">
        <v>6269</v>
      </c>
      <c r="I58" s="20" t="str">
        <f aca="false">IFERROR(INDEX('Nationwide KWs'!$D$2:$D$158,MATCH(H58,'Nationwide KWs'!$A$2:$A$158,0)),IFERROR(INDEX('Provincial KWs'!$E$2:$E$137,MATCH(H58,'Provincial KWs'!$A$2:$A$137,0)),IFERROR(INDEX('City KWs'!$F$2:$F$419,MATCH(H58,'City KWs'!$A$2:$A$419,0)),"")))</f>
        <v/>
      </c>
      <c r="J58" s="15" t="s">
        <v>5778</v>
      </c>
      <c r="K58" s="3" t="s">
        <v>6270</v>
      </c>
      <c r="L58" s="15" t="s">
        <v>147</v>
      </c>
      <c r="M58" s="15" t="s">
        <v>5159</v>
      </c>
      <c r="N58" s="15" t="s">
        <v>5795</v>
      </c>
      <c r="O58" s="3" t="s">
        <v>6271</v>
      </c>
      <c r="P58" s="15" t="n">
        <f aca="false">LEN(O58)</f>
        <v>48</v>
      </c>
      <c r="Q58" s="3" t="s">
        <v>6272</v>
      </c>
      <c r="R58" s="15" t="n">
        <f aca="false">LEN(Q58)</f>
        <v>153</v>
      </c>
      <c r="S58" s="15" t="str">
        <f aca="false">IF(H58="","",IF(ISNUMBER(SEARCH(SUBSTITUTE(H58,"-"," "),SUBSTITUTE(O58,"-"," "))),"Yes","Check"))</f>
        <v>Check</v>
      </c>
      <c r="T58" s="3" t="s">
        <v>6273</v>
      </c>
      <c r="U58" s="3" t="s">
        <v>6274</v>
      </c>
      <c r="V58" s="3" t="s">
        <v>6275</v>
      </c>
      <c r="W58" s="3" t="s">
        <v>6276</v>
      </c>
      <c r="X58" s="3" t="s">
        <v>6262</v>
      </c>
      <c r="Y58" s="15" t="s">
        <v>5684</v>
      </c>
      <c r="Z58" s="16" t="n">
        <v>1600</v>
      </c>
      <c r="AA58" s="3" t="s">
        <v>6277</v>
      </c>
      <c r="AB58" s="3" t="s">
        <v>6278</v>
      </c>
      <c r="AC58" s="3" t="s">
        <v>6279</v>
      </c>
      <c r="AD58" s="15" t="s">
        <v>5773</v>
      </c>
      <c r="AE58" s="17"/>
      <c r="AF58" s="17"/>
      <c r="AG58" s="17"/>
    </row>
    <row r="59" customFormat="false" ht="46.25" hidden="false" customHeight="false" outlineLevel="0" collapsed="false">
      <c r="A59" s="15" t="str">
        <f aca="false">"B"&amp;TEXT(ROW()-1,"0000")</f>
        <v>B0058</v>
      </c>
      <c r="B59" s="17" t="s">
        <v>5741</v>
      </c>
      <c r="C59" s="15" t="n">
        <v>1</v>
      </c>
      <c r="D59" s="15" t="s">
        <v>78</v>
      </c>
      <c r="E59" s="15" t="s">
        <v>5845</v>
      </c>
      <c r="F59" s="3" t="s">
        <v>6280</v>
      </c>
      <c r="G59" s="15" t="s">
        <v>6281</v>
      </c>
      <c r="H59" s="15" t="s">
        <v>6282</v>
      </c>
      <c r="I59" s="20" t="str">
        <f aca="false">IFERROR(INDEX('Nationwide KWs'!$D$2:$D$158,MATCH(H59,'Nationwide KWs'!$A$2:$A$158,0)),IFERROR(INDEX('Provincial KWs'!$E$2:$E$137,MATCH(H59,'Provincial KWs'!$A$2:$A$137,0)),IFERROR(INDEX('City KWs'!$F$2:$F$419,MATCH(H59,'City KWs'!$A$2:$A$419,0)),"")))</f>
        <v/>
      </c>
      <c r="J59" s="15" t="s">
        <v>5745</v>
      </c>
      <c r="K59" s="3" t="s">
        <v>6283</v>
      </c>
      <c r="L59" s="15" t="s">
        <v>5704</v>
      </c>
      <c r="M59" s="15" t="s">
        <v>5177</v>
      </c>
      <c r="N59" s="15" t="s">
        <v>5763</v>
      </c>
      <c r="O59" s="3" t="s">
        <v>6284</v>
      </c>
      <c r="P59" s="15" t="n">
        <f aca="false">LEN(O59)</f>
        <v>49</v>
      </c>
      <c r="Q59" s="3" t="s">
        <v>6285</v>
      </c>
      <c r="R59" s="15" t="n">
        <f aca="false">LEN(Q59)</f>
        <v>155</v>
      </c>
      <c r="S59" s="15" t="str">
        <f aca="false">IF(H59="","",IF(ISNUMBER(SEARCH(SUBSTITUTE(H59,"-"," "),SUBSTITUTE(O59,"-"," "))),"Yes","Check"))</f>
        <v>Yes</v>
      </c>
      <c r="T59" s="3" t="s">
        <v>6286</v>
      </c>
      <c r="U59" s="3" t="s">
        <v>6287</v>
      </c>
      <c r="V59" s="3" t="s">
        <v>6288</v>
      </c>
      <c r="W59" s="3" t="s">
        <v>6289</v>
      </c>
      <c r="X59" s="3" t="s">
        <v>6290</v>
      </c>
      <c r="Y59" s="15" t="s">
        <v>5684</v>
      </c>
      <c r="Z59" s="16" t="n">
        <v>2000</v>
      </c>
      <c r="AA59" s="3" t="s">
        <v>6291</v>
      </c>
      <c r="AB59" s="3" t="s">
        <v>6292</v>
      </c>
      <c r="AC59" s="3" t="s">
        <v>6293</v>
      </c>
      <c r="AD59" s="15" t="s">
        <v>5773</v>
      </c>
      <c r="AE59" s="17"/>
      <c r="AF59" s="17"/>
      <c r="AG59" s="17"/>
    </row>
    <row r="60" customFormat="false" ht="46.25" hidden="false" customHeight="false" outlineLevel="0" collapsed="false">
      <c r="A60" s="15" t="str">
        <f aca="false">"B"&amp;TEXT(ROW()-1,"0000")</f>
        <v>B0059</v>
      </c>
      <c r="B60" s="17" t="s">
        <v>5741</v>
      </c>
      <c r="C60" s="15" t="n">
        <v>2</v>
      </c>
      <c r="D60" s="15" t="s">
        <v>78</v>
      </c>
      <c r="E60" s="15" t="s">
        <v>6237</v>
      </c>
      <c r="F60" s="3" t="s">
        <v>6294</v>
      </c>
      <c r="G60" s="15" t="s">
        <v>6295</v>
      </c>
      <c r="H60" s="15" t="s">
        <v>6296</v>
      </c>
      <c r="I60" s="20" t="str">
        <f aca="false">IFERROR(INDEX('Nationwide KWs'!$D$2:$D$158,MATCH(H60,'Nationwide KWs'!$A$2:$A$158,0)),IFERROR(INDEX('Provincial KWs'!$E$2:$E$137,MATCH(H60,'Provincial KWs'!$A$2:$A$137,0)),IFERROR(INDEX('City KWs'!$F$2:$F$419,MATCH(H60,'City KWs'!$A$2:$A$419,0)),"")))</f>
        <v/>
      </c>
      <c r="J60" s="15" t="s">
        <v>5745</v>
      </c>
      <c r="K60" s="3" t="s">
        <v>6297</v>
      </c>
      <c r="L60" s="15" t="s">
        <v>147</v>
      </c>
      <c r="M60" s="15" t="s">
        <v>5177</v>
      </c>
      <c r="N60" s="15" t="s">
        <v>5763</v>
      </c>
      <c r="O60" s="3" t="s">
        <v>6298</v>
      </c>
      <c r="P60" s="15" t="n">
        <f aca="false">LEN(O60)</f>
        <v>48</v>
      </c>
      <c r="Q60" s="3" t="s">
        <v>6299</v>
      </c>
      <c r="R60" s="15" t="n">
        <f aca="false">LEN(Q60)</f>
        <v>153</v>
      </c>
      <c r="S60" s="15" t="str">
        <f aca="false">IF(H60="","",IF(ISNUMBER(SEARCH(SUBSTITUTE(H60,"-"," "),SUBSTITUTE(O60,"-"," "))),"Yes","Check"))</f>
        <v>Yes</v>
      </c>
      <c r="T60" s="3" t="s">
        <v>6300</v>
      </c>
      <c r="U60" s="3" t="s">
        <v>6301</v>
      </c>
      <c r="V60" s="3" t="s">
        <v>6302</v>
      </c>
      <c r="W60" s="3" t="s">
        <v>6303</v>
      </c>
      <c r="X60" s="3" t="s">
        <v>6262</v>
      </c>
      <c r="Y60" s="15" t="s">
        <v>5684</v>
      </c>
      <c r="Z60" s="16" t="n">
        <v>1500</v>
      </c>
      <c r="AA60" s="3" t="s">
        <v>6304</v>
      </c>
      <c r="AB60" s="3" t="s">
        <v>6305</v>
      </c>
      <c r="AC60" s="3" t="s">
        <v>6306</v>
      </c>
      <c r="AD60" s="15" t="s">
        <v>6023</v>
      </c>
      <c r="AE60" s="17"/>
      <c r="AF60" s="17"/>
      <c r="AG60" s="17"/>
    </row>
    <row r="61" customFormat="false" ht="46.25" hidden="false" customHeight="false" outlineLevel="0" collapsed="false">
      <c r="A61" s="15" t="str">
        <f aca="false">"B"&amp;TEXT(ROW()-1,"0000")</f>
        <v>B0060</v>
      </c>
      <c r="B61" s="17" t="s">
        <v>5741</v>
      </c>
      <c r="C61" s="15" t="n">
        <v>2</v>
      </c>
      <c r="D61" s="15" t="s">
        <v>78</v>
      </c>
      <c r="E61" s="15" t="s">
        <v>5742</v>
      </c>
      <c r="F61" s="3" t="s">
        <v>6307</v>
      </c>
      <c r="G61" s="15" t="s">
        <v>6308</v>
      </c>
      <c r="H61" s="15" t="s">
        <v>6309</v>
      </c>
      <c r="I61" s="20" t="str">
        <f aca="false">IFERROR(INDEX('Nationwide KWs'!$D$2:$D$158,MATCH(H61,'Nationwide KWs'!$A$2:$A$158,0)),IFERROR(INDEX('Provincial KWs'!$E$2:$E$137,MATCH(H61,'Provincial KWs'!$A$2:$A$137,0)),IFERROR(INDEX('City KWs'!$F$2:$F$419,MATCH(H61,'City KWs'!$A$2:$A$419,0)),"")))</f>
        <v/>
      </c>
      <c r="J61" s="15" t="s">
        <v>5778</v>
      </c>
      <c r="K61" s="3" t="s">
        <v>6310</v>
      </c>
      <c r="L61" s="15" t="s">
        <v>147</v>
      </c>
      <c r="M61" s="15" t="s">
        <v>5159</v>
      </c>
      <c r="N61" s="15" t="s">
        <v>5747</v>
      </c>
      <c r="O61" s="3" t="s">
        <v>6311</v>
      </c>
      <c r="P61" s="15" t="n">
        <f aca="false">LEN(O61)</f>
        <v>52</v>
      </c>
      <c r="Q61" s="3" t="s">
        <v>6312</v>
      </c>
      <c r="R61" s="15" t="n">
        <f aca="false">LEN(Q61)</f>
        <v>152</v>
      </c>
      <c r="S61" s="15" t="str">
        <f aca="false">IF(H61="","",IF(ISNUMBER(SEARCH(SUBSTITUTE(H61,"-"," "),SUBSTITUTE(O61,"-"," "))),"Yes","Check"))</f>
        <v>Yes</v>
      </c>
      <c r="T61" s="3" t="s">
        <v>6313</v>
      </c>
      <c r="U61" s="3" t="s">
        <v>6314</v>
      </c>
      <c r="V61" s="3" t="s">
        <v>6315</v>
      </c>
      <c r="W61" s="3" t="s">
        <v>6316</v>
      </c>
      <c r="X61" s="3" t="s">
        <v>6262</v>
      </c>
      <c r="Y61" s="15" t="s">
        <v>5684</v>
      </c>
      <c r="Z61" s="16" t="n">
        <v>1600</v>
      </c>
      <c r="AA61" s="3" t="s">
        <v>6317</v>
      </c>
      <c r="AB61" s="3" t="s">
        <v>6318</v>
      </c>
      <c r="AC61" s="3" t="s">
        <v>6319</v>
      </c>
      <c r="AD61" s="15" t="s">
        <v>5773</v>
      </c>
      <c r="AE61" s="17"/>
      <c r="AF61" s="17"/>
      <c r="AG61" s="17"/>
    </row>
    <row r="62" customFormat="false" ht="46.25" hidden="false" customHeight="false" outlineLevel="0" collapsed="false">
      <c r="A62" s="15" t="str">
        <f aca="false">"B"&amp;TEXT(ROW()-1,"0000")</f>
        <v>B0061</v>
      </c>
      <c r="B62" s="17" t="s">
        <v>5741</v>
      </c>
      <c r="C62" s="15" t="n">
        <v>2</v>
      </c>
      <c r="D62" s="15" t="s">
        <v>78</v>
      </c>
      <c r="E62" s="15" t="s">
        <v>5758</v>
      </c>
      <c r="F62" s="3" t="s">
        <v>6320</v>
      </c>
      <c r="G62" s="15" t="s">
        <v>6321</v>
      </c>
      <c r="H62" s="15" t="s">
        <v>6322</v>
      </c>
      <c r="I62" s="20" t="str">
        <f aca="false">IFERROR(INDEX('Nationwide KWs'!$D$2:$D$158,MATCH(H62,'Nationwide KWs'!$A$2:$A$158,0)),IFERROR(INDEX('Provincial KWs'!$E$2:$E$137,MATCH(H62,'Provincial KWs'!$A$2:$A$137,0)),IFERROR(INDEX('City KWs'!$F$2:$F$419,MATCH(H62,'City KWs'!$A$2:$A$419,0)),"")))</f>
        <v/>
      </c>
      <c r="J62" s="15" t="s">
        <v>5745</v>
      </c>
      <c r="K62" s="3" t="s">
        <v>6323</v>
      </c>
      <c r="L62" s="15" t="s">
        <v>147</v>
      </c>
      <c r="M62" s="15" t="s">
        <v>5177</v>
      </c>
      <c r="N62" s="15" t="s">
        <v>5763</v>
      </c>
      <c r="O62" s="3" t="s">
        <v>6324</v>
      </c>
      <c r="P62" s="15" t="n">
        <f aca="false">LEN(O62)</f>
        <v>56</v>
      </c>
      <c r="Q62" s="3" t="s">
        <v>6325</v>
      </c>
      <c r="R62" s="15" t="n">
        <f aca="false">LEN(Q62)</f>
        <v>155</v>
      </c>
      <c r="S62" s="15" t="str">
        <f aca="false">IF(H62="","",IF(ISNUMBER(SEARCH(SUBSTITUTE(H62,"-"," "),SUBSTITUTE(O62,"-"," "))),"Yes","Check"))</f>
        <v>Check</v>
      </c>
      <c r="T62" s="3" t="s">
        <v>6326</v>
      </c>
      <c r="U62" s="3" t="s">
        <v>6327</v>
      </c>
      <c r="V62" s="3" t="s">
        <v>6328</v>
      </c>
      <c r="W62" s="3" t="s">
        <v>6329</v>
      </c>
      <c r="X62" s="3" t="s">
        <v>6262</v>
      </c>
      <c r="Y62" s="15" t="s">
        <v>5684</v>
      </c>
      <c r="Z62" s="16" t="n">
        <v>1600</v>
      </c>
      <c r="AA62" s="3" t="s">
        <v>6208</v>
      </c>
      <c r="AB62" s="3" t="s">
        <v>6330</v>
      </c>
      <c r="AC62" s="3" t="s">
        <v>6331</v>
      </c>
      <c r="AD62" s="15" t="s">
        <v>5773</v>
      </c>
      <c r="AE62" s="17"/>
      <c r="AF62" s="17"/>
      <c r="AG62" s="17"/>
    </row>
    <row r="63" customFormat="false" ht="35.05" hidden="false" customHeight="false" outlineLevel="0" collapsed="false">
      <c r="A63" s="15" t="str">
        <f aca="false">"B"&amp;TEXT(ROW()-1,"0000")</f>
        <v>B0062</v>
      </c>
      <c r="B63" s="17" t="s">
        <v>5741</v>
      </c>
      <c r="C63" s="15" t="n">
        <v>2</v>
      </c>
      <c r="D63" s="15" t="s">
        <v>78</v>
      </c>
      <c r="E63" s="15" t="s">
        <v>5758</v>
      </c>
      <c r="F63" s="3" t="s">
        <v>6332</v>
      </c>
      <c r="G63" s="15" t="s">
        <v>6333</v>
      </c>
      <c r="H63" s="15" t="s">
        <v>6334</v>
      </c>
      <c r="I63" s="20" t="str">
        <f aca="false">IFERROR(INDEX('Nationwide KWs'!$D$2:$D$158,MATCH(H63,'Nationwide KWs'!$A$2:$A$158,0)),IFERROR(INDEX('Provincial KWs'!$E$2:$E$137,MATCH(H63,'Provincial KWs'!$A$2:$A$137,0)),IFERROR(INDEX('City KWs'!$F$2:$F$419,MATCH(H63,'City KWs'!$A$2:$A$419,0)),"")))</f>
        <v/>
      </c>
      <c r="J63" s="15" t="s">
        <v>5778</v>
      </c>
      <c r="K63" s="3" t="s">
        <v>6335</v>
      </c>
      <c r="L63" s="15" t="s">
        <v>147</v>
      </c>
      <c r="M63" s="15" t="s">
        <v>5159</v>
      </c>
      <c r="N63" s="15" t="s">
        <v>5747</v>
      </c>
      <c r="O63" s="3" t="s">
        <v>6336</v>
      </c>
      <c r="P63" s="15" t="n">
        <f aca="false">LEN(O63)</f>
        <v>49</v>
      </c>
      <c r="Q63" s="3" t="s">
        <v>6337</v>
      </c>
      <c r="R63" s="15" t="n">
        <f aca="false">LEN(Q63)</f>
        <v>152</v>
      </c>
      <c r="S63" s="15" t="str">
        <f aca="false">IF(H63="","",IF(ISNUMBER(SEARCH(SUBSTITUTE(H63,"-"," "),SUBSTITUTE(O63,"-"," "))),"Yes","Check"))</f>
        <v>Yes</v>
      </c>
      <c r="T63" s="3" t="s">
        <v>6338</v>
      </c>
      <c r="U63" s="3" t="s">
        <v>6339</v>
      </c>
      <c r="V63" s="3" t="s">
        <v>6340</v>
      </c>
      <c r="W63" s="3" t="s">
        <v>6341</v>
      </c>
      <c r="X63" s="3" t="s">
        <v>6262</v>
      </c>
      <c r="Y63" s="15" t="s">
        <v>5684</v>
      </c>
      <c r="Z63" s="16" t="n">
        <v>1500</v>
      </c>
      <c r="AA63" s="3" t="s">
        <v>6342</v>
      </c>
      <c r="AB63" s="3" t="s">
        <v>6343</v>
      </c>
      <c r="AC63" s="3" t="s">
        <v>6344</v>
      </c>
      <c r="AD63" s="15" t="s">
        <v>5773</v>
      </c>
      <c r="AE63" s="17"/>
      <c r="AF63" s="17"/>
      <c r="AG63" s="17"/>
    </row>
    <row r="64" customFormat="false" ht="46.25" hidden="false" customHeight="false" outlineLevel="0" collapsed="false">
      <c r="A64" s="15" t="str">
        <f aca="false">"B"&amp;TEXT(ROW()-1,"0000")</f>
        <v>B0063</v>
      </c>
      <c r="B64" s="17" t="s">
        <v>5741</v>
      </c>
      <c r="C64" s="15" t="n">
        <v>2</v>
      </c>
      <c r="D64" s="15" t="s">
        <v>78</v>
      </c>
      <c r="E64" s="15" t="s">
        <v>6345</v>
      </c>
      <c r="F64" s="3" t="s">
        <v>6346</v>
      </c>
      <c r="G64" s="15" t="s">
        <v>6347</v>
      </c>
      <c r="H64" s="15" t="s">
        <v>6348</v>
      </c>
      <c r="I64" s="20" t="str">
        <f aca="false">IFERROR(INDEX('Nationwide KWs'!$D$2:$D$158,MATCH(H64,'Nationwide KWs'!$A$2:$A$158,0)),IFERROR(INDEX('Provincial KWs'!$E$2:$E$137,MATCH(H64,'Provincial KWs'!$A$2:$A$137,0)),IFERROR(INDEX('City KWs'!$F$2:$F$419,MATCH(H64,'City KWs'!$A$2:$A$419,0)),"")))</f>
        <v/>
      </c>
      <c r="J64" s="15" t="s">
        <v>5778</v>
      </c>
      <c r="K64" s="3" t="s">
        <v>6349</v>
      </c>
      <c r="L64" s="15" t="s">
        <v>147</v>
      </c>
      <c r="M64" s="15" t="s">
        <v>5177</v>
      </c>
      <c r="N64" s="15" t="s">
        <v>5763</v>
      </c>
      <c r="O64" s="3" t="s">
        <v>6350</v>
      </c>
      <c r="P64" s="15" t="n">
        <f aca="false">LEN(O64)</f>
        <v>46</v>
      </c>
      <c r="Q64" s="3" t="s">
        <v>6351</v>
      </c>
      <c r="R64" s="15" t="n">
        <f aca="false">LEN(Q64)</f>
        <v>155</v>
      </c>
      <c r="S64" s="15" t="str">
        <f aca="false">IF(H64="","",IF(ISNUMBER(SEARCH(SUBSTITUTE(H64,"-"," "),SUBSTITUTE(O64,"-"," "))),"Yes","Check"))</f>
        <v>Yes</v>
      </c>
      <c r="T64" s="3" t="s">
        <v>6352</v>
      </c>
      <c r="U64" s="3" t="s">
        <v>6353</v>
      </c>
      <c r="V64" s="3" t="s">
        <v>6354</v>
      </c>
      <c r="W64" s="3" t="s">
        <v>6355</v>
      </c>
      <c r="X64" s="3" t="s">
        <v>6356</v>
      </c>
      <c r="Y64" s="15" t="s">
        <v>5684</v>
      </c>
      <c r="Z64" s="16" t="n">
        <v>2000</v>
      </c>
      <c r="AA64" s="3" t="s">
        <v>6357</v>
      </c>
      <c r="AB64" s="3" t="s">
        <v>6358</v>
      </c>
      <c r="AC64" s="3" t="s">
        <v>6359</v>
      </c>
      <c r="AD64" s="15" t="s">
        <v>5773</v>
      </c>
      <c r="AE64" s="17"/>
      <c r="AF64" s="17"/>
      <c r="AG64" s="17"/>
    </row>
    <row r="65" customFormat="false" ht="46.25" hidden="false" customHeight="false" outlineLevel="0" collapsed="false">
      <c r="A65" s="15" t="str">
        <f aca="false">"B"&amp;TEXT(ROW()-1,"0000")</f>
        <v>B0064</v>
      </c>
      <c r="B65" s="17" t="s">
        <v>5741</v>
      </c>
      <c r="C65" s="15" t="n">
        <v>2</v>
      </c>
      <c r="D65" s="15" t="s">
        <v>78</v>
      </c>
      <c r="E65" s="15" t="s">
        <v>6345</v>
      </c>
      <c r="F65" s="3" t="s">
        <v>6360</v>
      </c>
      <c r="G65" s="15" t="s">
        <v>6361</v>
      </c>
      <c r="H65" s="15" t="s">
        <v>6362</v>
      </c>
      <c r="I65" s="20" t="str">
        <f aca="false">IFERROR(INDEX('Nationwide KWs'!$D$2:$D$158,MATCH(H65,'Nationwide KWs'!$A$2:$A$158,0)),IFERROR(INDEX('Provincial KWs'!$E$2:$E$137,MATCH(H65,'Provincial KWs'!$A$2:$A$137,0)),IFERROR(INDEX('City KWs'!$F$2:$F$419,MATCH(H65,'City KWs'!$A$2:$A$419,0)),"")))</f>
        <v/>
      </c>
      <c r="J65" s="15" t="s">
        <v>5778</v>
      </c>
      <c r="K65" s="3" t="s">
        <v>6363</v>
      </c>
      <c r="L65" s="15" t="s">
        <v>147</v>
      </c>
      <c r="M65" s="15" t="s">
        <v>5177</v>
      </c>
      <c r="N65" s="15" t="s">
        <v>5763</v>
      </c>
      <c r="O65" s="3" t="s">
        <v>6364</v>
      </c>
      <c r="P65" s="15" t="n">
        <f aca="false">LEN(O65)</f>
        <v>48</v>
      </c>
      <c r="Q65" s="3" t="s">
        <v>6365</v>
      </c>
      <c r="R65" s="15" t="n">
        <f aca="false">LEN(Q65)</f>
        <v>152</v>
      </c>
      <c r="S65" s="15" t="str">
        <f aca="false">IF(H65="","",IF(ISNUMBER(SEARCH(SUBSTITUTE(H65,"-"," "),SUBSTITUTE(O65,"-"," "))),"Yes","Check"))</f>
        <v>Yes</v>
      </c>
      <c r="T65" s="3" t="s">
        <v>6366</v>
      </c>
      <c r="U65" s="3" t="s">
        <v>6367</v>
      </c>
      <c r="V65" s="3" t="s">
        <v>6368</v>
      </c>
      <c r="W65" s="3" t="s">
        <v>6369</v>
      </c>
      <c r="X65" s="3" t="s">
        <v>6262</v>
      </c>
      <c r="Y65" s="15" t="s">
        <v>5684</v>
      </c>
      <c r="Z65" s="16" t="n">
        <v>2200</v>
      </c>
      <c r="AA65" s="3" t="s">
        <v>6370</v>
      </c>
      <c r="AB65" s="3" t="s">
        <v>6371</v>
      </c>
      <c r="AC65" s="3" t="s">
        <v>6372</v>
      </c>
      <c r="AD65" s="15" t="s">
        <v>5773</v>
      </c>
      <c r="AE65" s="17"/>
      <c r="AF65" s="17"/>
      <c r="AG65" s="17"/>
    </row>
    <row r="66" customFormat="false" ht="46.25" hidden="false" customHeight="false" outlineLevel="0" collapsed="false">
      <c r="A66" s="15" t="str">
        <f aca="false">"B"&amp;TEXT(ROW()-1,"0000")</f>
        <v>B0065</v>
      </c>
      <c r="B66" s="17" t="s">
        <v>5741</v>
      </c>
      <c r="C66" s="15" t="n">
        <v>2</v>
      </c>
      <c r="D66" s="15" t="s">
        <v>78</v>
      </c>
      <c r="E66" s="15" t="s">
        <v>5845</v>
      </c>
      <c r="F66" s="3" t="s">
        <v>6373</v>
      </c>
      <c r="G66" s="15" t="s">
        <v>6374</v>
      </c>
      <c r="H66" s="15" t="s">
        <v>6375</v>
      </c>
      <c r="I66" s="20" t="str">
        <f aca="false">IFERROR(INDEX('Nationwide KWs'!$D$2:$D$158,MATCH(H66,'Nationwide KWs'!$A$2:$A$158,0)),IFERROR(INDEX('Provincial KWs'!$E$2:$E$137,MATCH(H66,'Provincial KWs'!$A$2:$A$137,0)),IFERROR(INDEX('City KWs'!$F$2:$F$419,MATCH(H66,'City KWs'!$A$2:$A$419,0)),"")))</f>
        <v/>
      </c>
      <c r="J66" s="15" t="s">
        <v>5745</v>
      </c>
      <c r="K66" s="3" t="s">
        <v>6376</v>
      </c>
      <c r="L66" s="15" t="s">
        <v>5704</v>
      </c>
      <c r="M66" s="15" t="s">
        <v>5177</v>
      </c>
      <c r="N66" s="15" t="s">
        <v>5763</v>
      </c>
      <c r="O66" s="3" t="s">
        <v>6377</v>
      </c>
      <c r="P66" s="15" t="n">
        <f aca="false">LEN(O66)</f>
        <v>49</v>
      </c>
      <c r="Q66" s="3" t="s">
        <v>6378</v>
      </c>
      <c r="R66" s="15" t="n">
        <f aca="false">LEN(Q66)</f>
        <v>143</v>
      </c>
      <c r="S66" s="15" t="str">
        <f aca="false">IF(H66="","",IF(ISNUMBER(SEARCH(SUBSTITUTE(H66,"-"," "),SUBSTITUTE(O66,"-"," "))),"Yes","Check"))</f>
        <v>Yes</v>
      </c>
      <c r="T66" s="3" t="s">
        <v>6379</v>
      </c>
      <c r="U66" s="3" t="s">
        <v>6380</v>
      </c>
      <c r="V66" s="3" t="s">
        <v>6381</v>
      </c>
      <c r="W66" s="3" t="s">
        <v>6382</v>
      </c>
      <c r="X66" s="3" t="s">
        <v>6290</v>
      </c>
      <c r="Y66" s="15" t="s">
        <v>5684</v>
      </c>
      <c r="Z66" s="16" t="n">
        <v>1200</v>
      </c>
      <c r="AA66" s="3" t="s">
        <v>6208</v>
      </c>
      <c r="AB66" s="3" t="s">
        <v>6383</v>
      </c>
      <c r="AC66" s="3" t="s">
        <v>6384</v>
      </c>
      <c r="AD66" s="15" t="s">
        <v>6023</v>
      </c>
      <c r="AE66" s="17"/>
      <c r="AF66" s="17"/>
      <c r="AG66" s="17"/>
    </row>
    <row r="67" customFormat="false" ht="46.25" hidden="false" customHeight="false" outlineLevel="0" collapsed="false">
      <c r="A67" s="15" t="str">
        <f aca="false">"B"&amp;TEXT(ROW()-1,"0000")</f>
        <v>B0066</v>
      </c>
      <c r="B67" s="17" t="s">
        <v>5741</v>
      </c>
      <c r="C67" s="15" t="n">
        <v>2</v>
      </c>
      <c r="D67" s="15" t="s">
        <v>78</v>
      </c>
      <c r="E67" s="15" t="s">
        <v>5845</v>
      </c>
      <c r="F67" s="3" t="s">
        <v>6385</v>
      </c>
      <c r="G67" s="15" t="s">
        <v>6386</v>
      </c>
      <c r="H67" s="15" t="s">
        <v>6387</v>
      </c>
      <c r="I67" s="20" t="str">
        <f aca="false">IFERROR(INDEX('Nationwide KWs'!$D$2:$D$158,MATCH(H67,'Nationwide KWs'!$A$2:$A$158,0)),IFERROR(INDEX('Provincial KWs'!$E$2:$E$137,MATCH(H67,'Provincial KWs'!$A$2:$A$137,0)),IFERROR(INDEX('City KWs'!$F$2:$F$419,MATCH(H67,'City KWs'!$A$2:$A$419,0)),"")))</f>
        <v/>
      </c>
      <c r="J67" s="15" t="s">
        <v>5778</v>
      </c>
      <c r="K67" s="3" t="s">
        <v>6388</v>
      </c>
      <c r="L67" s="15" t="s">
        <v>5682</v>
      </c>
      <c r="M67" s="15" t="s">
        <v>5177</v>
      </c>
      <c r="N67" s="15" t="s">
        <v>5763</v>
      </c>
      <c r="O67" s="3" t="s">
        <v>6389</v>
      </c>
      <c r="P67" s="15" t="n">
        <f aca="false">LEN(O67)</f>
        <v>51</v>
      </c>
      <c r="Q67" s="3" t="s">
        <v>6390</v>
      </c>
      <c r="R67" s="15" t="n">
        <f aca="false">LEN(Q67)</f>
        <v>150</v>
      </c>
      <c r="S67" s="15" t="str">
        <f aca="false">IF(H67="","",IF(ISNUMBER(SEARCH(SUBSTITUTE(H67,"-"," "),SUBSTITUTE(O67,"-"," "))),"Yes","Check"))</f>
        <v>Check</v>
      </c>
      <c r="T67" s="3" t="s">
        <v>6391</v>
      </c>
      <c r="U67" s="3" t="s">
        <v>6392</v>
      </c>
      <c r="V67" s="3" t="s">
        <v>6393</v>
      </c>
      <c r="W67" s="3" t="s">
        <v>6394</v>
      </c>
      <c r="X67" s="3" t="s">
        <v>6395</v>
      </c>
      <c r="Y67" s="15" t="s">
        <v>5684</v>
      </c>
      <c r="Z67" s="16" t="n">
        <v>1600</v>
      </c>
      <c r="AA67" s="3" t="s">
        <v>6396</v>
      </c>
      <c r="AB67" s="3" t="s">
        <v>6397</v>
      </c>
      <c r="AC67" s="3" t="s">
        <v>6398</v>
      </c>
      <c r="AD67" s="15" t="s">
        <v>5773</v>
      </c>
      <c r="AE67" s="17"/>
      <c r="AF67" s="17"/>
      <c r="AG67" s="17"/>
    </row>
    <row r="68" customFormat="false" ht="46.25" hidden="false" customHeight="false" outlineLevel="0" collapsed="false">
      <c r="A68" s="15" t="str">
        <f aca="false">"B"&amp;TEXT(ROW()-1,"0000")</f>
        <v>B0067</v>
      </c>
      <c r="B68" s="17" t="s">
        <v>5741</v>
      </c>
      <c r="C68" s="15" t="n">
        <v>2</v>
      </c>
      <c r="D68" s="15" t="s">
        <v>78</v>
      </c>
      <c r="E68" s="15" t="s">
        <v>5859</v>
      </c>
      <c r="F68" s="3" t="s">
        <v>6399</v>
      </c>
      <c r="G68" s="15" t="s">
        <v>6400</v>
      </c>
      <c r="H68" s="15" t="s">
        <v>6401</v>
      </c>
      <c r="I68" s="20" t="str">
        <f aca="false">IFERROR(INDEX('Nationwide KWs'!$D$2:$D$158,MATCH(H68,'Nationwide KWs'!$A$2:$A$158,0)),IFERROR(INDEX('Provincial KWs'!$E$2:$E$137,MATCH(H68,'Provincial KWs'!$A$2:$A$137,0)),IFERROR(INDEX('City KWs'!$F$2:$F$419,MATCH(H68,'City KWs'!$A$2:$A$419,0)),"")))</f>
        <v/>
      </c>
      <c r="J68" s="15" t="s">
        <v>5778</v>
      </c>
      <c r="K68" s="3" t="s">
        <v>6402</v>
      </c>
      <c r="L68" s="15" t="s">
        <v>147</v>
      </c>
      <c r="M68" s="15" t="s">
        <v>5159</v>
      </c>
      <c r="N68" s="15" t="s">
        <v>5747</v>
      </c>
      <c r="O68" s="3" t="s">
        <v>6403</v>
      </c>
      <c r="P68" s="15" t="n">
        <f aca="false">LEN(O68)</f>
        <v>56</v>
      </c>
      <c r="Q68" s="3" t="s">
        <v>6404</v>
      </c>
      <c r="R68" s="15" t="n">
        <f aca="false">LEN(Q68)</f>
        <v>149</v>
      </c>
      <c r="S68" s="15" t="str">
        <f aca="false">IF(H68="","",IF(ISNUMBER(SEARCH(SUBSTITUTE(H68,"-"," "),SUBSTITUTE(O68,"-"," "))),"Yes","Check"))</f>
        <v>Check</v>
      </c>
      <c r="T68" s="3" t="s">
        <v>6405</v>
      </c>
      <c r="U68" s="3" t="s">
        <v>6406</v>
      </c>
      <c r="V68" s="3" t="s">
        <v>6407</v>
      </c>
      <c r="W68" s="3" t="s">
        <v>6408</v>
      </c>
      <c r="X68" s="3" t="s">
        <v>6262</v>
      </c>
      <c r="Y68" s="15" t="s">
        <v>5684</v>
      </c>
      <c r="Z68" s="16" t="n">
        <v>1600</v>
      </c>
      <c r="AA68" s="3" t="s">
        <v>6181</v>
      </c>
      <c r="AB68" s="3" t="s">
        <v>6409</v>
      </c>
      <c r="AC68" s="3" t="s">
        <v>6410</v>
      </c>
      <c r="AD68" s="15" t="s">
        <v>5773</v>
      </c>
      <c r="AE68" s="17"/>
      <c r="AF68" s="17"/>
      <c r="AG68" s="17"/>
    </row>
    <row r="69" customFormat="false" ht="57.45" hidden="false" customHeight="false" outlineLevel="0" collapsed="false">
      <c r="A69" s="15" t="str">
        <f aca="false">"B"&amp;TEXT(ROW()-1,"0000")</f>
        <v>B0068</v>
      </c>
      <c r="B69" s="17" t="s">
        <v>5741</v>
      </c>
      <c r="C69" s="15" t="n">
        <v>2</v>
      </c>
      <c r="D69" s="15" t="s">
        <v>78</v>
      </c>
      <c r="E69" s="15" t="s">
        <v>5859</v>
      </c>
      <c r="F69" s="3" t="s">
        <v>6411</v>
      </c>
      <c r="G69" s="15" t="s">
        <v>6412</v>
      </c>
      <c r="H69" s="15" t="s">
        <v>6413</v>
      </c>
      <c r="I69" s="20" t="str">
        <f aca="false">IFERROR(INDEX('Nationwide KWs'!$D$2:$D$158,MATCH(H69,'Nationwide KWs'!$A$2:$A$158,0)),IFERROR(INDEX('Provincial KWs'!$E$2:$E$137,MATCH(H69,'Provincial KWs'!$A$2:$A$137,0)),IFERROR(INDEX('City KWs'!$F$2:$F$419,MATCH(H69,'City KWs'!$A$2:$A$419,0)),"")))</f>
        <v/>
      </c>
      <c r="J69" s="15" t="s">
        <v>5778</v>
      </c>
      <c r="K69" s="3" t="s">
        <v>6414</v>
      </c>
      <c r="L69" s="15" t="s">
        <v>147</v>
      </c>
      <c r="M69" s="15" t="s">
        <v>5159</v>
      </c>
      <c r="N69" s="15" t="s">
        <v>5747</v>
      </c>
      <c r="O69" s="3" t="s">
        <v>6415</v>
      </c>
      <c r="P69" s="15" t="n">
        <f aca="false">LEN(O69)</f>
        <v>54</v>
      </c>
      <c r="Q69" s="3" t="s">
        <v>6416</v>
      </c>
      <c r="R69" s="15" t="n">
        <f aca="false">LEN(Q69)</f>
        <v>151</v>
      </c>
      <c r="S69" s="15" t="str">
        <f aca="false">IF(H69="","",IF(ISNUMBER(SEARCH(SUBSTITUTE(H69,"-"," "),SUBSTITUTE(O69,"-"," "))),"Yes","Check"))</f>
        <v>Yes</v>
      </c>
      <c r="T69" s="3" t="s">
        <v>6417</v>
      </c>
      <c r="U69" s="3" t="s">
        <v>6418</v>
      </c>
      <c r="V69" s="3" t="s">
        <v>6419</v>
      </c>
      <c r="W69" s="3" t="s">
        <v>6420</v>
      </c>
      <c r="X69" s="3" t="s">
        <v>6262</v>
      </c>
      <c r="Y69" s="15" t="s">
        <v>5684</v>
      </c>
      <c r="Z69" s="16" t="n">
        <v>1800</v>
      </c>
      <c r="AA69" s="3" t="s">
        <v>6421</v>
      </c>
      <c r="AB69" s="3" t="s">
        <v>6422</v>
      </c>
      <c r="AC69" s="3" t="s">
        <v>6423</v>
      </c>
      <c r="AD69" s="15" t="s">
        <v>5773</v>
      </c>
      <c r="AE69" s="17"/>
      <c r="AF69" s="17"/>
      <c r="AG69" s="17"/>
    </row>
    <row r="70" customFormat="false" ht="46.25" hidden="false" customHeight="false" outlineLevel="0" collapsed="false">
      <c r="A70" s="15" t="str">
        <f aca="false">"B"&amp;TEXT(ROW()-1,"0000")</f>
        <v>B0069</v>
      </c>
      <c r="B70" s="17" t="s">
        <v>5741</v>
      </c>
      <c r="C70" s="15" t="n">
        <v>2</v>
      </c>
      <c r="D70" s="15" t="s">
        <v>78</v>
      </c>
      <c r="E70" s="15" t="s">
        <v>6424</v>
      </c>
      <c r="F70" s="3" t="s">
        <v>6425</v>
      </c>
      <c r="G70" s="15" t="s">
        <v>6426</v>
      </c>
      <c r="H70" s="15" t="s">
        <v>6427</v>
      </c>
      <c r="I70" s="20" t="str">
        <f aca="false">IFERROR(INDEX('Nationwide KWs'!$D$2:$D$158,MATCH(H70,'Nationwide KWs'!$A$2:$A$158,0)),IFERROR(INDEX('Provincial KWs'!$E$2:$E$137,MATCH(H70,'Provincial KWs'!$A$2:$A$137,0)),IFERROR(INDEX('City KWs'!$F$2:$F$419,MATCH(H70,'City KWs'!$A$2:$A$419,0)),"")))</f>
        <v/>
      </c>
      <c r="J70" s="15" t="s">
        <v>5745</v>
      </c>
      <c r="K70" s="3" t="s">
        <v>6428</v>
      </c>
      <c r="L70" s="15" t="s">
        <v>147</v>
      </c>
      <c r="M70" s="15" t="s">
        <v>5177</v>
      </c>
      <c r="N70" s="15" t="s">
        <v>5763</v>
      </c>
      <c r="O70" s="3" t="s">
        <v>6429</v>
      </c>
      <c r="P70" s="15" t="n">
        <f aca="false">LEN(O70)</f>
        <v>49</v>
      </c>
      <c r="Q70" s="3" t="s">
        <v>6430</v>
      </c>
      <c r="R70" s="15" t="n">
        <f aca="false">LEN(Q70)</f>
        <v>145</v>
      </c>
      <c r="S70" s="15" t="str">
        <f aca="false">IF(H70="","",IF(ISNUMBER(SEARCH(SUBSTITUTE(H70,"-"," "),SUBSTITUTE(O70,"-"," "))),"Yes","Check"))</f>
        <v>Check</v>
      </c>
      <c r="T70" s="3" t="s">
        <v>6431</v>
      </c>
      <c r="U70" s="3" t="s">
        <v>6432</v>
      </c>
      <c r="V70" s="3" t="s">
        <v>6433</v>
      </c>
      <c r="W70" s="3" t="s">
        <v>6434</v>
      </c>
      <c r="X70" s="3" t="s">
        <v>6262</v>
      </c>
      <c r="Y70" s="15" t="s">
        <v>5684</v>
      </c>
      <c r="Z70" s="16" t="n">
        <v>1600</v>
      </c>
      <c r="AA70" s="3" t="s">
        <v>6435</v>
      </c>
      <c r="AB70" s="3" t="s">
        <v>6436</v>
      </c>
      <c r="AC70" s="3" t="s">
        <v>6437</v>
      </c>
      <c r="AD70" s="15" t="s">
        <v>6023</v>
      </c>
      <c r="AE70" s="17"/>
      <c r="AF70" s="17"/>
      <c r="AG70" s="17"/>
    </row>
    <row r="71" customFormat="false" ht="46.25" hidden="false" customHeight="false" outlineLevel="0" collapsed="false">
      <c r="A71" s="15" t="str">
        <f aca="false">"B"&amp;TEXT(ROW()-1,"0000")</f>
        <v>B0070</v>
      </c>
      <c r="B71" s="17" t="s">
        <v>5741</v>
      </c>
      <c r="C71" s="15" t="n">
        <v>2</v>
      </c>
      <c r="D71" s="15" t="s">
        <v>78</v>
      </c>
      <c r="E71" s="15" t="s">
        <v>5887</v>
      </c>
      <c r="F71" s="3" t="s">
        <v>6438</v>
      </c>
      <c r="G71" s="15" t="s">
        <v>6439</v>
      </c>
      <c r="H71" s="15" t="s">
        <v>6440</v>
      </c>
      <c r="I71" s="20" t="str">
        <f aca="false">IFERROR(INDEX('Nationwide KWs'!$D$2:$D$158,MATCH(H71,'Nationwide KWs'!$A$2:$A$158,0)),IFERROR(INDEX('Provincial KWs'!$E$2:$E$137,MATCH(H71,'Provincial KWs'!$A$2:$A$137,0)),IFERROR(INDEX('City KWs'!$F$2:$F$419,MATCH(H71,'City KWs'!$A$2:$A$419,0)),"")))</f>
        <v/>
      </c>
      <c r="J71" s="15" t="s">
        <v>5778</v>
      </c>
      <c r="K71" s="3" t="s">
        <v>6441</v>
      </c>
      <c r="L71" s="15" t="s">
        <v>147</v>
      </c>
      <c r="M71" s="15" t="s">
        <v>5159</v>
      </c>
      <c r="N71" s="15" t="s">
        <v>5747</v>
      </c>
      <c r="O71" s="3" t="s">
        <v>6442</v>
      </c>
      <c r="P71" s="15" t="n">
        <f aca="false">LEN(O71)</f>
        <v>52</v>
      </c>
      <c r="Q71" s="3" t="s">
        <v>6443</v>
      </c>
      <c r="R71" s="15" t="n">
        <f aca="false">LEN(Q71)</f>
        <v>155</v>
      </c>
      <c r="S71" s="15" t="str">
        <f aca="false">IF(H71="","",IF(ISNUMBER(SEARCH(SUBSTITUTE(H71,"-"," "),SUBSTITUTE(O71,"-"," "))),"Yes","Check"))</f>
        <v>Check</v>
      </c>
      <c r="T71" s="3" t="s">
        <v>6444</v>
      </c>
      <c r="U71" s="3" t="s">
        <v>6445</v>
      </c>
      <c r="V71" s="3" t="s">
        <v>6446</v>
      </c>
      <c r="W71" s="3" t="s">
        <v>6447</v>
      </c>
      <c r="X71" s="3" t="s">
        <v>6262</v>
      </c>
      <c r="Y71" s="15" t="s">
        <v>5684</v>
      </c>
      <c r="Z71" s="16" t="n">
        <v>1500</v>
      </c>
      <c r="AA71" s="3" t="s">
        <v>6448</v>
      </c>
      <c r="AB71" s="3" t="s">
        <v>6449</v>
      </c>
      <c r="AC71" s="3" t="s">
        <v>6450</v>
      </c>
      <c r="AD71" s="15" t="s">
        <v>5773</v>
      </c>
      <c r="AE71" s="17"/>
      <c r="AF71" s="17"/>
      <c r="AG71" s="17"/>
    </row>
    <row r="72" customFormat="false" ht="46.25" hidden="false" customHeight="false" outlineLevel="0" collapsed="false">
      <c r="A72" s="15" t="str">
        <f aca="false">"B"&amp;TEXT(ROW()-1,"0000")</f>
        <v>B0071</v>
      </c>
      <c r="B72" s="17" t="s">
        <v>5741</v>
      </c>
      <c r="C72" s="15" t="n">
        <v>3</v>
      </c>
      <c r="D72" s="15" t="s">
        <v>78</v>
      </c>
      <c r="E72" s="15" t="s">
        <v>6237</v>
      </c>
      <c r="F72" s="3" t="s">
        <v>6451</v>
      </c>
      <c r="G72" s="15" t="s">
        <v>6452</v>
      </c>
      <c r="H72" s="15" t="s">
        <v>6453</v>
      </c>
      <c r="I72" s="20" t="str">
        <f aca="false">IFERROR(INDEX('Nationwide KWs'!$D$2:$D$158,MATCH(H72,'Nationwide KWs'!$A$2:$A$158,0)),IFERROR(INDEX('Provincial KWs'!$E$2:$E$137,MATCH(H72,'Provincial KWs'!$A$2:$A$137,0)),IFERROR(INDEX('City KWs'!$F$2:$F$419,MATCH(H72,'City KWs'!$A$2:$A$419,0)),"")))</f>
        <v/>
      </c>
      <c r="J72" s="15" t="s">
        <v>5778</v>
      </c>
      <c r="K72" s="3" t="s">
        <v>6454</v>
      </c>
      <c r="L72" s="15" t="s">
        <v>147</v>
      </c>
      <c r="M72" s="15" t="s">
        <v>5177</v>
      </c>
      <c r="N72" s="15" t="s">
        <v>5763</v>
      </c>
      <c r="O72" s="3" t="s">
        <v>6455</v>
      </c>
      <c r="P72" s="15" t="n">
        <f aca="false">LEN(O72)</f>
        <v>47</v>
      </c>
      <c r="Q72" s="3" t="s">
        <v>6456</v>
      </c>
      <c r="R72" s="15" t="n">
        <f aca="false">LEN(Q72)</f>
        <v>154</v>
      </c>
      <c r="S72" s="15" t="str">
        <f aca="false">IF(H72="","",IF(ISNUMBER(SEARCH(SUBSTITUTE(H72,"-"," "),SUBSTITUTE(O72,"-"," "))),"Yes","Check"))</f>
        <v>Yes</v>
      </c>
      <c r="T72" s="3" t="s">
        <v>6457</v>
      </c>
      <c r="U72" s="3" t="s">
        <v>6458</v>
      </c>
      <c r="V72" s="3" t="s">
        <v>6459</v>
      </c>
      <c r="W72" s="3" t="s">
        <v>6460</v>
      </c>
      <c r="X72" s="3" t="s">
        <v>6262</v>
      </c>
      <c r="Y72" s="15" t="s">
        <v>5684</v>
      </c>
      <c r="Z72" s="16" t="n">
        <v>1800</v>
      </c>
      <c r="AA72" s="3" t="s">
        <v>6181</v>
      </c>
      <c r="AB72" s="3" t="s">
        <v>6461</v>
      </c>
      <c r="AC72" s="3" t="s">
        <v>6462</v>
      </c>
      <c r="AD72" s="15" t="s">
        <v>6023</v>
      </c>
      <c r="AE72" s="17"/>
      <c r="AF72" s="17"/>
      <c r="AG72" s="17"/>
    </row>
    <row r="73" customFormat="false" ht="46.25" hidden="false" customHeight="false" outlineLevel="0" collapsed="false">
      <c r="A73" s="15" t="str">
        <f aca="false">"B"&amp;TEXT(ROW()-1,"0000")</f>
        <v>B0072</v>
      </c>
      <c r="B73" s="17" t="s">
        <v>5741</v>
      </c>
      <c r="C73" s="15" t="n">
        <v>3</v>
      </c>
      <c r="D73" s="15" t="s">
        <v>78</v>
      </c>
      <c r="E73" s="15" t="s">
        <v>5758</v>
      </c>
      <c r="F73" s="3" t="s">
        <v>6463</v>
      </c>
      <c r="G73" s="15" t="s">
        <v>6464</v>
      </c>
      <c r="H73" s="15" t="s">
        <v>6465</v>
      </c>
      <c r="I73" s="20" t="str">
        <f aca="false">IFERROR(INDEX('Nationwide KWs'!$D$2:$D$158,MATCH(H73,'Nationwide KWs'!$A$2:$A$158,0)),IFERROR(INDEX('Provincial KWs'!$E$2:$E$137,MATCH(H73,'Provincial KWs'!$A$2:$A$137,0)),IFERROR(INDEX('City KWs'!$F$2:$F$419,MATCH(H73,'City KWs'!$A$2:$A$419,0)),"")))</f>
        <v/>
      </c>
      <c r="J73" s="15" t="s">
        <v>5745</v>
      </c>
      <c r="K73" s="3" t="s">
        <v>6466</v>
      </c>
      <c r="L73" s="15" t="s">
        <v>147</v>
      </c>
      <c r="M73" s="15" t="s">
        <v>5177</v>
      </c>
      <c r="N73" s="15" t="s">
        <v>5747</v>
      </c>
      <c r="O73" s="3" t="s">
        <v>6467</v>
      </c>
      <c r="P73" s="15" t="n">
        <f aca="false">LEN(O73)</f>
        <v>51</v>
      </c>
      <c r="Q73" s="3" t="s">
        <v>6468</v>
      </c>
      <c r="R73" s="15" t="n">
        <f aca="false">LEN(Q73)</f>
        <v>145</v>
      </c>
      <c r="S73" s="15" t="str">
        <f aca="false">IF(H73="","",IF(ISNUMBER(SEARCH(SUBSTITUTE(H73,"-"," "),SUBSTITUTE(O73,"-"," "))),"Yes","Check"))</f>
        <v>Yes</v>
      </c>
      <c r="T73" s="3" t="s">
        <v>6469</v>
      </c>
      <c r="U73" s="3" t="s">
        <v>6470</v>
      </c>
      <c r="V73" s="3" t="s">
        <v>6471</v>
      </c>
      <c r="W73" s="3" t="s">
        <v>6472</v>
      </c>
      <c r="X73" s="3" t="s">
        <v>6262</v>
      </c>
      <c r="Y73" s="15" t="s">
        <v>5684</v>
      </c>
      <c r="Z73" s="16" t="n">
        <v>1400</v>
      </c>
      <c r="AA73" s="3" t="s">
        <v>6473</v>
      </c>
      <c r="AB73" s="3" t="s">
        <v>6474</v>
      </c>
      <c r="AC73" s="3" t="s">
        <v>6475</v>
      </c>
      <c r="AD73" s="15" t="s">
        <v>5773</v>
      </c>
      <c r="AE73" s="17"/>
      <c r="AF73" s="17"/>
      <c r="AG73" s="17"/>
    </row>
    <row r="74" customFormat="false" ht="35.05" hidden="false" customHeight="false" outlineLevel="0" collapsed="false">
      <c r="A74" s="15" t="str">
        <f aca="false">"B"&amp;TEXT(ROW()-1,"0000")</f>
        <v>B0073</v>
      </c>
      <c r="B74" s="17" t="s">
        <v>5741</v>
      </c>
      <c r="C74" s="15" t="n">
        <v>3</v>
      </c>
      <c r="D74" s="15" t="s">
        <v>78</v>
      </c>
      <c r="E74" s="15" t="s">
        <v>5758</v>
      </c>
      <c r="F74" s="3" t="s">
        <v>6476</v>
      </c>
      <c r="G74" s="15" t="s">
        <v>6477</v>
      </c>
      <c r="H74" s="15" t="s">
        <v>6478</v>
      </c>
      <c r="I74" s="20" t="str">
        <f aca="false">IFERROR(INDEX('Nationwide KWs'!$D$2:$D$158,MATCH(H74,'Nationwide KWs'!$A$2:$A$158,0)),IFERROR(INDEX('Provincial KWs'!$E$2:$E$137,MATCH(H74,'Provincial KWs'!$A$2:$A$137,0)),IFERROR(INDEX('City KWs'!$F$2:$F$419,MATCH(H74,'City KWs'!$A$2:$A$419,0)),"")))</f>
        <v/>
      </c>
      <c r="J74" s="15" t="s">
        <v>5778</v>
      </c>
      <c r="K74" s="3" t="s">
        <v>6479</v>
      </c>
      <c r="L74" s="15" t="s">
        <v>147</v>
      </c>
      <c r="M74" s="15" t="s">
        <v>5177</v>
      </c>
      <c r="N74" s="15" t="s">
        <v>5763</v>
      </c>
      <c r="O74" s="3" t="s">
        <v>6480</v>
      </c>
      <c r="P74" s="15" t="n">
        <f aca="false">LEN(O74)</f>
        <v>47</v>
      </c>
      <c r="Q74" s="3" t="s">
        <v>6481</v>
      </c>
      <c r="R74" s="15" t="n">
        <f aca="false">LEN(Q74)</f>
        <v>148</v>
      </c>
      <c r="S74" s="15" t="str">
        <f aca="false">IF(H74="","",IF(ISNUMBER(SEARCH(SUBSTITUTE(H74,"-"," "),SUBSTITUTE(O74,"-"," "))),"Yes","Check"))</f>
        <v>Yes</v>
      </c>
      <c r="T74" s="3" t="s">
        <v>6482</v>
      </c>
      <c r="U74" s="3" t="s">
        <v>6483</v>
      </c>
      <c r="V74" s="3" t="s">
        <v>6484</v>
      </c>
      <c r="W74" s="3" t="s">
        <v>6485</v>
      </c>
      <c r="X74" s="3" t="s">
        <v>6262</v>
      </c>
      <c r="Y74" s="15" t="s">
        <v>5684</v>
      </c>
      <c r="Z74" s="16" t="n">
        <v>1400</v>
      </c>
      <c r="AA74" s="3" t="s">
        <v>6181</v>
      </c>
      <c r="AB74" s="3" t="s">
        <v>6486</v>
      </c>
      <c r="AC74" s="3" t="s">
        <v>6487</v>
      </c>
      <c r="AD74" s="15" t="s">
        <v>5773</v>
      </c>
      <c r="AE74" s="17"/>
      <c r="AF74" s="17"/>
      <c r="AG74" s="17"/>
    </row>
    <row r="75" customFormat="false" ht="35.05" hidden="false" customHeight="false" outlineLevel="0" collapsed="false">
      <c r="A75" s="15" t="str">
        <f aca="false">"B"&amp;TEXT(ROW()-1,"0000")</f>
        <v>B0074</v>
      </c>
      <c r="B75" s="17" t="s">
        <v>5741</v>
      </c>
      <c r="C75" s="15" t="n">
        <v>3</v>
      </c>
      <c r="D75" s="15" t="s">
        <v>78</v>
      </c>
      <c r="E75" s="15" t="s">
        <v>5758</v>
      </c>
      <c r="F75" s="3" t="s">
        <v>6488</v>
      </c>
      <c r="G75" s="15" t="s">
        <v>6489</v>
      </c>
      <c r="H75" s="15" t="s">
        <v>6490</v>
      </c>
      <c r="I75" s="20" t="str">
        <f aca="false">IFERROR(INDEX('Nationwide KWs'!$D$2:$D$158,MATCH(H75,'Nationwide KWs'!$A$2:$A$158,0)),IFERROR(INDEX('Provincial KWs'!$E$2:$E$137,MATCH(H75,'Provincial KWs'!$A$2:$A$137,0)),IFERROR(INDEX('City KWs'!$F$2:$F$419,MATCH(H75,'City KWs'!$A$2:$A$419,0)),"")))</f>
        <v/>
      </c>
      <c r="J75" s="15" t="s">
        <v>5778</v>
      </c>
      <c r="K75" s="3" t="s">
        <v>6491</v>
      </c>
      <c r="L75" s="15" t="s">
        <v>147</v>
      </c>
      <c r="M75" s="15" t="s">
        <v>5177</v>
      </c>
      <c r="N75" s="15" t="s">
        <v>5763</v>
      </c>
      <c r="O75" s="3" t="s">
        <v>6492</v>
      </c>
      <c r="P75" s="15" t="n">
        <f aca="false">LEN(O75)</f>
        <v>49</v>
      </c>
      <c r="Q75" s="3" t="s">
        <v>6493</v>
      </c>
      <c r="R75" s="15" t="n">
        <f aca="false">LEN(Q75)</f>
        <v>152</v>
      </c>
      <c r="S75" s="15" t="str">
        <f aca="false">IF(H75="","",IF(ISNUMBER(SEARCH(SUBSTITUTE(H75,"-"," "),SUBSTITUTE(O75,"-"," "))),"Yes","Check"))</f>
        <v>Check</v>
      </c>
      <c r="T75" s="3" t="s">
        <v>6494</v>
      </c>
      <c r="U75" s="3" t="s">
        <v>6495</v>
      </c>
      <c r="V75" s="3" t="s">
        <v>6496</v>
      </c>
      <c r="W75" s="3" t="s">
        <v>6497</v>
      </c>
      <c r="X75" s="3" t="s">
        <v>6262</v>
      </c>
      <c r="Y75" s="15" t="s">
        <v>5684</v>
      </c>
      <c r="Z75" s="16" t="n">
        <v>1300</v>
      </c>
      <c r="AA75" s="3" t="s">
        <v>6181</v>
      </c>
      <c r="AB75" s="3" t="s">
        <v>6498</v>
      </c>
      <c r="AC75" s="3" t="s">
        <v>6499</v>
      </c>
      <c r="AD75" s="15" t="s">
        <v>5773</v>
      </c>
      <c r="AE75" s="17"/>
      <c r="AF75" s="17"/>
      <c r="AG75" s="17"/>
    </row>
    <row r="76" customFormat="false" ht="46.25" hidden="false" customHeight="false" outlineLevel="0" collapsed="false">
      <c r="A76" s="15" t="str">
        <f aca="false">"B"&amp;TEXT(ROW()-1,"0000")</f>
        <v>B0075</v>
      </c>
      <c r="B76" s="17" t="s">
        <v>5741</v>
      </c>
      <c r="C76" s="15" t="n">
        <v>3</v>
      </c>
      <c r="D76" s="15" t="s">
        <v>78</v>
      </c>
      <c r="E76" s="15" t="s">
        <v>5845</v>
      </c>
      <c r="F76" s="3" t="s">
        <v>6500</v>
      </c>
      <c r="G76" s="15" t="s">
        <v>6501</v>
      </c>
      <c r="H76" s="15" t="s">
        <v>6502</v>
      </c>
      <c r="I76" s="20" t="str">
        <f aca="false">IFERROR(INDEX('Nationwide KWs'!$D$2:$D$158,MATCH(H76,'Nationwide KWs'!$A$2:$A$158,0)),IFERROR(INDEX('Provincial KWs'!$E$2:$E$137,MATCH(H76,'Provincial KWs'!$A$2:$A$137,0)),IFERROR(INDEX('City KWs'!$F$2:$F$419,MATCH(H76,'City KWs'!$A$2:$A$419,0)),"")))</f>
        <v/>
      </c>
      <c r="J76" s="15" t="s">
        <v>5778</v>
      </c>
      <c r="K76" s="3" t="s">
        <v>6503</v>
      </c>
      <c r="L76" s="15" t="s">
        <v>5713</v>
      </c>
      <c r="M76" s="15" t="s">
        <v>5177</v>
      </c>
      <c r="N76" s="15" t="s">
        <v>5763</v>
      </c>
      <c r="O76" s="3" t="s">
        <v>6504</v>
      </c>
      <c r="P76" s="15" t="n">
        <f aca="false">LEN(O76)</f>
        <v>51</v>
      </c>
      <c r="Q76" s="3" t="s">
        <v>6505</v>
      </c>
      <c r="R76" s="15" t="n">
        <f aca="false">LEN(Q76)</f>
        <v>155</v>
      </c>
      <c r="S76" s="15" t="str">
        <f aca="false">IF(H76="","",IF(ISNUMBER(SEARCH(SUBSTITUTE(H76,"-"," "),SUBSTITUTE(O76,"-"," "))),"Yes","Check"))</f>
        <v>Yes</v>
      </c>
      <c r="T76" s="3" t="s">
        <v>6506</v>
      </c>
      <c r="U76" s="3" t="s">
        <v>6507</v>
      </c>
      <c r="V76" s="3" t="s">
        <v>6508</v>
      </c>
      <c r="W76" s="3" t="s">
        <v>6509</v>
      </c>
      <c r="X76" s="3" t="s">
        <v>6510</v>
      </c>
      <c r="Y76" s="15" t="s">
        <v>5684</v>
      </c>
      <c r="Z76" s="16" t="n">
        <v>1400</v>
      </c>
      <c r="AA76" s="3" t="s">
        <v>6511</v>
      </c>
      <c r="AB76" s="3" t="s">
        <v>6512</v>
      </c>
      <c r="AC76" s="3" t="s">
        <v>6513</v>
      </c>
      <c r="AD76" s="15" t="s">
        <v>6023</v>
      </c>
      <c r="AE76" s="17"/>
      <c r="AF76" s="17"/>
      <c r="AG76" s="17"/>
    </row>
    <row r="77" customFormat="false" ht="46.25" hidden="false" customHeight="false" outlineLevel="0" collapsed="false">
      <c r="A77" s="15" t="str">
        <f aca="false">"B"&amp;TEXT(ROW()-1,"0000")</f>
        <v>B0076</v>
      </c>
      <c r="B77" s="17" t="s">
        <v>5741</v>
      </c>
      <c r="C77" s="15" t="n">
        <v>3</v>
      </c>
      <c r="D77" s="15" t="s">
        <v>78</v>
      </c>
      <c r="E77" s="15" t="s">
        <v>5845</v>
      </c>
      <c r="F77" s="3" t="s">
        <v>6514</v>
      </c>
      <c r="G77" s="15" t="s">
        <v>6515</v>
      </c>
      <c r="H77" s="15" t="s">
        <v>6516</v>
      </c>
      <c r="I77" s="20" t="str">
        <f aca="false">IFERROR(INDEX('Nationwide KWs'!$D$2:$D$158,MATCH(H77,'Nationwide KWs'!$A$2:$A$158,0)),IFERROR(INDEX('Provincial KWs'!$E$2:$E$137,MATCH(H77,'Provincial KWs'!$A$2:$A$137,0)),IFERROR(INDEX('City KWs'!$F$2:$F$419,MATCH(H77,'City KWs'!$A$2:$A$419,0)),"")))</f>
        <v/>
      </c>
      <c r="J77" s="15" t="s">
        <v>5998</v>
      </c>
      <c r="K77" s="3" t="s">
        <v>6517</v>
      </c>
      <c r="L77" s="15" t="s">
        <v>6518</v>
      </c>
      <c r="M77" s="15" t="s">
        <v>5177</v>
      </c>
      <c r="N77" s="15" t="s">
        <v>5763</v>
      </c>
      <c r="O77" s="3" t="s">
        <v>6519</v>
      </c>
      <c r="P77" s="15" t="n">
        <f aca="false">LEN(O77)</f>
        <v>53</v>
      </c>
      <c r="Q77" s="3" t="s">
        <v>6520</v>
      </c>
      <c r="R77" s="15" t="n">
        <f aca="false">LEN(Q77)</f>
        <v>151</v>
      </c>
      <c r="S77" s="15" t="str">
        <f aca="false">IF(H77="","",IF(ISNUMBER(SEARCH(SUBSTITUTE(H77,"-"," "),SUBSTITUTE(O77,"-"," "))),"Yes","Check"))</f>
        <v>Yes</v>
      </c>
      <c r="T77" s="3" t="s">
        <v>6521</v>
      </c>
      <c r="U77" s="3" t="s">
        <v>6522</v>
      </c>
      <c r="V77" s="3" t="s">
        <v>6523</v>
      </c>
      <c r="W77" s="3" t="s">
        <v>6524</v>
      </c>
      <c r="X77" s="3" t="s">
        <v>6525</v>
      </c>
      <c r="Y77" s="15" t="s">
        <v>5684</v>
      </c>
      <c r="Z77" s="16" t="n">
        <v>1300</v>
      </c>
      <c r="AA77" s="3" t="s">
        <v>6526</v>
      </c>
      <c r="AB77" s="3" t="s">
        <v>6527</v>
      </c>
      <c r="AC77" s="3" t="s">
        <v>6528</v>
      </c>
      <c r="AD77" s="15" t="s">
        <v>5773</v>
      </c>
      <c r="AE77" s="17"/>
      <c r="AF77" s="17"/>
      <c r="AG77" s="17"/>
    </row>
    <row r="78" customFormat="false" ht="46.25" hidden="false" customHeight="false" outlineLevel="0" collapsed="false">
      <c r="A78" s="15" t="str">
        <f aca="false">"B"&amp;TEXT(ROW()-1,"0000")</f>
        <v>B0077</v>
      </c>
      <c r="B78" s="17" t="s">
        <v>5741</v>
      </c>
      <c r="C78" s="15" t="n">
        <v>3</v>
      </c>
      <c r="D78" s="15" t="s">
        <v>78</v>
      </c>
      <c r="E78" s="15" t="s">
        <v>5845</v>
      </c>
      <c r="F78" s="3" t="s">
        <v>6529</v>
      </c>
      <c r="G78" s="15" t="s">
        <v>6530</v>
      </c>
      <c r="H78" s="15" t="s">
        <v>6531</v>
      </c>
      <c r="I78" s="20" t="str">
        <f aca="false">IFERROR(INDEX('Nationwide KWs'!$D$2:$D$158,MATCH(H78,'Nationwide KWs'!$A$2:$A$158,0)),IFERROR(INDEX('Provincial KWs'!$E$2:$E$137,MATCH(H78,'Provincial KWs'!$A$2:$A$137,0)),IFERROR(INDEX('City KWs'!$F$2:$F$419,MATCH(H78,'City KWs'!$A$2:$A$419,0)),"")))</f>
        <v/>
      </c>
      <c r="J78" s="15" t="s">
        <v>5778</v>
      </c>
      <c r="K78" s="3" t="s">
        <v>6532</v>
      </c>
      <c r="L78" s="15" t="s">
        <v>5704</v>
      </c>
      <c r="M78" s="15" t="s">
        <v>5177</v>
      </c>
      <c r="N78" s="15" t="s">
        <v>5763</v>
      </c>
      <c r="O78" s="3" t="s">
        <v>6533</v>
      </c>
      <c r="P78" s="15" t="n">
        <f aca="false">LEN(O78)</f>
        <v>52</v>
      </c>
      <c r="Q78" s="3" t="s">
        <v>6534</v>
      </c>
      <c r="R78" s="15" t="n">
        <f aca="false">LEN(Q78)</f>
        <v>151</v>
      </c>
      <c r="S78" s="15" t="str">
        <f aca="false">IF(H78="","",IF(ISNUMBER(SEARCH(SUBSTITUTE(H78,"-"," "),SUBSTITUTE(O78,"-"," "))),"Yes","Check"))</f>
        <v>Yes</v>
      </c>
      <c r="T78" s="3" t="s">
        <v>6535</v>
      </c>
      <c r="U78" s="3" t="s">
        <v>6536</v>
      </c>
      <c r="V78" s="3" t="s">
        <v>6537</v>
      </c>
      <c r="W78" s="3" t="s">
        <v>6538</v>
      </c>
      <c r="X78" s="3" t="s">
        <v>6290</v>
      </c>
      <c r="Y78" s="15" t="s">
        <v>5684</v>
      </c>
      <c r="Z78" s="16" t="n">
        <v>1500</v>
      </c>
      <c r="AA78" s="3" t="s">
        <v>6181</v>
      </c>
      <c r="AB78" s="3" t="s">
        <v>6539</v>
      </c>
      <c r="AC78" s="3" t="s">
        <v>6540</v>
      </c>
      <c r="AD78" s="15" t="s">
        <v>5773</v>
      </c>
      <c r="AE78" s="17"/>
      <c r="AF78" s="17"/>
      <c r="AG78" s="17"/>
    </row>
    <row r="79" customFormat="false" ht="35.05" hidden="false" customHeight="false" outlineLevel="0" collapsed="false">
      <c r="A79" s="15" t="str">
        <f aca="false">"B"&amp;TEXT(ROW()-1,"0000")</f>
        <v>B0078</v>
      </c>
      <c r="B79" s="17" t="s">
        <v>5741</v>
      </c>
      <c r="C79" s="15" t="n">
        <v>3</v>
      </c>
      <c r="D79" s="15" t="s">
        <v>78</v>
      </c>
      <c r="E79" s="15" t="s">
        <v>5859</v>
      </c>
      <c r="F79" s="3" t="s">
        <v>6541</v>
      </c>
      <c r="G79" s="15" t="s">
        <v>6542</v>
      </c>
      <c r="H79" s="15" t="s">
        <v>6543</v>
      </c>
      <c r="I79" s="20" t="str">
        <f aca="false">IFERROR(INDEX('Nationwide KWs'!$D$2:$D$158,MATCH(H79,'Nationwide KWs'!$A$2:$A$158,0)),IFERROR(INDEX('Provincial KWs'!$E$2:$E$137,MATCH(H79,'Provincial KWs'!$A$2:$A$137,0)),IFERROR(INDEX('City KWs'!$F$2:$F$419,MATCH(H79,'City KWs'!$A$2:$A$419,0)),"")))</f>
        <v/>
      </c>
      <c r="J79" s="15" t="s">
        <v>5778</v>
      </c>
      <c r="K79" s="3" t="s">
        <v>6544</v>
      </c>
      <c r="L79" s="15" t="s">
        <v>147</v>
      </c>
      <c r="M79" s="15" t="s">
        <v>5159</v>
      </c>
      <c r="N79" s="15" t="s">
        <v>5747</v>
      </c>
      <c r="O79" s="3" t="s">
        <v>6545</v>
      </c>
      <c r="P79" s="15" t="n">
        <f aca="false">LEN(O79)</f>
        <v>52</v>
      </c>
      <c r="Q79" s="3" t="s">
        <v>6546</v>
      </c>
      <c r="R79" s="15" t="n">
        <f aca="false">LEN(Q79)</f>
        <v>155</v>
      </c>
      <c r="S79" s="15" t="str">
        <f aca="false">IF(H79="","",IF(ISNUMBER(SEARCH(SUBSTITUTE(H79,"-"," "),SUBSTITUTE(O79,"-"," "))),"Yes","Check"))</f>
        <v>Check</v>
      </c>
      <c r="T79" s="3" t="s">
        <v>6547</v>
      </c>
      <c r="U79" s="3" t="s">
        <v>6548</v>
      </c>
      <c r="V79" s="3" t="s">
        <v>6549</v>
      </c>
      <c r="W79" s="3" t="s">
        <v>6550</v>
      </c>
      <c r="X79" s="3" t="s">
        <v>6262</v>
      </c>
      <c r="Y79" s="15" t="s">
        <v>5684</v>
      </c>
      <c r="Z79" s="16" t="n">
        <v>1600</v>
      </c>
      <c r="AA79" s="3" t="s">
        <v>6551</v>
      </c>
      <c r="AB79" s="3" t="s">
        <v>6552</v>
      </c>
      <c r="AC79" s="3" t="s">
        <v>6553</v>
      </c>
      <c r="AD79" s="15" t="s">
        <v>5773</v>
      </c>
      <c r="AE79" s="17"/>
      <c r="AF79" s="17"/>
      <c r="AG79" s="17"/>
    </row>
    <row r="80" customFormat="false" ht="46.25" hidden="false" customHeight="false" outlineLevel="0" collapsed="false">
      <c r="A80" s="15" t="str">
        <f aca="false">"B"&amp;TEXT(ROW()-1,"0000")</f>
        <v>B0079</v>
      </c>
      <c r="B80" s="17" t="s">
        <v>5741</v>
      </c>
      <c r="C80" s="15" t="n">
        <v>3</v>
      </c>
      <c r="D80" s="15" t="s">
        <v>78</v>
      </c>
      <c r="E80" s="15" t="s">
        <v>5887</v>
      </c>
      <c r="F80" s="3" t="s">
        <v>6554</v>
      </c>
      <c r="G80" s="15" t="s">
        <v>6555</v>
      </c>
      <c r="H80" s="15" t="s">
        <v>6556</v>
      </c>
      <c r="I80" s="20" t="str">
        <f aca="false">IFERROR(INDEX('Nationwide KWs'!$D$2:$D$158,MATCH(H80,'Nationwide KWs'!$A$2:$A$158,0)),IFERROR(INDEX('Provincial KWs'!$E$2:$E$137,MATCH(H80,'Provincial KWs'!$A$2:$A$137,0)),IFERROR(INDEX('City KWs'!$F$2:$F$419,MATCH(H80,'City KWs'!$A$2:$A$419,0)),"")))</f>
        <v/>
      </c>
      <c r="J80" s="15" t="s">
        <v>6093</v>
      </c>
      <c r="K80" s="3" t="s">
        <v>6557</v>
      </c>
      <c r="L80" s="15" t="s">
        <v>147</v>
      </c>
      <c r="M80" s="15" t="s">
        <v>5177</v>
      </c>
      <c r="N80" s="15" t="s">
        <v>5763</v>
      </c>
      <c r="O80" s="3" t="s">
        <v>6558</v>
      </c>
      <c r="P80" s="15" t="n">
        <f aca="false">LEN(O80)</f>
        <v>46</v>
      </c>
      <c r="Q80" s="3" t="s">
        <v>6559</v>
      </c>
      <c r="R80" s="15" t="n">
        <f aca="false">LEN(Q80)</f>
        <v>155</v>
      </c>
      <c r="S80" s="15" t="str">
        <f aca="false">IF(H80="","",IF(ISNUMBER(SEARCH(SUBSTITUTE(H80,"-"," "),SUBSTITUTE(O80,"-"," "))),"Yes","Check"))</f>
        <v>Yes</v>
      </c>
      <c r="T80" s="3" t="s">
        <v>6560</v>
      </c>
      <c r="U80" s="3" t="s">
        <v>6561</v>
      </c>
      <c r="V80" s="3" t="s">
        <v>6562</v>
      </c>
      <c r="W80" s="3" t="s">
        <v>6563</v>
      </c>
      <c r="X80" s="3" t="s">
        <v>6262</v>
      </c>
      <c r="Y80" s="15" t="s">
        <v>5684</v>
      </c>
      <c r="Z80" s="16" t="n">
        <v>1600</v>
      </c>
      <c r="AA80" s="3" t="s">
        <v>6564</v>
      </c>
      <c r="AB80" s="3" t="s">
        <v>6565</v>
      </c>
      <c r="AC80" s="3" t="s">
        <v>6566</v>
      </c>
      <c r="AD80" s="15" t="s">
        <v>5773</v>
      </c>
      <c r="AE80" s="17"/>
      <c r="AF80" s="17"/>
      <c r="AG80" s="17"/>
    </row>
    <row r="81" customFormat="false" ht="46.25" hidden="false" customHeight="false" outlineLevel="0" collapsed="false">
      <c r="A81" s="15" t="str">
        <f aca="false">"B"&amp;TEXT(ROW()-1,"0000")</f>
        <v>B0080</v>
      </c>
      <c r="B81" s="17" t="s">
        <v>5741</v>
      </c>
      <c r="C81" s="15" t="n">
        <v>4</v>
      </c>
      <c r="D81" s="15" t="s">
        <v>78</v>
      </c>
      <c r="E81" s="15" t="s">
        <v>5900</v>
      </c>
      <c r="F81" s="3" t="s">
        <v>6567</v>
      </c>
      <c r="G81" s="15" t="s">
        <v>6568</v>
      </c>
      <c r="H81" s="15" t="s">
        <v>6569</v>
      </c>
      <c r="I81" s="20" t="str">
        <f aca="false">IFERROR(INDEX('Nationwide KWs'!$D$2:$D$158,MATCH(H81,'Nationwide KWs'!$A$2:$A$158,0)),IFERROR(INDEX('Provincial KWs'!$E$2:$E$137,MATCH(H81,'Provincial KWs'!$A$2:$A$137,0)),IFERROR(INDEX('City KWs'!$F$2:$F$419,MATCH(H81,'City KWs'!$A$2:$A$419,0)),"")))</f>
        <v/>
      </c>
      <c r="J81" s="15" t="s">
        <v>5778</v>
      </c>
      <c r="K81" s="3" t="s">
        <v>6570</v>
      </c>
      <c r="L81" s="15" t="s">
        <v>147</v>
      </c>
      <c r="M81" s="15" t="s">
        <v>5177</v>
      </c>
      <c r="N81" s="15" t="s">
        <v>5763</v>
      </c>
      <c r="O81" s="3" t="s">
        <v>6571</v>
      </c>
      <c r="P81" s="15" t="n">
        <f aca="false">LEN(O81)</f>
        <v>54</v>
      </c>
      <c r="Q81" s="3" t="s">
        <v>6572</v>
      </c>
      <c r="R81" s="15" t="n">
        <f aca="false">LEN(Q81)</f>
        <v>155</v>
      </c>
      <c r="S81" s="15" t="str">
        <f aca="false">IF(H81="","",IF(ISNUMBER(SEARCH(SUBSTITUTE(H81,"-"," "),SUBSTITUTE(O81,"-"," "))),"Yes","Check"))</f>
        <v>Yes</v>
      </c>
      <c r="T81" s="3" t="s">
        <v>6573</v>
      </c>
      <c r="U81" s="3" t="s">
        <v>6574</v>
      </c>
      <c r="V81" s="3" t="s">
        <v>6575</v>
      </c>
      <c r="W81" s="3" t="s">
        <v>6576</v>
      </c>
      <c r="X81" s="3" t="s">
        <v>6262</v>
      </c>
      <c r="Y81" s="15" t="s">
        <v>5912</v>
      </c>
      <c r="Z81" s="16" t="n">
        <v>1200</v>
      </c>
      <c r="AA81" s="3" t="s">
        <v>6577</v>
      </c>
      <c r="AB81" s="3" t="s">
        <v>6578</v>
      </c>
      <c r="AC81" s="3" t="s">
        <v>6579</v>
      </c>
      <c r="AD81" s="15" t="s">
        <v>5773</v>
      </c>
      <c r="AE81" s="17"/>
      <c r="AF81" s="17"/>
      <c r="AG81" s="17"/>
    </row>
    <row r="82" customFormat="false" ht="46.25" hidden="false" customHeight="false" outlineLevel="0" collapsed="false">
      <c r="A82" s="15" t="str">
        <f aca="false">"B"&amp;TEXT(ROW()-1,"0000")</f>
        <v>B0081</v>
      </c>
      <c r="B82" s="17" t="s">
        <v>5741</v>
      </c>
      <c r="C82" s="15" t="n">
        <v>4</v>
      </c>
      <c r="D82" s="15" t="s">
        <v>78</v>
      </c>
      <c r="E82" s="15" t="s">
        <v>6580</v>
      </c>
      <c r="F82" s="3" t="s">
        <v>6581</v>
      </c>
      <c r="G82" s="15" t="s">
        <v>6582</v>
      </c>
      <c r="H82" s="15" t="s">
        <v>6583</v>
      </c>
      <c r="I82" s="20" t="str">
        <f aca="false">IFERROR(INDEX('Nationwide KWs'!$D$2:$D$158,MATCH(H82,'Nationwide KWs'!$A$2:$A$158,0)),IFERROR(INDEX('Provincial KWs'!$E$2:$E$137,MATCH(H82,'Provincial KWs'!$A$2:$A$137,0)),IFERROR(INDEX('City KWs'!$F$2:$F$419,MATCH(H82,'City KWs'!$A$2:$A$419,0)),"")))</f>
        <v/>
      </c>
      <c r="J82" s="15" t="s">
        <v>5778</v>
      </c>
      <c r="K82" s="3" t="s">
        <v>6584</v>
      </c>
      <c r="L82" s="15" t="s">
        <v>147</v>
      </c>
      <c r="M82" s="15" t="s">
        <v>5159</v>
      </c>
      <c r="N82" s="15" t="s">
        <v>5795</v>
      </c>
      <c r="O82" s="3" t="s">
        <v>6585</v>
      </c>
      <c r="P82" s="15" t="n">
        <f aca="false">LEN(O82)</f>
        <v>51</v>
      </c>
      <c r="Q82" s="3" t="s">
        <v>6586</v>
      </c>
      <c r="R82" s="15" t="n">
        <f aca="false">LEN(Q82)</f>
        <v>155</v>
      </c>
      <c r="S82" s="15" t="str">
        <f aca="false">IF(H82="","",IF(ISNUMBER(SEARCH(SUBSTITUTE(H82,"-"," "),SUBSTITUTE(O82,"-"," "))),"Yes","Check"))</f>
        <v>Check</v>
      </c>
      <c r="T82" s="3" t="s">
        <v>6587</v>
      </c>
      <c r="U82" s="3" t="s">
        <v>6588</v>
      </c>
      <c r="V82" s="3" t="s">
        <v>6589</v>
      </c>
      <c r="W82" s="3" t="s">
        <v>6590</v>
      </c>
      <c r="X82" s="3" t="s">
        <v>6591</v>
      </c>
      <c r="Y82" s="15" t="s">
        <v>5684</v>
      </c>
      <c r="Z82" s="16" t="n">
        <v>2200</v>
      </c>
      <c r="AA82" s="3" t="s">
        <v>6592</v>
      </c>
      <c r="AB82" s="3" t="s">
        <v>6593</v>
      </c>
      <c r="AC82" s="3" t="s">
        <v>6594</v>
      </c>
      <c r="AD82" s="15" t="s">
        <v>6595</v>
      </c>
      <c r="AE82" s="17"/>
      <c r="AF82" s="17"/>
      <c r="AG82" s="17"/>
    </row>
    <row r="83" customFormat="false" ht="46.25" hidden="false" customHeight="false" outlineLevel="0" collapsed="false">
      <c r="A83" s="15" t="str">
        <f aca="false">"B"&amp;TEXT(ROW()-1,"0000")</f>
        <v>B0082</v>
      </c>
      <c r="B83" s="17" t="s">
        <v>5741</v>
      </c>
      <c r="C83" s="15" t="n">
        <v>4</v>
      </c>
      <c r="D83" s="15" t="s">
        <v>78</v>
      </c>
      <c r="E83" s="15" t="s">
        <v>6266</v>
      </c>
      <c r="F83" s="3" t="s">
        <v>6596</v>
      </c>
      <c r="G83" s="15" t="s">
        <v>6597</v>
      </c>
      <c r="H83" s="15" t="s">
        <v>6598</v>
      </c>
      <c r="I83" s="20" t="str">
        <f aca="false">IFERROR(INDEX('Nationwide KWs'!$D$2:$D$158,MATCH(H83,'Nationwide KWs'!$A$2:$A$158,0)),IFERROR(INDEX('Provincial KWs'!$E$2:$E$137,MATCH(H83,'Provincial KWs'!$A$2:$A$137,0)),IFERROR(INDEX('City KWs'!$F$2:$F$419,MATCH(H83,'City KWs'!$A$2:$A$419,0)),"")))</f>
        <v/>
      </c>
      <c r="J83" s="15" t="s">
        <v>5998</v>
      </c>
      <c r="K83" s="3" t="s">
        <v>6599</v>
      </c>
      <c r="L83" s="15" t="s">
        <v>147</v>
      </c>
      <c r="M83" s="15" t="s">
        <v>5159</v>
      </c>
      <c r="N83" s="15" t="s">
        <v>5747</v>
      </c>
      <c r="O83" s="3" t="s">
        <v>6600</v>
      </c>
      <c r="P83" s="15" t="n">
        <f aca="false">LEN(O83)</f>
        <v>48</v>
      </c>
      <c r="Q83" s="3" t="s">
        <v>6601</v>
      </c>
      <c r="R83" s="15" t="n">
        <f aca="false">LEN(Q83)</f>
        <v>152</v>
      </c>
      <c r="S83" s="15" t="str">
        <f aca="false">IF(H83="","",IF(ISNUMBER(SEARCH(SUBSTITUTE(H83,"-"," "),SUBSTITUTE(O83,"-"," "))),"Yes","Check"))</f>
        <v>Check</v>
      </c>
      <c r="T83" s="3" t="s">
        <v>6602</v>
      </c>
      <c r="U83" s="3" t="s">
        <v>6603</v>
      </c>
      <c r="V83" s="3" t="s">
        <v>6604</v>
      </c>
      <c r="W83" s="3" t="s">
        <v>6605</v>
      </c>
      <c r="X83" s="3" t="s">
        <v>6262</v>
      </c>
      <c r="Y83" s="15" t="s">
        <v>5684</v>
      </c>
      <c r="Z83" s="16" t="n">
        <v>1200</v>
      </c>
      <c r="AA83" s="3" t="s">
        <v>6181</v>
      </c>
      <c r="AB83" s="3" t="s">
        <v>6606</v>
      </c>
      <c r="AC83" s="3" t="s">
        <v>6607</v>
      </c>
      <c r="AD83" s="15" t="s">
        <v>5773</v>
      </c>
      <c r="AE83" s="17"/>
      <c r="AF83" s="17"/>
      <c r="AG83" s="17"/>
    </row>
    <row r="84" customFormat="false" ht="46.25" hidden="false" customHeight="false" outlineLevel="0" collapsed="false">
      <c r="A84" s="15" t="str">
        <f aca="false">"B"&amp;TEXT(ROW()-1,"0000")</f>
        <v>B0083</v>
      </c>
      <c r="B84" s="17" t="s">
        <v>5741</v>
      </c>
      <c r="C84" s="15" t="n">
        <v>4</v>
      </c>
      <c r="D84" s="15" t="s">
        <v>78</v>
      </c>
      <c r="E84" s="15" t="s">
        <v>5845</v>
      </c>
      <c r="F84" s="3" t="s">
        <v>6608</v>
      </c>
      <c r="G84" s="15" t="s">
        <v>6609</v>
      </c>
      <c r="H84" s="15" t="s">
        <v>6610</v>
      </c>
      <c r="I84" s="20" t="str">
        <f aca="false">IFERROR(INDEX('Nationwide KWs'!$D$2:$D$158,MATCH(H84,'Nationwide KWs'!$A$2:$A$158,0)),IFERROR(INDEX('Provincial KWs'!$E$2:$E$137,MATCH(H84,'Provincial KWs'!$A$2:$A$137,0)),IFERROR(INDEX('City KWs'!$F$2:$F$419,MATCH(H84,'City KWs'!$A$2:$A$419,0)),"")))</f>
        <v/>
      </c>
      <c r="J84" s="15" t="s">
        <v>5778</v>
      </c>
      <c r="K84" s="3" t="s">
        <v>6611</v>
      </c>
      <c r="L84" s="15" t="s">
        <v>6612</v>
      </c>
      <c r="M84" s="15" t="s">
        <v>5177</v>
      </c>
      <c r="N84" s="15" t="s">
        <v>5763</v>
      </c>
      <c r="O84" s="3" t="s">
        <v>6613</v>
      </c>
      <c r="P84" s="15" t="n">
        <f aca="false">LEN(O84)</f>
        <v>49</v>
      </c>
      <c r="Q84" s="3" t="s">
        <v>6614</v>
      </c>
      <c r="R84" s="15" t="n">
        <f aca="false">LEN(Q84)</f>
        <v>154</v>
      </c>
      <c r="S84" s="15" t="str">
        <f aca="false">IF(H84="","",IF(ISNUMBER(SEARCH(SUBSTITUTE(H84,"-"," "),SUBSTITUTE(O84,"-"," "))),"Yes","Check"))</f>
        <v>Yes</v>
      </c>
      <c r="T84" s="3" t="s">
        <v>6615</v>
      </c>
      <c r="U84" s="3" t="s">
        <v>6616</v>
      </c>
      <c r="V84" s="3" t="s">
        <v>6617</v>
      </c>
      <c r="W84" s="3" t="s">
        <v>6618</v>
      </c>
      <c r="X84" s="3" t="s">
        <v>6619</v>
      </c>
      <c r="Y84" s="15" t="s">
        <v>5684</v>
      </c>
      <c r="Z84" s="16" t="n">
        <v>1500</v>
      </c>
      <c r="AA84" s="3" t="s">
        <v>6620</v>
      </c>
      <c r="AB84" s="3" t="s">
        <v>6621</v>
      </c>
      <c r="AC84" s="3" t="s">
        <v>6622</v>
      </c>
      <c r="AD84" s="15" t="s">
        <v>5773</v>
      </c>
      <c r="AE84" s="17"/>
      <c r="AF84" s="17"/>
      <c r="AG84" s="17"/>
    </row>
    <row r="85" customFormat="false" ht="46.25" hidden="false" customHeight="false" outlineLevel="0" collapsed="false">
      <c r="A85" s="15" t="str">
        <f aca="false">"B"&amp;TEXT(ROW()-1,"0000")</f>
        <v>B0084</v>
      </c>
      <c r="B85" s="17" t="s">
        <v>5741</v>
      </c>
      <c r="C85" s="15" t="n">
        <v>1</v>
      </c>
      <c r="D85" s="15" t="s">
        <v>79</v>
      </c>
      <c r="E85" s="15" t="s">
        <v>6237</v>
      </c>
      <c r="F85" s="3" t="s">
        <v>6623</v>
      </c>
      <c r="G85" s="15" t="s">
        <v>6624</v>
      </c>
      <c r="H85" s="15" t="s">
        <v>6625</v>
      </c>
      <c r="I85" s="20" t="str">
        <f aca="false">IFERROR(INDEX('Nationwide KWs'!$D$2:$D$158,MATCH(H85,'Nationwide KWs'!$A$2:$A$158,0)),IFERROR(INDEX('Provincial KWs'!$E$2:$E$137,MATCH(H85,'Provincial KWs'!$A$2:$A$137,0)),IFERROR(INDEX('City KWs'!$F$2:$F$419,MATCH(H85,'City KWs'!$A$2:$A$419,0)),"")))</f>
        <v/>
      </c>
      <c r="J85" s="15" t="s">
        <v>5778</v>
      </c>
      <c r="K85" s="3" t="s">
        <v>6626</v>
      </c>
      <c r="L85" s="15" t="s">
        <v>147</v>
      </c>
      <c r="M85" s="15" t="s">
        <v>5159</v>
      </c>
      <c r="N85" s="15" t="s">
        <v>5747</v>
      </c>
      <c r="O85" s="3" t="s">
        <v>6627</v>
      </c>
      <c r="P85" s="15" t="n">
        <f aca="false">LEN(O85)</f>
        <v>50</v>
      </c>
      <c r="Q85" s="3" t="s">
        <v>6628</v>
      </c>
      <c r="R85" s="15" t="n">
        <f aca="false">LEN(Q85)</f>
        <v>152</v>
      </c>
      <c r="S85" s="15" t="str">
        <f aca="false">IF(H85="","",IF(ISNUMBER(SEARCH(SUBSTITUTE(H85,"-"," "),SUBSTITUTE(O85,"-"," "))),"Yes","Check"))</f>
        <v>Yes</v>
      </c>
      <c r="T85" s="3" t="s">
        <v>6629</v>
      </c>
      <c r="U85" s="3" t="s">
        <v>6630</v>
      </c>
      <c r="V85" s="3" t="s">
        <v>6631</v>
      </c>
      <c r="W85" s="3" t="s">
        <v>6632</v>
      </c>
      <c r="X85" s="3" t="s">
        <v>6633</v>
      </c>
      <c r="Y85" s="15" t="s">
        <v>5684</v>
      </c>
      <c r="Z85" s="16" t="n">
        <v>1600</v>
      </c>
      <c r="AA85" s="3" t="s">
        <v>6634</v>
      </c>
      <c r="AB85" s="3" t="s">
        <v>6635</v>
      </c>
      <c r="AC85" s="3" t="s">
        <v>6636</v>
      </c>
      <c r="AD85" s="15" t="s">
        <v>6023</v>
      </c>
      <c r="AE85" s="17"/>
      <c r="AF85" s="17"/>
      <c r="AG85" s="17"/>
    </row>
    <row r="86" customFormat="false" ht="46.25" hidden="false" customHeight="false" outlineLevel="0" collapsed="false">
      <c r="A86" s="15" t="str">
        <f aca="false">"B"&amp;TEXT(ROW()-1,"0000")</f>
        <v>B0085</v>
      </c>
      <c r="B86" s="17" t="s">
        <v>5741</v>
      </c>
      <c r="C86" s="15" t="n">
        <v>1</v>
      </c>
      <c r="D86" s="15" t="s">
        <v>79</v>
      </c>
      <c r="E86" s="15" t="s">
        <v>5742</v>
      </c>
      <c r="F86" s="3" t="s">
        <v>6637</v>
      </c>
      <c r="G86" s="15" t="s">
        <v>6638</v>
      </c>
      <c r="H86" s="15" t="s">
        <v>6639</v>
      </c>
      <c r="I86" s="20" t="str">
        <f aca="false">IFERROR(INDEX('Nationwide KWs'!$D$2:$D$158,MATCH(H86,'Nationwide KWs'!$A$2:$A$158,0)),IFERROR(INDEX('Provincial KWs'!$E$2:$E$137,MATCH(H86,'Provincial KWs'!$A$2:$A$137,0)),IFERROR(INDEX('City KWs'!$F$2:$F$419,MATCH(H86,'City KWs'!$A$2:$A$419,0)),"")))</f>
        <v/>
      </c>
      <c r="J86" s="15" t="s">
        <v>5998</v>
      </c>
      <c r="K86" s="3" t="s">
        <v>6640</v>
      </c>
      <c r="L86" s="15" t="s">
        <v>147</v>
      </c>
      <c r="M86" s="15" t="s">
        <v>5159</v>
      </c>
      <c r="N86" s="15" t="s">
        <v>5795</v>
      </c>
      <c r="O86" s="3" t="s">
        <v>6641</v>
      </c>
      <c r="P86" s="15" t="n">
        <f aca="false">LEN(O86)</f>
        <v>51</v>
      </c>
      <c r="Q86" s="3" t="s">
        <v>6642</v>
      </c>
      <c r="R86" s="15" t="n">
        <f aca="false">LEN(Q86)</f>
        <v>148</v>
      </c>
      <c r="S86" s="15" t="str">
        <f aca="false">IF(H86="","",IF(ISNUMBER(SEARCH(SUBSTITUTE(H86,"-"," "),SUBSTITUTE(O86,"-"," "))),"Yes","Check"))</f>
        <v>Yes</v>
      </c>
      <c r="T86" s="3" t="s">
        <v>6643</v>
      </c>
      <c r="U86" s="3" t="s">
        <v>6644</v>
      </c>
      <c r="V86" s="3" t="s">
        <v>6645</v>
      </c>
      <c r="W86" s="3" t="s">
        <v>6646</v>
      </c>
      <c r="X86" s="3" t="s">
        <v>6647</v>
      </c>
      <c r="Y86" s="15" t="s">
        <v>5684</v>
      </c>
      <c r="Z86" s="16" t="n">
        <v>1700</v>
      </c>
      <c r="AA86" s="3" t="s">
        <v>6181</v>
      </c>
      <c r="AB86" s="3" t="s">
        <v>6648</v>
      </c>
      <c r="AC86" s="3" t="s">
        <v>6649</v>
      </c>
      <c r="AD86" s="15" t="s">
        <v>5773</v>
      </c>
      <c r="AE86" s="17"/>
      <c r="AF86" s="17"/>
      <c r="AG86" s="17"/>
    </row>
    <row r="87" customFormat="false" ht="46.25" hidden="false" customHeight="false" outlineLevel="0" collapsed="false">
      <c r="A87" s="15" t="str">
        <f aca="false">"B"&amp;TEXT(ROW()-1,"0000")</f>
        <v>B0086</v>
      </c>
      <c r="B87" s="17" t="s">
        <v>5741</v>
      </c>
      <c r="C87" s="15" t="n">
        <v>1</v>
      </c>
      <c r="D87" s="15" t="s">
        <v>79</v>
      </c>
      <c r="E87" s="15" t="s">
        <v>5742</v>
      </c>
      <c r="F87" s="3" t="s">
        <v>6650</v>
      </c>
      <c r="G87" s="15" t="s">
        <v>6651</v>
      </c>
      <c r="H87" s="15" t="s">
        <v>6652</v>
      </c>
      <c r="I87" s="20" t="str">
        <f aca="false">IFERROR(INDEX('Nationwide KWs'!$D$2:$D$158,MATCH(H87,'Nationwide KWs'!$A$2:$A$158,0)),IFERROR(INDEX('Provincial KWs'!$E$2:$E$137,MATCH(H87,'Provincial KWs'!$A$2:$A$137,0)),IFERROR(INDEX('City KWs'!$F$2:$F$419,MATCH(H87,'City KWs'!$A$2:$A$419,0)),"")))</f>
        <v/>
      </c>
      <c r="J87" s="15" t="s">
        <v>5778</v>
      </c>
      <c r="K87" s="3" t="s">
        <v>6653</v>
      </c>
      <c r="L87" s="15" t="s">
        <v>147</v>
      </c>
      <c r="M87" s="15" t="s">
        <v>5159</v>
      </c>
      <c r="N87" s="15" t="s">
        <v>5747</v>
      </c>
      <c r="O87" s="3" t="s">
        <v>6654</v>
      </c>
      <c r="P87" s="15" t="n">
        <f aca="false">LEN(O87)</f>
        <v>56</v>
      </c>
      <c r="Q87" s="3" t="s">
        <v>6655</v>
      </c>
      <c r="R87" s="15" t="n">
        <f aca="false">LEN(Q87)</f>
        <v>152</v>
      </c>
      <c r="S87" s="15" t="str">
        <f aca="false">IF(H87="","",IF(ISNUMBER(SEARCH(SUBSTITUTE(H87,"-"," "),SUBSTITUTE(O87,"-"," "))),"Yes","Check"))</f>
        <v>Yes</v>
      </c>
      <c r="T87" s="3" t="s">
        <v>6656</v>
      </c>
      <c r="U87" s="3" t="s">
        <v>6657</v>
      </c>
      <c r="V87" s="3" t="s">
        <v>6658</v>
      </c>
      <c r="W87" s="3" t="s">
        <v>6659</v>
      </c>
      <c r="X87" s="3" t="s">
        <v>6660</v>
      </c>
      <c r="Y87" s="15" t="s">
        <v>5684</v>
      </c>
      <c r="Z87" s="16" t="n">
        <v>1800</v>
      </c>
      <c r="AA87" s="3" t="s">
        <v>6661</v>
      </c>
      <c r="AB87" s="3" t="s">
        <v>6662</v>
      </c>
      <c r="AC87" s="3" t="s">
        <v>6663</v>
      </c>
      <c r="AD87" s="15" t="s">
        <v>5687</v>
      </c>
      <c r="AE87" s="17"/>
      <c r="AF87" s="17"/>
      <c r="AG87" s="17"/>
    </row>
    <row r="88" customFormat="false" ht="46.25" hidden="false" customHeight="false" outlineLevel="0" collapsed="false">
      <c r="A88" s="15" t="str">
        <f aca="false">"B"&amp;TEXT(ROW()-1,"0000")</f>
        <v>B0087</v>
      </c>
      <c r="B88" s="17" t="s">
        <v>5741</v>
      </c>
      <c r="C88" s="15" t="n">
        <v>1</v>
      </c>
      <c r="D88" s="15" t="s">
        <v>79</v>
      </c>
      <c r="E88" s="15" t="s">
        <v>5758</v>
      </c>
      <c r="F88" s="3" t="s">
        <v>6664</v>
      </c>
      <c r="G88" s="15" t="s">
        <v>6665</v>
      </c>
      <c r="H88" s="15" t="s">
        <v>6666</v>
      </c>
      <c r="I88" s="20" t="str">
        <f aca="false">IFERROR(INDEX('Nationwide KWs'!$D$2:$D$158,MATCH(H88,'Nationwide KWs'!$A$2:$A$158,0)),IFERROR(INDEX('Provincial KWs'!$E$2:$E$137,MATCH(H88,'Provincial KWs'!$A$2:$A$137,0)),IFERROR(INDEX('City KWs'!$F$2:$F$419,MATCH(H88,'City KWs'!$A$2:$A$419,0)),"")))</f>
        <v/>
      </c>
      <c r="J88" s="15" t="s">
        <v>5778</v>
      </c>
      <c r="K88" s="3" t="s">
        <v>6667</v>
      </c>
      <c r="L88" s="15" t="s">
        <v>147</v>
      </c>
      <c r="M88" s="15" t="s">
        <v>5159</v>
      </c>
      <c r="N88" s="15" t="s">
        <v>5747</v>
      </c>
      <c r="O88" s="3" t="s">
        <v>6668</v>
      </c>
      <c r="P88" s="15" t="n">
        <f aca="false">LEN(O88)</f>
        <v>52</v>
      </c>
      <c r="Q88" s="3" t="s">
        <v>6669</v>
      </c>
      <c r="R88" s="15" t="n">
        <f aca="false">LEN(Q88)</f>
        <v>144</v>
      </c>
      <c r="S88" s="15" t="str">
        <f aca="false">IF(H88="","",IF(ISNUMBER(SEARCH(SUBSTITUTE(H88,"-"," "),SUBSTITUTE(O88,"-"," "))),"Yes","Check"))</f>
        <v>Check</v>
      </c>
      <c r="T88" s="3" t="s">
        <v>6670</v>
      </c>
      <c r="U88" s="3" t="s">
        <v>6671</v>
      </c>
      <c r="V88" s="3" t="s">
        <v>6672</v>
      </c>
      <c r="W88" s="3" t="s">
        <v>6673</v>
      </c>
      <c r="X88" s="3" t="s">
        <v>6660</v>
      </c>
      <c r="Y88" s="15" t="s">
        <v>5684</v>
      </c>
      <c r="Z88" s="16" t="n">
        <v>1700</v>
      </c>
      <c r="AA88" s="3" t="s">
        <v>6674</v>
      </c>
      <c r="AB88" s="3" t="s">
        <v>6675</v>
      </c>
      <c r="AC88" s="3" t="s">
        <v>6676</v>
      </c>
      <c r="AD88" s="15" t="s">
        <v>5773</v>
      </c>
      <c r="AE88" s="17"/>
      <c r="AF88" s="17"/>
      <c r="AG88" s="17"/>
    </row>
    <row r="89" customFormat="false" ht="46.25" hidden="false" customHeight="false" outlineLevel="0" collapsed="false">
      <c r="A89" s="15" t="str">
        <f aca="false">"B"&amp;TEXT(ROW()-1,"0000")</f>
        <v>B0088</v>
      </c>
      <c r="B89" s="17" t="s">
        <v>5741</v>
      </c>
      <c r="C89" s="15" t="n">
        <v>1</v>
      </c>
      <c r="D89" s="15" t="s">
        <v>79</v>
      </c>
      <c r="E89" s="15" t="s">
        <v>6677</v>
      </c>
      <c r="F89" s="3" t="s">
        <v>6678</v>
      </c>
      <c r="G89" s="15" t="s">
        <v>6679</v>
      </c>
      <c r="H89" s="15" t="s">
        <v>6680</v>
      </c>
      <c r="I89" s="20" t="str">
        <f aca="false">IFERROR(INDEX('Nationwide KWs'!$D$2:$D$158,MATCH(H89,'Nationwide KWs'!$A$2:$A$158,0)),IFERROR(INDEX('Provincial KWs'!$E$2:$E$137,MATCH(H89,'Provincial KWs'!$A$2:$A$137,0)),IFERROR(INDEX('City KWs'!$F$2:$F$419,MATCH(H89,'City KWs'!$A$2:$A$419,0)),"")))</f>
        <v/>
      </c>
      <c r="J89" s="15" t="s">
        <v>5778</v>
      </c>
      <c r="K89" s="3" t="s">
        <v>6681</v>
      </c>
      <c r="L89" s="15" t="s">
        <v>147</v>
      </c>
      <c r="M89" s="15" t="s">
        <v>5169</v>
      </c>
      <c r="N89" s="15" t="s">
        <v>5795</v>
      </c>
      <c r="O89" s="3" t="s">
        <v>6682</v>
      </c>
      <c r="P89" s="15" t="n">
        <f aca="false">LEN(O89)</f>
        <v>49</v>
      </c>
      <c r="Q89" s="3" t="s">
        <v>6683</v>
      </c>
      <c r="R89" s="15" t="n">
        <f aca="false">LEN(Q89)</f>
        <v>155</v>
      </c>
      <c r="S89" s="15" t="str">
        <f aca="false">IF(H89="","",IF(ISNUMBER(SEARCH(SUBSTITUTE(H89,"-"," "),SUBSTITUTE(O89,"-"," "))),"Yes","Check"))</f>
        <v>Yes</v>
      </c>
      <c r="T89" s="3" t="s">
        <v>6684</v>
      </c>
      <c r="U89" s="3" t="s">
        <v>6685</v>
      </c>
      <c r="V89" s="3" t="s">
        <v>6686</v>
      </c>
      <c r="W89" s="3" t="s">
        <v>6687</v>
      </c>
      <c r="X89" s="3" t="s">
        <v>6688</v>
      </c>
      <c r="Y89" s="15" t="s">
        <v>5912</v>
      </c>
      <c r="Z89" s="16" t="n">
        <v>1600</v>
      </c>
      <c r="AA89" s="3" t="s">
        <v>6689</v>
      </c>
      <c r="AB89" s="3" t="s">
        <v>6690</v>
      </c>
      <c r="AC89" s="3" t="s">
        <v>6691</v>
      </c>
      <c r="AD89" s="15" t="s">
        <v>5773</v>
      </c>
      <c r="AE89" s="17"/>
      <c r="AF89" s="17"/>
      <c r="AG89" s="17"/>
    </row>
    <row r="90" customFormat="false" ht="46.25" hidden="false" customHeight="false" outlineLevel="0" collapsed="false">
      <c r="A90" s="15" t="str">
        <f aca="false">"B"&amp;TEXT(ROW()-1,"0000")</f>
        <v>B0089</v>
      </c>
      <c r="B90" s="17" t="s">
        <v>5741</v>
      </c>
      <c r="C90" s="15" t="n">
        <v>1</v>
      </c>
      <c r="D90" s="15" t="s">
        <v>79</v>
      </c>
      <c r="E90" s="15" t="s">
        <v>5859</v>
      </c>
      <c r="F90" s="3" t="s">
        <v>6692</v>
      </c>
      <c r="G90" s="15" t="s">
        <v>6693</v>
      </c>
      <c r="H90" s="15" t="s">
        <v>6694</v>
      </c>
      <c r="I90" s="20" t="str">
        <f aca="false">IFERROR(INDEX('Nationwide KWs'!$D$2:$D$158,MATCH(H90,'Nationwide KWs'!$A$2:$A$158,0)),IFERROR(INDEX('Provincial KWs'!$E$2:$E$137,MATCH(H90,'Provincial KWs'!$A$2:$A$137,0)),IFERROR(INDEX('City KWs'!$F$2:$F$419,MATCH(H90,'City KWs'!$A$2:$A$419,0)),"")))</f>
        <v/>
      </c>
      <c r="J90" s="15" t="s">
        <v>5778</v>
      </c>
      <c r="K90" s="3" t="s">
        <v>6695</v>
      </c>
      <c r="L90" s="15" t="s">
        <v>147</v>
      </c>
      <c r="M90" s="15" t="s">
        <v>5159</v>
      </c>
      <c r="N90" s="15" t="s">
        <v>5747</v>
      </c>
      <c r="O90" s="3" t="s">
        <v>6696</v>
      </c>
      <c r="P90" s="15" t="n">
        <f aca="false">LEN(O90)</f>
        <v>55</v>
      </c>
      <c r="Q90" s="3" t="s">
        <v>6697</v>
      </c>
      <c r="R90" s="15" t="n">
        <f aca="false">LEN(Q90)</f>
        <v>149</v>
      </c>
      <c r="S90" s="15" t="str">
        <f aca="false">IF(H90="","",IF(ISNUMBER(SEARCH(SUBSTITUTE(H90,"-"," "),SUBSTITUTE(O90,"-"," "))),"Yes","Check"))</f>
        <v>Yes</v>
      </c>
      <c r="T90" s="3" t="s">
        <v>6698</v>
      </c>
      <c r="U90" s="3" t="s">
        <v>6699</v>
      </c>
      <c r="V90" s="3" t="s">
        <v>6700</v>
      </c>
      <c r="W90" s="3" t="s">
        <v>6701</v>
      </c>
      <c r="X90" s="3" t="s">
        <v>6660</v>
      </c>
      <c r="Y90" s="15" t="s">
        <v>5684</v>
      </c>
      <c r="Z90" s="16" t="n">
        <v>1600</v>
      </c>
      <c r="AA90" s="3" t="s">
        <v>6702</v>
      </c>
      <c r="AB90" s="3" t="s">
        <v>6703</v>
      </c>
      <c r="AC90" s="3" t="s">
        <v>6704</v>
      </c>
      <c r="AD90" s="15" t="s">
        <v>5773</v>
      </c>
      <c r="AE90" s="17"/>
      <c r="AF90" s="17"/>
      <c r="AG90" s="17"/>
    </row>
    <row r="91" customFormat="false" ht="35.05" hidden="false" customHeight="false" outlineLevel="0" collapsed="false">
      <c r="A91" s="15" t="str">
        <f aca="false">"B"&amp;TEXT(ROW()-1,"0000")</f>
        <v>B0090</v>
      </c>
      <c r="B91" s="17" t="s">
        <v>5741</v>
      </c>
      <c r="C91" s="15" t="n">
        <v>2</v>
      </c>
      <c r="D91" s="15" t="s">
        <v>79</v>
      </c>
      <c r="E91" s="15" t="s">
        <v>5790</v>
      </c>
      <c r="F91" s="3" t="s">
        <v>6705</v>
      </c>
      <c r="G91" s="15" t="s">
        <v>6706</v>
      </c>
      <c r="H91" s="15" t="s">
        <v>6707</v>
      </c>
      <c r="I91" s="20" t="str">
        <f aca="false">IFERROR(INDEX('Nationwide KWs'!$D$2:$D$158,MATCH(H91,'Nationwide KWs'!$A$2:$A$158,0)),IFERROR(INDEX('Provincial KWs'!$E$2:$E$137,MATCH(H91,'Provincial KWs'!$A$2:$A$137,0)),IFERROR(INDEX('City KWs'!$F$2:$F$419,MATCH(H91,'City KWs'!$A$2:$A$419,0)),"")))</f>
        <v/>
      </c>
      <c r="J91" s="15" t="s">
        <v>5998</v>
      </c>
      <c r="K91" s="3" t="s">
        <v>6708</v>
      </c>
      <c r="L91" s="15" t="s">
        <v>147</v>
      </c>
      <c r="M91" s="15" t="s">
        <v>5159</v>
      </c>
      <c r="N91" s="15" t="s">
        <v>5747</v>
      </c>
      <c r="O91" s="3" t="s">
        <v>6709</v>
      </c>
      <c r="P91" s="15" t="n">
        <f aca="false">LEN(O91)</f>
        <v>52</v>
      </c>
      <c r="Q91" s="3" t="s">
        <v>6710</v>
      </c>
      <c r="R91" s="15" t="n">
        <f aca="false">LEN(Q91)</f>
        <v>154</v>
      </c>
      <c r="S91" s="15" t="str">
        <f aca="false">IF(H91="","",IF(ISNUMBER(SEARCH(SUBSTITUTE(H91,"-"," "),SUBSTITUTE(O91,"-"," "))),"Yes","Check"))</f>
        <v>Yes</v>
      </c>
      <c r="T91" s="3" t="s">
        <v>6711</v>
      </c>
      <c r="U91" s="3" t="s">
        <v>6712</v>
      </c>
      <c r="V91" s="3" t="s">
        <v>6713</v>
      </c>
      <c r="W91" s="3" t="s">
        <v>6714</v>
      </c>
      <c r="X91" s="3" t="s">
        <v>6660</v>
      </c>
      <c r="Y91" s="15" t="s">
        <v>5684</v>
      </c>
      <c r="Z91" s="16" t="n">
        <v>1500</v>
      </c>
      <c r="AA91" s="3" t="s">
        <v>6715</v>
      </c>
      <c r="AB91" s="3" t="s">
        <v>6716</v>
      </c>
      <c r="AC91" s="3" t="s">
        <v>6717</v>
      </c>
      <c r="AD91" s="15" t="s">
        <v>5773</v>
      </c>
      <c r="AE91" s="17"/>
      <c r="AF91" s="17"/>
      <c r="AG91" s="17"/>
    </row>
    <row r="92" customFormat="false" ht="35.05" hidden="false" customHeight="false" outlineLevel="0" collapsed="false">
      <c r="A92" s="15" t="str">
        <f aca="false">"B"&amp;TEXT(ROW()-1,"0000")</f>
        <v>B0091</v>
      </c>
      <c r="B92" s="17" t="s">
        <v>5741</v>
      </c>
      <c r="C92" s="15" t="n">
        <v>2</v>
      </c>
      <c r="D92" s="15" t="s">
        <v>79</v>
      </c>
      <c r="E92" s="15" t="s">
        <v>5758</v>
      </c>
      <c r="F92" s="3" t="s">
        <v>6718</v>
      </c>
      <c r="G92" s="15" t="s">
        <v>6719</v>
      </c>
      <c r="H92" s="15" t="s">
        <v>6720</v>
      </c>
      <c r="I92" s="20" t="str">
        <f aca="false">IFERROR(INDEX('Nationwide KWs'!$D$2:$D$158,MATCH(H92,'Nationwide KWs'!$A$2:$A$158,0)),IFERROR(INDEX('Provincial KWs'!$E$2:$E$137,MATCH(H92,'Provincial KWs'!$A$2:$A$137,0)),IFERROR(INDEX('City KWs'!$F$2:$F$419,MATCH(H92,'City KWs'!$A$2:$A$419,0)),"")))</f>
        <v/>
      </c>
      <c r="J92" s="15" t="s">
        <v>5778</v>
      </c>
      <c r="K92" s="3" t="s">
        <v>6721</v>
      </c>
      <c r="L92" s="15" t="s">
        <v>147</v>
      </c>
      <c r="M92" s="15" t="s">
        <v>5177</v>
      </c>
      <c r="N92" s="15" t="s">
        <v>5763</v>
      </c>
      <c r="O92" s="3" t="s">
        <v>6722</v>
      </c>
      <c r="P92" s="15" t="n">
        <f aca="false">LEN(O92)</f>
        <v>49</v>
      </c>
      <c r="Q92" s="3" t="s">
        <v>6723</v>
      </c>
      <c r="R92" s="15" t="n">
        <f aca="false">LEN(Q92)</f>
        <v>154</v>
      </c>
      <c r="S92" s="15" t="str">
        <f aca="false">IF(H92="","",IF(ISNUMBER(SEARCH(SUBSTITUTE(H92,"-"," "),SUBSTITUTE(O92,"-"," "))),"Yes","Check"))</f>
        <v>Yes</v>
      </c>
      <c r="T92" s="3" t="s">
        <v>6724</v>
      </c>
      <c r="U92" s="3" t="s">
        <v>6725</v>
      </c>
      <c r="V92" s="3" t="s">
        <v>6726</v>
      </c>
      <c r="W92" s="3" t="s">
        <v>6727</v>
      </c>
      <c r="X92" s="3" t="s">
        <v>6660</v>
      </c>
      <c r="Y92" s="15" t="s">
        <v>5684</v>
      </c>
      <c r="Z92" s="16" t="n">
        <v>1500</v>
      </c>
      <c r="AA92" s="3" t="s">
        <v>6728</v>
      </c>
      <c r="AB92" s="3" t="s">
        <v>6729</v>
      </c>
      <c r="AC92" s="3" t="s">
        <v>6730</v>
      </c>
      <c r="AD92" s="15" t="s">
        <v>5773</v>
      </c>
      <c r="AE92" s="17"/>
      <c r="AF92" s="17"/>
      <c r="AG92" s="17"/>
    </row>
    <row r="93" customFormat="false" ht="46.25" hidden="false" customHeight="false" outlineLevel="0" collapsed="false">
      <c r="A93" s="15" t="str">
        <f aca="false">"B"&amp;TEXT(ROW()-1,"0000")</f>
        <v>B0092</v>
      </c>
      <c r="B93" s="17" t="s">
        <v>5741</v>
      </c>
      <c r="C93" s="15" t="n">
        <v>2</v>
      </c>
      <c r="D93" s="15" t="s">
        <v>79</v>
      </c>
      <c r="E93" s="15" t="s">
        <v>5887</v>
      </c>
      <c r="F93" s="3" t="s">
        <v>6731</v>
      </c>
      <c r="G93" s="15" t="s">
        <v>6732</v>
      </c>
      <c r="H93" s="15" t="s">
        <v>6733</v>
      </c>
      <c r="I93" s="20" t="str">
        <f aca="false">IFERROR(INDEX('Nationwide KWs'!$D$2:$D$158,MATCH(H93,'Nationwide KWs'!$A$2:$A$158,0)),IFERROR(INDEX('Provincial KWs'!$E$2:$E$137,MATCH(H93,'Provincial KWs'!$A$2:$A$137,0)),IFERROR(INDEX('City KWs'!$F$2:$F$419,MATCH(H93,'City KWs'!$A$2:$A$419,0)),"")))</f>
        <v/>
      </c>
      <c r="J93" s="15" t="s">
        <v>5778</v>
      </c>
      <c r="K93" s="3" t="s">
        <v>6734</v>
      </c>
      <c r="L93" s="15" t="s">
        <v>147</v>
      </c>
      <c r="M93" s="15" t="s">
        <v>5177</v>
      </c>
      <c r="N93" s="15" t="s">
        <v>5763</v>
      </c>
      <c r="O93" s="3" t="s">
        <v>6735</v>
      </c>
      <c r="P93" s="15" t="n">
        <f aca="false">LEN(O93)</f>
        <v>47</v>
      </c>
      <c r="Q93" s="3" t="s">
        <v>6736</v>
      </c>
      <c r="R93" s="15" t="n">
        <f aca="false">LEN(Q93)</f>
        <v>153</v>
      </c>
      <c r="S93" s="15" t="str">
        <f aca="false">IF(H93="","",IF(ISNUMBER(SEARCH(SUBSTITUTE(H93,"-"," "),SUBSTITUTE(O93,"-"," "))),"Yes","Check"))</f>
        <v>Yes</v>
      </c>
      <c r="T93" s="3" t="s">
        <v>6737</v>
      </c>
      <c r="U93" s="3" t="s">
        <v>6738</v>
      </c>
      <c r="V93" s="3" t="s">
        <v>6739</v>
      </c>
      <c r="W93" s="3" t="s">
        <v>6740</v>
      </c>
      <c r="X93" s="3" t="s">
        <v>6660</v>
      </c>
      <c r="Y93" s="15" t="s">
        <v>5684</v>
      </c>
      <c r="Z93" s="16" t="n">
        <v>1400</v>
      </c>
      <c r="AA93" s="3" t="s">
        <v>6208</v>
      </c>
      <c r="AB93" s="3" t="s">
        <v>6741</v>
      </c>
      <c r="AC93" s="3" t="s">
        <v>6742</v>
      </c>
      <c r="AD93" s="15" t="s">
        <v>5773</v>
      </c>
      <c r="AE93" s="17"/>
      <c r="AF93" s="17"/>
      <c r="AG93" s="17"/>
    </row>
    <row r="94" customFormat="false" ht="35.05" hidden="false" customHeight="false" outlineLevel="0" collapsed="false">
      <c r="A94" s="15" t="str">
        <f aca="false">"B"&amp;TEXT(ROW()-1,"0000")</f>
        <v>B0093</v>
      </c>
      <c r="B94" s="17" t="s">
        <v>5741</v>
      </c>
      <c r="C94" s="15" t="n">
        <v>3</v>
      </c>
      <c r="D94" s="15" t="s">
        <v>79</v>
      </c>
      <c r="E94" s="15" t="s">
        <v>5758</v>
      </c>
      <c r="F94" s="3" t="s">
        <v>6743</v>
      </c>
      <c r="G94" s="15" t="s">
        <v>6744</v>
      </c>
      <c r="H94" s="15" t="s">
        <v>6745</v>
      </c>
      <c r="I94" s="20" t="str">
        <f aca="false">IFERROR(INDEX('Nationwide KWs'!$D$2:$D$158,MATCH(H94,'Nationwide KWs'!$A$2:$A$158,0)),IFERROR(INDEX('Provincial KWs'!$E$2:$E$137,MATCH(H94,'Provincial KWs'!$A$2:$A$137,0)),IFERROR(INDEX('City KWs'!$F$2:$F$419,MATCH(H94,'City KWs'!$A$2:$A$419,0)),"")))</f>
        <v/>
      </c>
      <c r="J94" s="15" t="s">
        <v>5998</v>
      </c>
      <c r="K94" s="3" t="s">
        <v>6746</v>
      </c>
      <c r="L94" s="15" t="s">
        <v>147</v>
      </c>
      <c r="M94" s="15" t="s">
        <v>5159</v>
      </c>
      <c r="N94" s="15" t="s">
        <v>5747</v>
      </c>
      <c r="O94" s="3" t="s">
        <v>6747</v>
      </c>
      <c r="P94" s="15" t="n">
        <f aca="false">LEN(O94)</f>
        <v>57</v>
      </c>
      <c r="Q94" s="3" t="s">
        <v>6748</v>
      </c>
      <c r="R94" s="15" t="n">
        <f aca="false">LEN(Q94)</f>
        <v>153</v>
      </c>
      <c r="S94" s="15" t="str">
        <f aca="false">IF(H94="","",IF(ISNUMBER(SEARCH(SUBSTITUTE(H94,"-"," "),SUBSTITUTE(O94,"-"," "))),"Yes","Check"))</f>
        <v>Check</v>
      </c>
      <c r="T94" s="3" t="s">
        <v>6749</v>
      </c>
      <c r="U94" s="3" t="s">
        <v>6750</v>
      </c>
      <c r="V94" s="3" t="s">
        <v>6751</v>
      </c>
      <c r="W94" s="3" t="s">
        <v>6752</v>
      </c>
      <c r="X94" s="3" t="s">
        <v>6660</v>
      </c>
      <c r="Y94" s="15" t="s">
        <v>5684</v>
      </c>
      <c r="Z94" s="16" t="n">
        <v>1300</v>
      </c>
      <c r="AA94" s="3" t="s">
        <v>6181</v>
      </c>
      <c r="AB94" s="3" t="s">
        <v>6753</v>
      </c>
      <c r="AC94" s="3" t="s">
        <v>6754</v>
      </c>
      <c r="AD94" s="15" t="s">
        <v>5773</v>
      </c>
      <c r="AE94" s="17"/>
      <c r="AF94" s="17"/>
      <c r="AG94" s="17"/>
    </row>
    <row r="95" customFormat="false" ht="46.25" hidden="false" customHeight="false" outlineLevel="0" collapsed="false">
      <c r="A95" s="15" t="str">
        <f aca="false">"B"&amp;TEXT(ROW()-1,"0000")</f>
        <v>B0094</v>
      </c>
      <c r="B95" s="17" t="s">
        <v>5741</v>
      </c>
      <c r="C95" s="15" t="n">
        <v>3</v>
      </c>
      <c r="D95" s="15" t="s">
        <v>79</v>
      </c>
      <c r="E95" s="15" t="s">
        <v>5859</v>
      </c>
      <c r="F95" s="3" t="s">
        <v>6755</v>
      </c>
      <c r="G95" s="15" t="s">
        <v>6756</v>
      </c>
      <c r="H95" s="15" t="s">
        <v>6757</v>
      </c>
      <c r="I95" s="20" t="str">
        <f aca="false">IFERROR(INDEX('Nationwide KWs'!$D$2:$D$158,MATCH(H95,'Nationwide KWs'!$A$2:$A$158,0)),IFERROR(INDEX('Provincial KWs'!$E$2:$E$137,MATCH(H95,'Provincial KWs'!$A$2:$A$137,0)),IFERROR(INDEX('City KWs'!$F$2:$F$419,MATCH(H95,'City KWs'!$A$2:$A$419,0)),"")))</f>
        <v/>
      </c>
      <c r="J95" s="15" t="s">
        <v>5998</v>
      </c>
      <c r="K95" s="3" t="s">
        <v>6758</v>
      </c>
      <c r="L95" s="15" t="s">
        <v>147</v>
      </c>
      <c r="M95" s="15" t="s">
        <v>5159</v>
      </c>
      <c r="N95" s="15" t="s">
        <v>5747</v>
      </c>
      <c r="O95" s="3" t="s">
        <v>6759</v>
      </c>
      <c r="P95" s="15" t="n">
        <f aca="false">LEN(O95)</f>
        <v>55</v>
      </c>
      <c r="Q95" s="3" t="s">
        <v>6760</v>
      </c>
      <c r="R95" s="15" t="n">
        <f aca="false">LEN(Q95)</f>
        <v>148</v>
      </c>
      <c r="S95" s="15" t="str">
        <f aca="false">IF(H95="","",IF(ISNUMBER(SEARCH(SUBSTITUTE(H95,"-"," "),SUBSTITUTE(O95,"-"," "))),"Yes","Check"))</f>
        <v>Check</v>
      </c>
      <c r="T95" s="3" t="s">
        <v>6761</v>
      </c>
      <c r="U95" s="3" t="s">
        <v>6762</v>
      </c>
      <c r="V95" s="3" t="s">
        <v>6763</v>
      </c>
      <c r="W95" s="3" t="s">
        <v>6764</v>
      </c>
      <c r="X95" s="3" t="s">
        <v>6660</v>
      </c>
      <c r="Y95" s="15" t="s">
        <v>5684</v>
      </c>
      <c r="Z95" s="16" t="n">
        <v>1500</v>
      </c>
      <c r="AA95" s="3" t="s">
        <v>6181</v>
      </c>
      <c r="AB95" s="3" t="s">
        <v>6765</v>
      </c>
      <c r="AC95" s="3" t="s">
        <v>6766</v>
      </c>
      <c r="AD95" s="15" t="s">
        <v>5773</v>
      </c>
      <c r="AE95" s="17"/>
      <c r="AF95" s="17"/>
      <c r="AG95" s="17"/>
    </row>
    <row r="96" customFormat="false" ht="35.05" hidden="false" customHeight="false" outlineLevel="0" collapsed="false">
      <c r="A96" s="15" t="str">
        <f aca="false">"B"&amp;TEXT(ROW()-1,"0000")</f>
        <v>B0095</v>
      </c>
      <c r="B96" s="17" t="s">
        <v>5741</v>
      </c>
      <c r="C96" s="15" t="n">
        <v>3</v>
      </c>
      <c r="D96" s="15" t="s">
        <v>79</v>
      </c>
      <c r="E96" s="15" t="s">
        <v>5859</v>
      </c>
      <c r="F96" s="3" t="s">
        <v>6767</v>
      </c>
      <c r="G96" s="15" t="s">
        <v>6768</v>
      </c>
      <c r="H96" s="15" t="s">
        <v>6769</v>
      </c>
      <c r="I96" s="20" t="str">
        <f aca="false">IFERROR(INDEX('Nationwide KWs'!$D$2:$D$158,MATCH(H96,'Nationwide KWs'!$A$2:$A$158,0)),IFERROR(INDEX('Provincial KWs'!$E$2:$E$137,MATCH(H96,'Provincial KWs'!$A$2:$A$137,0)),IFERROR(INDEX('City KWs'!$F$2:$F$419,MATCH(H96,'City KWs'!$A$2:$A$419,0)),"")))</f>
        <v/>
      </c>
      <c r="J96" s="15" t="s">
        <v>5998</v>
      </c>
      <c r="K96" s="3" t="s">
        <v>6770</v>
      </c>
      <c r="L96" s="15" t="s">
        <v>147</v>
      </c>
      <c r="M96" s="15" t="s">
        <v>5159</v>
      </c>
      <c r="N96" s="15" t="s">
        <v>5747</v>
      </c>
      <c r="O96" s="3" t="s">
        <v>6771</v>
      </c>
      <c r="P96" s="15" t="n">
        <f aca="false">LEN(O96)</f>
        <v>52</v>
      </c>
      <c r="Q96" s="3" t="s">
        <v>6772</v>
      </c>
      <c r="R96" s="15" t="n">
        <f aca="false">LEN(Q96)</f>
        <v>154</v>
      </c>
      <c r="S96" s="15" t="str">
        <f aca="false">IF(H96="","",IF(ISNUMBER(SEARCH(SUBSTITUTE(H96,"-"," "),SUBSTITUTE(O96,"-"," "))),"Yes","Check"))</f>
        <v>Check</v>
      </c>
      <c r="T96" s="3" t="s">
        <v>6773</v>
      </c>
      <c r="U96" s="3" t="s">
        <v>6774</v>
      </c>
      <c r="V96" s="3" t="s">
        <v>6775</v>
      </c>
      <c r="W96" s="3" t="s">
        <v>6776</v>
      </c>
      <c r="X96" s="3" t="s">
        <v>6660</v>
      </c>
      <c r="Y96" s="15" t="s">
        <v>5684</v>
      </c>
      <c r="Z96" s="16" t="n">
        <v>1500</v>
      </c>
      <c r="AA96" s="3" t="s">
        <v>6777</v>
      </c>
      <c r="AB96" s="3" t="s">
        <v>6778</v>
      </c>
      <c r="AC96" s="3" t="s">
        <v>6779</v>
      </c>
      <c r="AD96" s="15" t="s">
        <v>5773</v>
      </c>
      <c r="AE96" s="17"/>
      <c r="AF96" s="17"/>
      <c r="AG96" s="17"/>
    </row>
    <row r="97" customFormat="false" ht="46.25" hidden="false" customHeight="false" outlineLevel="0" collapsed="false">
      <c r="A97" s="15" t="str">
        <f aca="false">"B"&amp;TEXT(ROW()-1,"0000")</f>
        <v>B0096</v>
      </c>
      <c r="B97" s="17" t="s">
        <v>5741</v>
      </c>
      <c r="C97" s="15" t="n">
        <v>3</v>
      </c>
      <c r="D97" s="15" t="s">
        <v>79</v>
      </c>
      <c r="E97" s="15" t="s">
        <v>6780</v>
      </c>
      <c r="F97" s="3" t="s">
        <v>6781</v>
      </c>
      <c r="G97" s="15" t="s">
        <v>6782</v>
      </c>
      <c r="H97" s="15" t="s">
        <v>6783</v>
      </c>
      <c r="I97" s="20" t="str">
        <f aca="false">IFERROR(INDEX('Nationwide KWs'!$D$2:$D$158,MATCH(H97,'Nationwide KWs'!$A$2:$A$158,0)),IFERROR(INDEX('Provincial KWs'!$E$2:$E$137,MATCH(H97,'Provincial KWs'!$A$2:$A$137,0)),IFERROR(INDEX('City KWs'!$F$2:$F$419,MATCH(H97,'City KWs'!$A$2:$A$419,0)),"")))</f>
        <v/>
      </c>
      <c r="J97" s="15" t="s">
        <v>5998</v>
      </c>
      <c r="K97" s="3" t="s">
        <v>6784</v>
      </c>
      <c r="L97" s="15" t="s">
        <v>147</v>
      </c>
      <c r="M97" s="15" t="s">
        <v>5177</v>
      </c>
      <c r="N97" s="15" t="s">
        <v>5747</v>
      </c>
      <c r="O97" s="3" t="s">
        <v>6785</v>
      </c>
      <c r="P97" s="15" t="n">
        <f aca="false">LEN(O97)</f>
        <v>52</v>
      </c>
      <c r="Q97" s="3" t="s">
        <v>6786</v>
      </c>
      <c r="R97" s="15" t="n">
        <f aca="false">LEN(Q97)</f>
        <v>152</v>
      </c>
      <c r="S97" s="15" t="str">
        <f aca="false">IF(H97="","",IF(ISNUMBER(SEARCH(SUBSTITUTE(H97,"-"," "),SUBSTITUTE(O97,"-"," "))),"Yes","Check"))</f>
        <v>Yes</v>
      </c>
      <c r="T97" s="3" t="s">
        <v>6787</v>
      </c>
      <c r="U97" s="3" t="s">
        <v>6788</v>
      </c>
      <c r="V97" s="3" t="s">
        <v>6789</v>
      </c>
      <c r="W97" s="3" t="s">
        <v>6790</v>
      </c>
      <c r="X97" s="3" t="s">
        <v>6660</v>
      </c>
      <c r="Y97" s="15" t="s">
        <v>5684</v>
      </c>
      <c r="Z97" s="16" t="n">
        <v>1300</v>
      </c>
      <c r="AA97" s="3" t="s">
        <v>6181</v>
      </c>
      <c r="AB97" s="3" t="s">
        <v>6791</v>
      </c>
      <c r="AC97" s="3" t="s">
        <v>6792</v>
      </c>
      <c r="AD97" s="15" t="s">
        <v>5773</v>
      </c>
      <c r="AE97" s="17"/>
      <c r="AF97" s="17"/>
      <c r="AG97" s="17"/>
    </row>
    <row r="98" customFormat="false" ht="46.25" hidden="false" customHeight="false" outlineLevel="0" collapsed="false">
      <c r="A98" s="15" t="str">
        <f aca="false">"B"&amp;TEXT(ROW()-1,"0000")</f>
        <v>B0097</v>
      </c>
      <c r="B98" s="17" t="s">
        <v>5741</v>
      </c>
      <c r="C98" s="15" t="n">
        <v>4</v>
      </c>
      <c r="D98" s="15" t="s">
        <v>79</v>
      </c>
      <c r="E98" s="15" t="s">
        <v>5845</v>
      </c>
      <c r="F98" s="3" t="s">
        <v>6793</v>
      </c>
      <c r="G98" s="15" t="s">
        <v>6794</v>
      </c>
      <c r="H98" s="15" t="s">
        <v>1203</v>
      </c>
      <c r="I98" s="20" t="n">
        <f aca="false">IFERROR(INDEX('Nationwide KWs'!$D$2:$D$158,MATCH(H98,'Nationwide KWs'!$A$2:$A$158,0)),IFERROR(INDEX('Provincial KWs'!$E$2:$E$137,MATCH(H98,'Provincial KWs'!$A$2:$A$137,0)),IFERROR(INDEX('City KWs'!$F$2:$F$419,MATCH(H98,'City KWs'!$A$2:$A$419,0)),"")))</f>
        <v>26</v>
      </c>
      <c r="J98" s="15" t="s">
        <v>5998</v>
      </c>
      <c r="K98" s="3" t="s">
        <v>6795</v>
      </c>
      <c r="L98" s="15" t="s">
        <v>6612</v>
      </c>
      <c r="M98" s="15" t="s">
        <v>5177</v>
      </c>
      <c r="N98" s="15" t="s">
        <v>5747</v>
      </c>
      <c r="O98" s="3" t="s">
        <v>6796</v>
      </c>
      <c r="P98" s="15" t="n">
        <f aca="false">LEN(O98)</f>
        <v>53</v>
      </c>
      <c r="Q98" s="3" t="s">
        <v>6797</v>
      </c>
      <c r="R98" s="15" t="n">
        <f aca="false">LEN(Q98)</f>
        <v>152</v>
      </c>
      <c r="S98" s="15" t="str">
        <f aca="false">IF(H98="","",IF(ISNUMBER(SEARCH(SUBSTITUTE(H98,"-"," "),SUBSTITUTE(O98,"-"," "))),"Yes","Check"))</f>
        <v>Check</v>
      </c>
      <c r="T98" s="3" t="s">
        <v>6798</v>
      </c>
      <c r="U98" s="3" t="s">
        <v>6799</v>
      </c>
      <c r="V98" s="3" t="s">
        <v>6800</v>
      </c>
      <c r="W98" s="3" t="s">
        <v>6801</v>
      </c>
      <c r="X98" s="3" t="s">
        <v>6802</v>
      </c>
      <c r="Y98" s="15" t="s">
        <v>5684</v>
      </c>
      <c r="Z98" s="16" t="n">
        <v>1400</v>
      </c>
      <c r="AA98" s="3" t="s">
        <v>6803</v>
      </c>
      <c r="AB98" s="3" t="s">
        <v>6804</v>
      </c>
      <c r="AC98" s="3" t="s">
        <v>6805</v>
      </c>
      <c r="AD98" s="15" t="s">
        <v>5773</v>
      </c>
      <c r="AE98" s="17"/>
      <c r="AF98" s="17"/>
      <c r="AG98" s="17"/>
    </row>
    <row r="99" customFormat="false" ht="46.25" hidden="false" customHeight="false" outlineLevel="0" collapsed="false">
      <c r="A99" s="15" t="str">
        <f aca="false">"B"&amp;TEXT(ROW()-1,"0000")</f>
        <v>B0098</v>
      </c>
      <c r="B99" s="17" t="s">
        <v>5741</v>
      </c>
      <c r="C99" s="15" t="n">
        <v>1</v>
      </c>
      <c r="D99" s="15" t="s">
        <v>80</v>
      </c>
      <c r="E99" s="15" t="s">
        <v>5742</v>
      </c>
      <c r="F99" s="3" t="s">
        <v>6806</v>
      </c>
      <c r="G99" s="15" t="s">
        <v>6807</v>
      </c>
      <c r="H99" s="15" t="s">
        <v>6808</v>
      </c>
      <c r="I99" s="20" t="str">
        <f aca="false">IFERROR(INDEX('Nationwide KWs'!$D$2:$D$158,MATCH(H99,'Nationwide KWs'!$A$2:$A$158,0)),IFERROR(INDEX('Provincial KWs'!$E$2:$E$137,MATCH(H99,'Provincial KWs'!$A$2:$A$137,0)),IFERROR(INDEX('City KWs'!$F$2:$F$419,MATCH(H99,'City KWs'!$A$2:$A$419,0)),"")))</f>
        <v/>
      </c>
      <c r="J99" s="15" t="s">
        <v>5778</v>
      </c>
      <c r="K99" s="3" t="s">
        <v>6809</v>
      </c>
      <c r="L99" s="15" t="s">
        <v>147</v>
      </c>
      <c r="M99" s="15" t="s">
        <v>5159</v>
      </c>
      <c r="N99" s="15" t="s">
        <v>5747</v>
      </c>
      <c r="O99" s="3" t="s">
        <v>6810</v>
      </c>
      <c r="P99" s="15" t="n">
        <f aca="false">LEN(O99)</f>
        <v>53</v>
      </c>
      <c r="Q99" s="3" t="s">
        <v>6811</v>
      </c>
      <c r="R99" s="15" t="n">
        <f aca="false">LEN(Q99)</f>
        <v>154</v>
      </c>
      <c r="S99" s="15" t="str">
        <f aca="false">IF(H99="","",IF(ISNUMBER(SEARCH(SUBSTITUTE(H99,"-"," "),SUBSTITUTE(O99,"-"," "))),"Yes","Check"))</f>
        <v>Yes</v>
      </c>
      <c r="T99" s="3" t="s">
        <v>6812</v>
      </c>
      <c r="U99" s="3" t="s">
        <v>6813</v>
      </c>
      <c r="V99" s="3" t="s">
        <v>6814</v>
      </c>
      <c r="W99" s="3" t="s">
        <v>6815</v>
      </c>
      <c r="X99" s="3" t="s">
        <v>6816</v>
      </c>
      <c r="Y99" s="15" t="s">
        <v>5684</v>
      </c>
      <c r="Z99" s="16" t="n">
        <v>1800</v>
      </c>
      <c r="AA99" s="3" t="s">
        <v>6817</v>
      </c>
      <c r="AB99" s="3" t="s">
        <v>6818</v>
      </c>
      <c r="AC99" s="3" t="s">
        <v>6819</v>
      </c>
      <c r="AD99" s="15" t="s">
        <v>5687</v>
      </c>
      <c r="AE99" s="17"/>
      <c r="AF99" s="17"/>
      <c r="AG99" s="17"/>
    </row>
    <row r="100" customFormat="false" ht="46.25" hidden="false" customHeight="false" outlineLevel="0" collapsed="false">
      <c r="A100" s="15" t="str">
        <f aca="false">"B"&amp;TEXT(ROW()-1,"0000")</f>
        <v>B0099</v>
      </c>
      <c r="B100" s="17" t="s">
        <v>5741</v>
      </c>
      <c r="C100" s="15" t="n">
        <v>1</v>
      </c>
      <c r="D100" s="15" t="s">
        <v>80</v>
      </c>
      <c r="E100" s="15" t="s">
        <v>5758</v>
      </c>
      <c r="F100" s="3" t="s">
        <v>6820</v>
      </c>
      <c r="G100" s="15" t="s">
        <v>6821</v>
      </c>
      <c r="H100" s="15" t="s">
        <v>6822</v>
      </c>
      <c r="I100" s="20" t="str">
        <f aca="false">IFERROR(INDEX('Nationwide KWs'!$D$2:$D$158,MATCH(H100,'Nationwide KWs'!$A$2:$A$158,0)),IFERROR(INDEX('Provincial KWs'!$E$2:$E$137,MATCH(H100,'Provincial KWs'!$A$2:$A$137,0)),IFERROR(INDEX('City KWs'!$F$2:$F$419,MATCH(H100,'City KWs'!$A$2:$A$419,0)),"")))</f>
        <v/>
      </c>
      <c r="J100" s="15" t="s">
        <v>5745</v>
      </c>
      <c r="K100" s="3" t="s">
        <v>6823</v>
      </c>
      <c r="L100" s="15" t="s">
        <v>147</v>
      </c>
      <c r="M100" s="15" t="s">
        <v>5159</v>
      </c>
      <c r="N100" s="15" t="s">
        <v>5747</v>
      </c>
      <c r="O100" s="3" t="s">
        <v>6824</v>
      </c>
      <c r="P100" s="15" t="n">
        <f aca="false">LEN(O100)</f>
        <v>55</v>
      </c>
      <c r="Q100" s="3" t="s">
        <v>6825</v>
      </c>
      <c r="R100" s="15" t="n">
        <f aca="false">LEN(Q100)</f>
        <v>153</v>
      </c>
      <c r="S100" s="15" t="str">
        <f aca="false">IF(H100="","",IF(ISNUMBER(SEARCH(SUBSTITUTE(H100,"-"," "),SUBSTITUTE(O100,"-"," "))),"Yes","Check"))</f>
        <v>Yes</v>
      </c>
      <c r="T100" s="3" t="s">
        <v>6826</v>
      </c>
      <c r="U100" s="3" t="s">
        <v>6827</v>
      </c>
      <c r="V100" s="3" t="s">
        <v>6828</v>
      </c>
      <c r="W100" s="3" t="s">
        <v>6829</v>
      </c>
      <c r="X100" s="3" t="s">
        <v>6830</v>
      </c>
      <c r="Y100" s="15" t="s">
        <v>5684</v>
      </c>
      <c r="Z100" s="16" t="n">
        <v>2000</v>
      </c>
      <c r="AA100" s="3" t="s">
        <v>6831</v>
      </c>
      <c r="AB100" s="3" t="s">
        <v>6832</v>
      </c>
      <c r="AC100" s="3" t="s">
        <v>6833</v>
      </c>
      <c r="AD100" s="15" t="s">
        <v>6595</v>
      </c>
      <c r="AE100" s="17"/>
      <c r="AF100" s="17"/>
      <c r="AG100" s="17"/>
    </row>
    <row r="101" customFormat="false" ht="46.25" hidden="false" customHeight="false" outlineLevel="0" collapsed="false">
      <c r="A101" s="15" t="str">
        <f aca="false">"B"&amp;TEXT(ROW()-1,"0000")</f>
        <v>B0100</v>
      </c>
      <c r="B101" s="17" t="s">
        <v>5741</v>
      </c>
      <c r="C101" s="15" t="n">
        <v>1</v>
      </c>
      <c r="D101" s="15" t="s">
        <v>80</v>
      </c>
      <c r="E101" s="15" t="s">
        <v>6834</v>
      </c>
      <c r="F101" s="3" t="s">
        <v>6835</v>
      </c>
      <c r="G101" s="15" t="s">
        <v>6836</v>
      </c>
      <c r="H101" s="15" t="s">
        <v>6837</v>
      </c>
      <c r="I101" s="20" t="str">
        <f aca="false">IFERROR(INDEX('Nationwide KWs'!$D$2:$D$158,MATCH(H101,'Nationwide KWs'!$A$2:$A$158,0)),IFERROR(INDEX('Provincial KWs'!$E$2:$E$137,MATCH(H101,'Provincial KWs'!$A$2:$A$137,0)),IFERROR(INDEX('City KWs'!$F$2:$F$419,MATCH(H101,'City KWs'!$A$2:$A$419,0)),"")))</f>
        <v/>
      </c>
      <c r="J101" s="15" t="s">
        <v>5778</v>
      </c>
      <c r="K101" s="3" t="s">
        <v>6838</v>
      </c>
      <c r="L101" s="15" t="s">
        <v>147</v>
      </c>
      <c r="M101" s="15" t="s">
        <v>5177</v>
      </c>
      <c r="N101" s="15" t="s">
        <v>5763</v>
      </c>
      <c r="O101" s="3" t="s">
        <v>6839</v>
      </c>
      <c r="P101" s="15" t="n">
        <f aca="false">LEN(O101)</f>
        <v>54</v>
      </c>
      <c r="Q101" s="3" t="s">
        <v>6840</v>
      </c>
      <c r="R101" s="15" t="n">
        <f aca="false">LEN(Q101)</f>
        <v>155</v>
      </c>
      <c r="S101" s="15" t="str">
        <f aca="false">IF(H101="","",IF(ISNUMBER(SEARCH(SUBSTITUTE(H101,"-"," "),SUBSTITUTE(O101,"-"," "))),"Yes","Check"))</f>
        <v>Check</v>
      </c>
      <c r="T101" s="3" t="s">
        <v>6841</v>
      </c>
      <c r="U101" s="3" t="s">
        <v>6842</v>
      </c>
      <c r="V101" s="3" t="s">
        <v>6843</v>
      </c>
      <c r="W101" s="3" t="s">
        <v>6844</v>
      </c>
      <c r="X101" s="3" t="s">
        <v>6830</v>
      </c>
      <c r="Y101" s="15" t="s">
        <v>5684</v>
      </c>
      <c r="Z101" s="16" t="n">
        <v>1100</v>
      </c>
      <c r="AA101" s="3" t="s">
        <v>6845</v>
      </c>
      <c r="AB101" s="3" t="s">
        <v>6846</v>
      </c>
      <c r="AC101" s="3" t="s">
        <v>6847</v>
      </c>
      <c r="AD101" s="15" t="s">
        <v>5773</v>
      </c>
      <c r="AE101" s="17"/>
      <c r="AF101" s="17"/>
      <c r="AG101" s="17"/>
    </row>
    <row r="102" customFormat="false" ht="46.25" hidden="false" customHeight="false" outlineLevel="0" collapsed="false">
      <c r="A102" s="15" t="str">
        <f aca="false">"B"&amp;TEXT(ROW()-1,"0000")</f>
        <v>B0101</v>
      </c>
      <c r="B102" s="17" t="s">
        <v>5741</v>
      </c>
      <c r="C102" s="15" t="n">
        <v>1</v>
      </c>
      <c r="D102" s="15" t="s">
        <v>80</v>
      </c>
      <c r="E102" s="15" t="s">
        <v>6677</v>
      </c>
      <c r="F102" s="3" t="s">
        <v>6848</v>
      </c>
      <c r="G102" s="15" t="s">
        <v>6849</v>
      </c>
      <c r="H102" s="15" t="s">
        <v>6850</v>
      </c>
      <c r="I102" s="20" t="str">
        <f aca="false">IFERROR(INDEX('Nationwide KWs'!$D$2:$D$158,MATCH(H102,'Nationwide KWs'!$A$2:$A$158,0)),IFERROR(INDEX('Provincial KWs'!$E$2:$E$137,MATCH(H102,'Provincial KWs'!$A$2:$A$137,0)),IFERROR(INDEX('City KWs'!$F$2:$F$419,MATCH(H102,'City KWs'!$A$2:$A$419,0)),"")))</f>
        <v/>
      </c>
      <c r="J102" s="15" t="s">
        <v>5778</v>
      </c>
      <c r="K102" s="3" t="s">
        <v>6851</v>
      </c>
      <c r="L102" s="15" t="s">
        <v>147</v>
      </c>
      <c r="M102" s="15" t="s">
        <v>5177</v>
      </c>
      <c r="N102" s="15" t="s">
        <v>5747</v>
      </c>
      <c r="O102" s="3" t="s">
        <v>6852</v>
      </c>
      <c r="P102" s="15" t="n">
        <f aca="false">LEN(O102)</f>
        <v>55</v>
      </c>
      <c r="Q102" s="3" t="s">
        <v>6853</v>
      </c>
      <c r="R102" s="15" t="n">
        <f aca="false">LEN(Q102)</f>
        <v>151</v>
      </c>
      <c r="S102" s="15" t="str">
        <f aca="false">IF(H102="","",IF(ISNUMBER(SEARCH(SUBSTITUTE(H102,"-"," "),SUBSTITUTE(O102,"-"," "))),"Yes","Check"))</f>
        <v>Yes</v>
      </c>
      <c r="T102" s="3" t="s">
        <v>6854</v>
      </c>
      <c r="U102" s="3" t="s">
        <v>6855</v>
      </c>
      <c r="V102" s="3" t="s">
        <v>6856</v>
      </c>
      <c r="W102" s="3" t="s">
        <v>6857</v>
      </c>
      <c r="X102" s="3" t="s">
        <v>6858</v>
      </c>
      <c r="Y102" s="15" t="s">
        <v>6859</v>
      </c>
      <c r="Z102" s="16" t="n">
        <v>1700</v>
      </c>
      <c r="AA102" s="3" t="s">
        <v>6860</v>
      </c>
      <c r="AB102" s="3" t="s">
        <v>6861</v>
      </c>
      <c r="AC102" s="3" t="s">
        <v>6862</v>
      </c>
      <c r="AD102" s="15" t="s">
        <v>5773</v>
      </c>
      <c r="AE102" s="17"/>
      <c r="AF102" s="17"/>
      <c r="AG102" s="17"/>
    </row>
    <row r="103" customFormat="false" ht="46.25" hidden="false" customHeight="false" outlineLevel="0" collapsed="false">
      <c r="A103" s="15" t="str">
        <f aca="false">"B"&amp;TEXT(ROW()-1,"0000")</f>
        <v>B0102</v>
      </c>
      <c r="B103" s="17" t="s">
        <v>5741</v>
      </c>
      <c r="C103" s="15" t="n">
        <v>1</v>
      </c>
      <c r="D103" s="15" t="s">
        <v>80</v>
      </c>
      <c r="E103" s="15" t="s">
        <v>6863</v>
      </c>
      <c r="F103" s="3" t="s">
        <v>6864</v>
      </c>
      <c r="G103" s="15" t="s">
        <v>6865</v>
      </c>
      <c r="H103" s="15" t="s">
        <v>6866</v>
      </c>
      <c r="I103" s="20" t="str">
        <f aca="false">IFERROR(INDEX('Nationwide KWs'!$D$2:$D$158,MATCH(H103,'Nationwide KWs'!$A$2:$A$158,0)),IFERROR(INDEX('Provincial KWs'!$E$2:$E$137,MATCH(H103,'Provincial KWs'!$A$2:$A$137,0)),IFERROR(INDEX('City KWs'!$F$2:$F$419,MATCH(H103,'City KWs'!$A$2:$A$419,0)),"")))</f>
        <v/>
      </c>
      <c r="J103" s="15" t="s">
        <v>5745</v>
      </c>
      <c r="K103" s="3" t="s">
        <v>6867</v>
      </c>
      <c r="L103" s="15" t="s">
        <v>5704</v>
      </c>
      <c r="M103" s="15" t="s">
        <v>5177</v>
      </c>
      <c r="N103" s="15" t="s">
        <v>5763</v>
      </c>
      <c r="O103" s="3" t="s">
        <v>6868</v>
      </c>
      <c r="P103" s="15" t="n">
        <f aca="false">LEN(O103)</f>
        <v>58</v>
      </c>
      <c r="Q103" s="3" t="s">
        <v>6869</v>
      </c>
      <c r="R103" s="15" t="n">
        <f aca="false">LEN(Q103)</f>
        <v>152</v>
      </c>
      <c r="S103" s="15" t="str">
        <f aca="false">IF(H103="","",IF(ISNUMBER(SEARCH(SUBSTITUTE(H103,"-"," "),SUBSTITUTE(O103,"-"," "))),"Yes","Check"))</f>
        <v>Yes</v>
      </c>
      <c r="T103" s="3" t="s">
        <v>6870</v>
      </c>
      <c r="U103" s="3" t="s">
        <v>6871</v>
      </c>
      <c r="V103" s="3" t="s">
        <v>6872</v>
      </c>
      <c r="W103" s="3" t="s">
        <v>6873</v>
      </c>
      <c r="X103" s="3" t="s">
        <v>6830</v>
      </c>
      <c r="Y103" s="15" t="s">
        <v>5684</v>
      </c>
      <c r="Z103" s="16" t="n">
        <v>1600</v>
      </c>
      <c r="AA103" s="3" t="s">
        <v>6874</v>
      </c>
      <c r="AB103" s="3" t="s">
        <v>6875</v>
      </c>
      <c r="AC103" s="3" t="s">
        <v>6876</v>
      </c>
      <c r="AD103" s="15" t="s">
        <v>6023</v>
      </c>
      <c r="AE103" s="17"/>
      <c r="AF103" s="17"/>
      <c r="AG103" s="17"/>
    </row>
    <row r="104" customFormat="false" ht="46.25" hidden="false" customHeight="false" outlineLevel="0" collapsed="false">
      <c r="A104" s="15" t="str">
        <f aca="false">"B"&amp;TEXT(ROW()-1,"0000")</f>
        <v>B0103</v>
      </c>
      <c r="B104" s="17" t="s">
        <v>5741</v>
      </c>
      <c r="C104" s="15" t="n">
        <v>1</v>
      </c>
      <c r="D104" s="15" t="s">
        <v>80</v>
      </c>
      <c r="E104" s="15" t="s">
        <v>6780</v>
      </c>
      <c r="F104" s="3" t="s">
        <v>6877</v>
      </c>
      <c r="G104" s="15" t="s">
        <v>6878</v>
      </c>
      <c r="H104" s="15" t="s">
        <v>6879</v>
      </c>
      <c r="I104" s="20" t="str">
        <f aca="false">IFERROR(INDEX('Nationwide KWs'!$D$2:$D$158,MATCH(H104,'Nationwide KWs'!$A$2:$A$158,0)),IFERROR(INDEX('Provincial KWs'!$E$2:$E$137,MATCH(H104,'Provincial KWs'!$A$2:$A$137,0)),IFERROR(INDEX('City KWs'!$F$2:$F$419,MATCH(H104,'City KWs'!$A$2:$A$419,0)),"")))</f>
        <v/>
      </c>
      <c r="J104" s="15" t="s">
        <v>5745</v>
      </c>
      <c r="K104" s="3" t="s">
        <v>6880</v>
      </c>
      <c r="L104" s="15" t="s">
        <v>147</v>
      </c>
      <c r="M104" s="15" t="s">
        <v>5177</v>
      </c>
      <c r="N104" s="15" t="s">
        <v>5763</v>
      </c>
      <c r="O104" s="3" t="s">
        <v>6881</v>
      </c>
      <c r="P104" s="15" t="n">
        <f aca="false">LEN(O104)</f>
        <v>56</v>
      </c>
      <c r="Q104" s="3" t="s">
        <v>6882</v>
      </c>
      <c r="R104" s="15" t="n">
        <f aca="false">LEN(Q104)</f>
        <v>154</v>
      </c>
      <c r="S104" s="15" t="str">
        <f aca="false">IF(H104="","",IF(ISNUMBER(SEARCH(SUBSTITUTE(H104,"-"," "),SUBSTITUTE(O104,"-"," "))),"Yes","Check"))</f>
        <v>Yes</v>
      </c>
      <c r="T104" s="3" t="s">
        <v>6883</v>
      </c>
      <c r="U104" s="3" t="s">
        <v>6884</v>
      </c>
      <c r="V104" s="3" t="s">
        <v>6885</v>
      </c>
      <c r="W104" s="3" t="s">
        <v>6886</v>
      </c>
      <c r="X104" s="3" t="s">
        <v>6830</v>
      </c>
      <c r="Y104" s="15" t="s">
        <v>5684</v>
      </c>
      <c r="Z104" s="16" t="n">
        <v>2200</v>
      </c>
      <c r="AA104" s="3" t="s">
        <v>6887</v>
      </c>
      <c r="AB104" s="3" t="s">
        <v>6888</v>
      </c>
      <c r="AC104" s="3" t="s">
        <v>6889</v>
      </c>
      <c r="AD104" s="15" t="s">
        <v>6023</v>
      </c>
      <c r="AE104" s="17"/>
      <c r="AF104" s="17"/>
      <c r="AG104" s="17"/>
    </row>
    <row r="105" customFormat="false" ht="35.05" hidden="false" customHeight="false" outlineLevel="0" collapsed="false">
      <c r="A105" s="15" t="str">
        <f aca="false">"B"&amp;TEXT(ROW()-1,"0000")</f>
        <v>B0104</v>
      </c>
      <c r="B105" s="17" t="s">
        <v>5741</v>
      </c>
      <c r="C105" s="15" t="n">
        <v>2</v>
      </c>
      <c r="D105" s="15" t="s">
        <v>80</v>
      </c>
      <c r="E105" s="15" t="s">
        <v>5900</v>
      </c>
      <c r="F105" s="3" t="s">
        <v>6890</v>
      </c>
      <c r="G105" s="15" t="s">
        <v>6891</v>
      </c>
      <c r="H105" s="15" t="s">
        <v>6892</v>
      </c>
      <c r="I105" s="20" t="str">
        <f aca="false">IFERROR(INDEX('Nationwide KWs'!$D$2:$D$158,MATCH(H105,'Nationwide KWs'!$A$2:$A$158,0)),IFERROR(INDEX('Provincial KWs'!$E$2:$E$137,MATCH(H105,'Provincial KWs'!$A$2:$A$137,0)),IFERROR(INDEX('City KWs'!$F$2:$F$419,MATCH(H105,'City KWs'!$A$2:$A$419,0)),"")))</f>
        <v/>
      </c>
      <c r="J105" s="15" t="s">
        <v>5778</v>
      </c>
      <c r="K105" s="3" t="s">
        <v>6893</v>
      </c>
      <c r="L105" s="15" t="s">
        <v>147</v>
      </c>
      <c r="M105" s="15" t="s">
        <v>5177</v>
      </c>
      <c r="N105" s="15" t="s">
        <v>5747</v>
      </c>
      <c r="O105" s="3" t="s">
        <v>6894</v>
      </c>
      <c r="P105" s="15" t="n">
        <f aca="false">LEN(O105)</f>
        <v>56</v>
      </c>
      <c r="Q105" s="3" t="s">
        <v>6895</v>
      </c>
      <c r="R105" s="15" t="n">
        <f aca="false">LEN(Q105)</f>
        <v>154</v>
      </c>
      <c r="S105" s="15" t="str">
        <f aca="false">IF(H105="","",IF(ISNUMBER(SEARCH(SUBSTITUTE(H105,"-"," "),SUBSTITUTE(O105,"-"," "))),"Yes","Check"))</f>
        <v>Yes</v>
      </c>
      <c r="T105" s="3" t="s">
        <v>6896</v>
      </c>
      <c r="U105" s="3" t="s">
        <v>6897</v>
      </c>
      <c r="V105" s="3" t="s">
        <v>6898</v>
      </c>
      <c r="W105" s="3" t="s">
        <v>6899</v>
      </c>
      <c r="X105" s="3" t="s">
        <v>6830</v>
      </c>
      <c r="Y105" s="15" t="s">
        <v>5684</v>
      </c>
      <c r="Z105" s="16" t="n">
        <v>1600</v>
      </c>
      <c r="AA105" s="3" t="s">
        <v>6900</v>
      </c>
      <c r="AB105" s="3" t="s">
        <v>6901</v>
      </c>
      <c r="AC105" s="3" t="s">
        <v>6902</v>
      </c>
      <c r="AD105" s="15" t="s">
        <v>5773</v>
      </c>
      <c r="AE105" s="17"/>
      <c r="AF105" s="17"/>
      <c r="AG105" s="17"/>
    </row>
    <row r="106" customFormat="false" ht="46.25" hidden="false" customHeight="false" outlineLevel="0" collapsed="false">
      <c r="A106" s="15" t="str">
        <f aca="false">"B"&amp;TEXT(ROW()-1,"0000")</f>
        <v>B0105</v>
      </c>
      <c r="B106" s="17" t="s">
        <v>5741</v>
      </c>
      <c r="C106" s="15" t="n">
        <v>2</v>
      </c>
      <c r="D106" s="15" t="s">
        <v>80</v>
      </c>
      <c r="E106" s="15" t="s">
        <v>5742</v>
      </c>
      <c r="F106" s="3" t="s">
        <v>6903</v>
      </c>
      <c r="G106" s="15" t="s">
        <v>6904</v>
      </c>
      <c r="H106" s="15" t="s">
        <v>6905</v>
      </c>
      <c r="I106" s="20" t="str">
        <f aca="false">IFERROR(INDEX('Nationwide KWs'!$D$2:$D$158,MATCH(H106,'Nationwide KWs'!$A$2:$A$158,0)),IFERROR(INDEX('Provincial KWs'!$E$2:$E$137,MATCH(H106,'Provincial KWs'!$A$2:$A$137,0)),IFERROR(INDEX('City KWs'!$F$2:$F$419,MATCH(H106,'City KWs'!$A$2:$A$419,0)),"")))</f>
        <v/>
      </c>
      <c r="J106" s="15" t="s">
        <v>5745</v>
      </c>
      <c r="K106" s="3" t="s">
        <v>6906</v>
      </c>
      <c r="L106" s="15" t="s">
        <v>147</v>
      </c>
      <c r="M106" s="15" t="s">
        <v>5159</v>
      </c>
      <c r="N106" s="15" t="s">
        <v>5747</v>
      </c>
      <c r="O106" s="3" t="s">
        <v>6907</v>
      </c>
      <c r="P106" s="15" t="n">
        <f aca="false">LEN(O106)</f>
        <v>46</v>
      </c>
      <c r="Q106" s="3" t="s">
        <v>6908</v>
      </c>
      <c r="R106" s="15" t="n">
        <f aca="false">LEN(Q106)</f>
        <v>153</v>
      </c>
      <c r="S106" s="15" t="str">
        <f aca="false">IF(H106="","",IF(ISNUMBER(SEARCH(SUBSTITUTE(H106,"-"," "),SUBSTITUTE(O106,"-"," "))),"Yes","Check"))</f>
        <v>Yes</v>
      </c>
      <c r="T106" s="3" t="s">
        <v>6909</v>
      </c>
      <c r="U106" s="3" t="s">
        <v>6910</v>
      </c>
      <c r="V106" s="3" t="s">
        <v>6911</v>
      </c>
      <c r="W106" s="3" t="s">
        <v>6912</v>
      </c>
      <c r="X106" s="3" t="s">
        <v>6913</v>
      </c>
      <c r="Y106" s="15" t="s">
        <v>5684</v>
      </c>
      <c r="Z106" s="16" t="n">
        <v>1800</v>
      </c>
      <c r="AA106" s="3" t="s">
        <v>6914</v>
      </c>
      <c r="AB106" s="3" t="s">
        <v>6915</v>
      </c>
      <c r="AC106" s="3" t="s">
        <v>6916</v>
      </c>
      <c r="AD106" s="15" t="s">
        <v>5687</v>
      </c>
      <c r="AE106" s="17"/>
      <c r="AF106" s="17"/>
      <c r="AG106" s="17"/>
    </row>
    <row r="107" customFormat="false" ht="46.25" hidden="false" customHeight="false" outlineLevel="0" collapsed="false">
      <c r="A107" s="15" t="str">
        <f aca="false">"B"&amp;TEXT(ROW()-1,"0000")</f>
        <v>B0106</v>
      </c>
      <c r="B107" s="17" t="s">
        <v>5741</v>
      </c>
      <c r="C107" s="15" t="n">
        <v>2</v>
      </c>
      <c r="D107" s="15" t="s">
        <v>80</v>
      </c>
      <c r="E107" s="15" t="s">
        <v>5758</v>
      </c>
      <c r="F107" s="3" t="s">
        <v>6917</v>
      </c>
      <c r="G107" s="15" t="s">
        <v>6918</v>
      </c>
      <c r="H107" s="15" t="s">
        <v>6919</v>
      </c>
      <c r="I107" s="20" t="str">
        <f aca="false">IFERROR(INDEX('Nationwide KWs'!$D$2:$D$158,MATCH(H107,'Nationwide KWs'!$A$2:$A$158,0)),IFERROR(INDEX('Provincial KWs'!$E$2:$E$137,MATCH(H107,'Provincial KWs'!$A$2:$A$137,0)),IFERROR(INDEX('City KWs'!$F$2:$F$419,MATCH(H107,'City KWs'!$A$2:$A$419,0)),"")))</f>
        <v/>
      </c>
      <c r="J107" s="15" t="s">
        <v>5745</v>
      </c>
      <c r="K107" s="3" t="s">
        <v>6920</v>
      </c>
      <c r="L107" s="15" t="s">
        <v>147</v>
      </c>
      <c r="M107" s="15" t="s">
        <v>5177</v>
      </c>
      <c r="N107" s="15" t="s">
        <v>5747</v>
      </c>
      <c r="O107" s="3" t="s">
        <v>6921</v>
      </c>
      <c r="P107" s="15" t="n">
        <f aca="false">LEN(O107)</f>
        <v>51</v>
      </c>
      <c r="Q107" s="3" t="s">
        <v>6922</v>
      </c>
      <c r="R107" s="15" t="n">
        <f aca="false">LEN(Q107)</f>
        <v>155</v>
      </c>
      <c r="S107" s="15" t="str">
        <f aca="false">IF(H107="","",IF(ISNUMBER(SEARCH(SUBSTITUTE(H107,"-"," "),SUBSTITUTE(O107,"-"," "))),"Yes","Check"))</f>
        <v>Yes</v>
      </c>
      <c r="T107" s="3" t="s">
        <v>6923</v>
      </c>
      <c r="U107" s="3" t="s">
        <v>6924</v>
      </c>
      <c r="V107" s="3" t="s">
        <v>6925</v>
      </c>
      <c r="W107" s="3" t="s">
        <v>6926</v>
      </c>
      <c r="X107" s="3" t="s">
        <v>6927</v>
      </c>
      <c r="Y107" s="15" t="s">
        <v>5684</v>
      </c>
      <c r="Z107" s="16" t="n">
        <v>1700</v>
      </c>
      <c r="AA107" s="3" t="s">
        <v>6928</v>
      </c>
      <c r="AB107" s="3" t="s">
        <v>6929</v>
      </c>
      <c r="AC107" s="3" t="s">
        <v>6930</v>
      </c>
      <c r="AD107" s="15" t="s">
        <v>5773</v>
      </c>
      <c r="AE107" s="17"/>
      <c r="AF107" s="17"/>
      <c r="AG107" s="17"/>
    </row>
    <row r="108" customFormat="false" ht="35.05" hidden="false" customHeight="false" outlineLevel="0" collapsed="false">
      <c r="A108" s="15" t="str">
        <f aca="false">"B"&amp;TEXT(ROW()-1,"0000")</f>
        <v>B0107</v>
      </c>
      <c r="B108" s="17" t="s">
        <v>5741</v>
      </c>
      <c r="C108" s="15" t="n">
        <v>2</v>
      </c>
      <c r="D108" s="15" t="s">
        <v>80</v>
      </c>
      <c r="E108" s="15" t="s">
        <v>5758</v>
      </c>
      <c r="F108" s="3" t="s">
        <v>6931</v>
      </c>
      <c r="G108" s="15" t="s">
        <v>6932</v>
      </c>
      <c r="H108" s="15" t="s">
        <v>6933</v>
      </c>
      <c r="I108" s="20" t="str">
        <f aca="false">IFERROR(INDEX('Nationwide KWs'!$D$2:$D$158,MATCH(H108,'Nationwide KWs'!$A$2:$A$158,0)),IFERROR(INDEX('Provincial KWs'!$E$2:$E$137,MATCH(H108,'Provincial KWs'!$A$2:$A$137,0)),IFERROR(INDEX('City KWs'!$F$2:$F$419,MATCH(H108,'City KWs'!$A$2:$A$419,0)),"")))</f>
        <v/>
      </c>
      <c r="J108" s="15" t="s">
        <v>5778</v>
      </c>
      <c r="K108" s="3" t="s">
        <v>6934</v>
      </c>
      <c r="L108" s="15" t="s">
        <v>147</v>
      </c>
      <c r="M108" s="15" t="s">
        <v>5159</v>
      </c>
      <c r="N108" s="15" t="s">
        <v>5747</v>
      </c>
      <c r="O108" s="3" t="s">
        <v>6935</v>
      </c>
      <c r="P108" s="15" t="n">
        <f aca="false">LEN(O108)</f>
        <v>54</v>
      </c>
      <c r="Q108" s="3" t="s">
        <v>6936</v>
      </c>
      <c r="R108" s="15" t="n">
        <f aca="false">LEN(Q108)</f>
        <v>153</v>
      </c>
      <c r="S108" s="15" t="str">
        <f aca="false">IF(H108="","",IF(ISNUMBER(SEARCH(SUBSTITUTE(H108,"-"," "),SUBSTITUTE(O108,"-"," "))),"Yes","Check"))</f>
        <v>Yes</v>
      </c>
      <c r="T108" s="3" t="s">
        <v>6937</v>
      </c>
      <c r="U108" s="3" t="s">
        <v>6938</v>
      </c>
      <c r="V108" s="3" t="s">
        <v>6939</v>
      </c>
      <c r="W108" s="3" t="s">
        <v>6940</v>
      </c>
      <c r="X108" s="3" t="s">
        <v>6941</v>
      </c>
      <c r="Y108" s="15" t="s">
        <v>6859</v>
      </c>
      <c r="Z108" s="16" t="n">
        <v>1400</v>
      </c>
      <c r="AA108" s="3" t="s">
        <v>6942</v>
      </c>
      <c r="AB108" s="3" t="s">
        <v>6943</v>
      </c>
      <c r="AC108" s="3" t="s">
        <v>6944</v>
      </c>
      <c r="AD108" s="15" t="s">
        <v>5773</v>
      </c>
      <c r="AE108" s="17"/>
      <c r="AF108" s="17"/>
      <c r="AG108" s="17"/>
    </row>
    <row r="109" customFormat="false" ht="46.25" hidden="false" customHeight="false" outlineLevel="0" collapsed="false">
      <c r="A109" s="15" t="str">
        <f aca="false">"B"&amp;TEXT(ROW()-1,"0000")</f>
        <v>B0108</v>
      </c>
      <c r="B109" s="17" t="s">
        <v>5741</v>
      </c>
      <c r="C109" s="15" t="n">
        <v>2</v>
      </c>
      <c r="D109" s="15" t="s">
        <v>80</v>
      </c>
      <c r="E109" s="15" t="s">
        <v>5758</v>
      </c>
      <c r="F109" s="3" t="s">
        <v>6945</v>
      </c>
      <c r="G109" s="15" t="s">
        <v>6946</v>
      </c>
      <c r="H109" s="15" t="s">
        <v>6947</v>
      </c>
      <c r="I109" s="20" t="str">
        <f aca="false">IFERROR(INDEX('Nationwide KWs'!$D$2:$D$158,MATCH(H109,'Nationwide KWs'!$A$2:$A$158,0)),IFERROR(INDEX('Provincial KWs'!$E$2:$E$137,MATCH(H109,'Provincial KWs'!$A$2:$A$137,0)),IFERROR(INDEX('City KWs'!$F$2:$F$419,MATCH(H109,'City KWs'!$A$2:$A$419,0)),"")))</f>
        <v/>
      </c>
      <c r="J109" s="15" t="s">
        <v>5745</v>
      </c>
      <c r="K109" s="3" t="s">
        <v>6948</v>
      </c>
      <c r="L109" s="15" t="s">
        <v>147</v>
      </c>
      <c r="M109" s="15" t="s">
        <v>5159</v>
      </c>
      <c r="N109" s="15" t="s">
        <v>5747</v>
      </c>
      <c r="O109" s="3" t="s">
        <v>6949</v>
      </c>
      <c r="P109" s="15" t="n">
        <f aca="false">LEN(O109)</f>
        <v>57</v>
      </c>
      <c r="Q109" s="3" t="s">
        <v>6950</v>
      </c>
      <c r="R109" s="15" t="n">
        <f aca="false">LEN(Q109)</f>
        <v>153</v>
      </c>
      <c r="S109" s="15" t="str">
        <f aca="false">IF(H109="","",IF(ISNUMBER(SEARCH(SUBSTITUTE(H109,"-"," "),SUBSTITUTE(O109,"-"," "))),"Yes","Check"))</f>
        <v>Check</v>
      </c>
      <c r="T109" s="3" t="s">
        <v>6951</v>
      </c>
      <c r="U109" s="3" t="s">
        <v>6952</v>
      </c>
      <c r="V109" s="3" t="s">
        <v>6953</v>
      </c>
      <c r="W109" s="3" t="s">
        <v>6954</v>
      </c>
      <c r="X109" s="3" t="s">
        <v>6913</v>
      </c>
      <c r="Y109" s="15" t="s">
        <v>5684</v>
      </c>
      <c r="Z109" s="16" t="n">
        <v>1600</v>
      </c>
      <c r="AA109" s="3" t="s">
        <v>6955</v>
      </c>
      <c r="AB109" s="3" t="s">
        <v>6956</v>
      </c>
      <c r="AC109" s="3" t="s">
        <v>6957</v>
      </c>
      <c r="AD109" s="15" t="s">
        <v>5773</v>
      </c>
      <c r="AE109" s="17"/>
      <c r="AF109" s="17"/>
      <c r="AG109" s="17"/>
    </row>
    <row r="110" customFormat="false" ht="46.25" hidden="false" customHeight="false" outlineLevel="0" collapsed="false">
      <c r="A110" s="15" t="str">
        <f aca="false">"B"&amp;TEXT(ROW()-1,"0000")</f>
        <v>B0109</v>
      </c>
      <c r="B110" s="17" t="s">
        <v>5741</v>
      </c>
      <c r="C110" s="15" t="n">
        <v>2</v>
      </c>
      <c r="D110" s="15" t="s">
        <v>80</v>
      </c>
      <c r="E110" s="15" t="s">
        <v>6677</v>
      </c>
      <c r="F110" s="3" t="s">
        <v>6958</v>
      </c>
      <c r="G110" s="15" t="s">
        <v>6959</v>
      </c>
      <c r="H110" s="15" t="s">
        <v>6960</v>
      </c>
      <c r="I110" s="20" t="str">
        <f aca="false">IFERROR(INDEX('Nationwide KWs'!$D$2:$D$158,MATCH(H110,'Nationwide KWs'!$A$2:$A$158,0)),IFERROR(INDEX('Provincial KWs'!$E$2:$E$137,MATCH(H110,'Provincial KWs'!$A$2:$A$137,0)),IFERROR(INDEX('City KWs'!$F$2:$F$419,MATCH(H110,'City KWs'!$A$2:$A$419,0)),"")))</f>
        <v/>
      </c>
      <c r="J110" s="15" t="s">
        <v>5778</v>
      </c>
      <c r="K110" s="3" t="s">
        <v>6961</v>
      </c>
      <c r="L110" s="15" t="s">
        <v>147</v>
      </c>
      <c r="M110" s="15" t="s">
        <v>5177</v>
      </c>
      <c r="N110" s="15" t="s">
        <v>5763</v>
      </c>
      <c r="O110" s="3" t="s">
        <v>6962</v>
      </c>
      <c r="P110" s="15" t="n">
        <f aca="false">LEN(O110)</f>
        <v>54</v>
      </c>
      <c r="Q110" s="3" t="s">
        <v>6963</v>
      </c>
      <c r="R110" s="15" t="n">
        <f aca="false">LEN(Q110)</f>
        <v>155</v>
      </c>
      <c r="S110" s="15" t="str">
        <f aca="false">IF(H110="","",IF(ISNUMBER(SEARCH(SUBSTITUTE(H110,"-"," "),SUBSTITUTE(O110,"-"," "))),"Yes","Check"))</f>
        <v>Yes</v>
      </c>
      <c r="T110" s="3" t="s">
        <v>6964</v>
      </c>
      <c r="U110" s="3" t="s">
        <v>6965</v>
      </c>
      <c r="V110" s="3" t="s">
        <v>6966</v>
      </c>
      <c r="W110" s="3" t="s">
        <v>6967</v>
      </c>
      <c r="X110" s="3" t="s">
        <v>6830</v>
      </c>
      <c r="Y110" s="15" t="s">
        <v>6859</v>
      </c>
      <c r="Z110" s="16" t="n">
        <v>1500</v>
      </c>
      <c r="AA110" s="3" t="s">
        <v>6968</v>
      </c>
      <c r="AB110" s="3" t="s">
        <v>6969</v>
      </c>
      <c r="AC110" s="3" t="s">
        <v>6970</v>
      </c>
      <c r="AD110" s="15" t="s">
        <v>5773</v>
      </c>
      <c r="AE110" s="17"/>
      <c r="AF110" s="17"/>
      <c r="AG110" s="17"/>
    </row>
    <row r="111" customFormat="false" ht="46.25" hidden="false" customHeight="false" outlineLevel="0" collapsed="false">
      <c r="A111" s="15" t="str">
        <f aca="false">"B"&amp;TEXT(ROW()-1,"0000")</f>
        <v>B0110</v>
      </c>
      <c r="B111" s="17" t="s">
        <v>5741</v>
      </c>
      <c r="C111" s="15" t="n">
        <v>2</v>
      </c>
      <c r="D111" s="15" t="s">
        <v>80</v>
      </c>
      <c r="E111" s="15" t="s">
        <v>6863</v>
      </c>
      <c r="F111" s="3" t="s">
        <v>6971</v>
      </c>
      <c r="G111" s="15" t="s">
        <v>6972</v>
      </c>
      <c r="H111" s="15" t="s">
        <v>6973</v>
      </c>
      <c r="I111" s="20" t="str">
        <f aca="false">IFERROR(INDEX('Nationwide KWs'!$D$2:$D$158,MATCH(H111,'Nationwide KWs'!$A$2:$A$158,0)),IFERROR(INDEX('Provincial KWs'!$E$2:$E$137,MATCH(H111,'Provincial KWs'!$A$2:$A$137,0)),IFERROR(INDEX('City KWs'!$F$2:$F$419,MATCH(H111,'City KWs'!$A$2:$A$419,0)),"")))</f>
        <v/>
      </c>
      <c r="J111" s="15" t="s">
        <v>5778</v>
      </c>
      <c r="K111" s="3" t="s">
        <v>6974</v>
      </c>
      <c r="L111" s="15" t="s">
        <v>5682</v>
      </c>
      <c r="M111" s="15" t="s">
        <v>5177</v>
      </c>
      <c r="N111" s="15" t="s">
        <v>5763</v>
      </c>
      <c r="O111" s="3" t="s">
        <v>6975</v>
      </c>
      <c r="P111" s="15" t="n">
        <f aca="false">LEN(O111)</f>
        <v>53</v>
      </c>
      <c r="Q111" s="3" t="s">
        <v>6976</v>
      </c>
      <c r="R111" s="15" t="n">
        <f aca="false">LEN(Q111)</f>
        <v>149</v>
      </c>
      <c r="S111" s="15" t="str">
        <f aca="false">IF(H111="","",IF(ISNUMBER(SEARCH(SUBSTITUTE(H111,"-"," "),SUBSTITUTE(O111,"-"," "))),"Yes","Check"))</f>
        <v>Yes</v>
      </c>
      <c r="T111" s="3" t="s">
        <v>6977</v>
      </c>
      <c r="U111" s="3" t="s">
        <v>6978</v>
      </c>
      <c r="V111" s="3" t="s">
        <v>6979</v>
      </c>
      <c r="W111" s="3" t="s">
        <v>6980</v>
      </c>
      <c r="X111" s="3" t="s">
        <v>6830</v>
      </c>
      <c r="Y111" s="15" t="s">
        <v>5684</v>
      </c>
      <c r="Z111" s="16" t="n">
        <v>1400</v>
      </c>
      <c r="AA111" s="3" t="s">
        <v>6981</v>
      </c>
      <c r="AB111" s="3" t="s">
        <v>6982</v>
      </c>
      <c r="AC111" s="3" t="s">
        <v>6983</v>
      </c>
      <c r="AD111" s="15" t="s">
        <v>6023</v>
      </c>
      <c r="AE111" s="17"/>
      <c r="AF111" s="17"/>
      <c r="AG111" s="17"/>
    </row>
    <row r="112" customFormat="false" ht="46.25" hidden="false" customHeight="false" outlineLevel="0" collapsed="false">
      <c r="A112" s="15" t="str">
        <f aca="false">"B"&amp;TEXT(ROW()-1,"0000")</f>
        <v>B0111</v>
      </c>
      <c r="B112" s="17" t="s">
        <v>5741</v>
      </c>
      <c r="C112" s="15" t="n">
        <v>2</v>
      </c>
      <c r="D112" s="15" t="s">
        <v>80</v>
      </c>
      <c r="E112" s="15" t="s">
        <v>6863</v>
      </c>
      <c r="F112" s="3" t="s">
        <v>6984</v>
      </c>
      <c r="G112" s="15" t="s">
        <v>6985</v>
      </c>
      <c r="H112" s="15" t="s">
        <v>6986</v>
      </c>
      <c r="I112" s="20" t="str">
        <f aca="false">IFERROR(INDEX('Nationwide KWs'!$D$2:$D$158,MATCH(H112,'Nationwide KWs'!$A$2:$A$158,0)),IFERROR(INDEX('Provincial KWs'!$E$2:$E$137,MATCH(H112,'Provincial KWs'!$A$2:$A$137,0)),IFERROR(INDEX('City KWs'!$F$2:$F$419,MATCH(H112,'City KWs'!$A$2:$A$419,0)),"")))</f>
        <v/>
      </c>
      <c r="J112" s="15" t="s">
        <v>5778</v>
      </c>
      <c r="K112" s="3" t="s">
        <v>6987</v>
      </c>
      <c r="L112" s="15" t="s">
        <v>5713</v>
      </c>
      <c r="M112" s="15" t="s">
        <v>5177</v>
      </c>
      <c r="N112" s="15" t="s">
        <v>5763</v>
      </c>
      <c r="O112" s="3" t="s">
        <v>6988</v>
      </c>
      <c r="P112" s="15" t="n">
        <f aca="false">LEN(O112)</f>
        <v>50</v>
      </c>
      <c r="Q112" s="3" t="s">
        <v>6989</v>
      </c>
      <c r="R112" s="15" t="n">
        <f aca="false">LEN(Q112)</f>
        <v>154</v>
      </c>
      <c r="S112" s="15" t="str">
        <f aca="false">IF(H112="","",IF(ISNUMBER(SEARCH(SUBSTITUTE(H112,"-"," "),SUBSTITUTE(O112,"-"," "))),"Yes","Check"))</f>
        <v>Yes</v>
      </c>
      <c r="T112" s="3" t="s">
        <v>6990</v>
      </c>
      <c r="U112" s="3" t="s">
        <v>6991</v>
      </c>
      <c r="V112" s="3" t="s">
        <v>6992</v>
      </c>
      <c r="W112" s="3" t="s">
        <v>6993</v>
      </c>
      <c r="X112" s="3" t="s">
        <v>6830</v>
      </c>
      <c r="Y112" s="15" t="s">
        <v>5684</v>
      </c>
      <c r="Z112" s="16" t="n">
        <v>1400</v>
      </c>
      <c r="AA112" s="3" t="s">
        <v>6994</v>
      </c>
      <c r="AB112" s="3" t="s">
        <v>6995</v>
      </c>
      <c r="AC112" s="3" t="s">
        <v>6996</v>
      </c>
      <c r="AD112" s="15" t="s">
        <v>6023</v>
      </c>
      <c r="AE112" s="17"/>
      <c r="AF112" s="17"/>
      <c r="AG112" s="17"/>
    </row>
    <row r="113" customFormat="false" ht="57.45" hidden="false" customHeight="false" outlineLevel="0" collapsed="false">
      <c r="A113" s="15" t="str">
        <f aca="false">"B"&amp;TEXT(ROW()-1,"0000")</f>
        <v>B0112</v>
      </c>
      <c r="B113" s="17" t="s">
        <v>5741</v>
      </c>
      <c r="C113" s="15" t="n">
        <v>2</v>
      </c>
      <c r="D113" s="15" t="s">
        <v>80</v>
      </c>
      <c r="E113" s="15" t="s">
        <v>5859</v>
      </c>
      <c r="F113" s="3" t="s">
        <v>6997</v>
      </c>
      <c r="G113" s="15" t="s">
        <v>6998</v>
      </c>
      <c r="H113" s="15" t="s">
        <v>6999</v>
      </c>
      <c r="I113" s="20" t="str">
        <f aca="false">IFERROR(INDEX('Nationwide KWs'!$D$2:$D$158,MATCH(H113,'Nationwide KWs'!$A$2:$A$158,0)),IFERROR(INDEX('Provincial KWs'!$E$2:$E$137,MATCH(H113,'Provincial KWs'!$A$2:$A$137,0)),IFERROR(INDEX('City KWs'!$F$2:$F$419,MATCH(H113,'City KWs'!$A$2:$A$419,0)),"")))</f>
        <v/>
      </c>
      <c r="J113" s="15" t="s">
        <v>5778</v>
      </c>
      <c r="K113" s="3" t="s">
        <v>7000</v>
      </c>
      <c r="L113" s="15" t="s">
        <v>147</v>
      </c>
      <c r="M113" s="15" t="s">
        <v>5177</v>
      </c>
      <c r="N113" s="15" t="s">
        <v>5763</v>
      </c>
      <c r="O113" s="3" t="s">
        <v>7001</v>
      </c>
      <c r="P113" s="15" t="n">
        <f aca="false">LEN(O113)</f>
        <v>49</v>
      </c>
      <c r="Q113" s="3" t="s">
        <v>7002</v>
      </c>
      <c r="R113" s="15" t="n">
        <f aca="false">LEN(Q113)</f>
        <v>152</v>
      </c>
      <c r="S113" s="15" t="str">
        <f aca="false">IF(H113="","",IF(ISNUMBER(SEARCH(SUBSTITUTE(H113,"-"," "),SUBSTITUTE(O113,"-"," "))),"Yes","Check"))</f>
        <v>Yes</v>
      </c>
      <c r="T113" s="3" t="s">
        <v>7003</v>
      </c>
      <c r="U113" s="3" t="s">
        <v>7004</v>
      </c>
      <c r="V113" s="3" t="s">
        <v>7005</v>
      </c>
      <c r="W113" s="3" t="s">
        <v>7006</v>
      </c>
      <c r="X113" s="3" t="s">
        <v>7007</v>
      </c>
      <c r="Y113" s="15" t="s">
        <v>5684</v>
      </c>
      <c r="Z113" s="16" t="n">
        <v>1900</v>
      </c>
      <c r="AA113" s="3" t="s">
        <v>7008</v>
      </c>
      <c r="AB113" s="3" t="s">
        <v>7009</v>
      </c>
      <c r="AC113" s="3" t="s">
        <v>7010</v>
      </c>
      <c r="AD113" s="15" t="s">
        <v>6023</v>
      </c>
      <c r="AE113" s="17"/>
      <c r="AF113" s="17"/>
      <c r="AG113" s="17"/>
    </row>
    <row r="114" customFormat="false" ht="46.25" hidden="false" customHeight="false" outlineLevel="0" collapsed="false">
      <c r="A114" s="15" t="str">
        <f aca="false">"B"&amp;TEXT(ROW()-1,"0000")</f>
        <v>B0113</v>
      </c>
      <c r="B114" s="17" t="s">
        <v>5741</v>
      </c>
      <c r="C114" s="15" t="n">
        <v>2</v>
      </c>
      <c r="D114" s="15" t="s">
        <v>80</v>
      </c>
      <c r="E114" s="15" t="s">
        <v>5859</v>
      </c>
      <c r="F114" s="3" t="s">
        <v>7011</v>
      </c>
      <c r="G114" s="15" t="s">
        <v>7012</v>
      </c>
      <c r="H114" s="15" t="s">
        <v>7013</v>
      </c>
      <c r="I114" s="20" t="str">
        <f aca="false">IFERROR(INDEX('Nationwide KWs'!$D$2:$D$158,MATCH(H114,'Nationwide KWs'!$A$2:$A$158,0)),IFERROR(INDEX('Provincial KWs'!$E$2:$E$137,MATCH(H114,'Provincial KWs'!$A$2:$A$137,0)),IFERROR(INDEX('City KWs'!$F$2:$F$419,MATCH(H114,'City KWs'!$A$2:$A$419,0)),"")))</f>
        <v/>
      </c>
      <c r="J114" s="15" t="s">
        <v>5778</v>
      </c>
      <c r="K114" s="3" t="s">
        <v>7014</v>
      </c>
      <c r="L114" s="15" t="s">
        <v>147</v>
      </c>
      <c r="M114" s="15" t="s">
        <v>5159</v>
      </c>
      <c r="N114" s="15" t="s">
        <v>5747</v>
      </c>
      <c r="O114" s="3" t="s">
        <v>7015</v>
      </c>
      <c r="P114" s="15" t="n">
        <f aca="false">LEN(O114)</f>
        <v>56</v>
      </c>
      <c r="Q114" s="3" t="s">
        <v>7016</v>
      </c>
      <c r="R114" s="15" t="n">
        <f aca="false">LEN(Q114)</f>
        <v>155</v>
      </c>
      <c r="S114" s="15" t="str">
        <f aca="false">IF(H114="","",IF(ISNUMBER(SEARCH(SUBSTITUTE(H114,"-"," "),SUBSTITUTE(O114,"-"," "))),"Yes","Check"))</f>
        <v>Yes</v>
      </c>
      <c r="T114" s="3" t="s">
        <v>7017</v>
      </c>
      <c r="U114" s="3" t="s">
        <v>7018</v>
      </c>
      <c r="V114" s="3" t="s">
        <v>7019</v>
      </c>
      <c r="W114" s="3" t="s">
        <v>7020</v>
      </c>
      <c r="X114" s="3" t="s">
        <v>7021</v>
      </c>
      <c r="Y114" s="15" t="s">
        <v>5684</v>
      </c>
      <c r="Z114" s="16" t="n">
        <v>1600</v>
      </c>
      <c r="AA114" s="3" t="s">
        <v>7022</v>
      </c>
      <c r="AB114" s="3" t="s">
        <v>7023</v>
      </c>
      <c r="AC114" s="3" t="s">
        <v>7024</v>
      </c>
      <c r="AD114" s="15" t="s">
        <v>6595</v>
      </c>
      <c r="AE114" s="17"/>
      <c r="AF114" s="17"/>
      <c r="AG114" s="17"/>
    </row>
    <row r="115" customFormat="false" ht="35.05" hidden="false" customHeight="false" outlineLevel="0" collapsed="false">
      <c r="A115" s="15" t="str">
        <f aca="false">"B"&amp;TEXT(ROW()-1,"0000")</f>
        <v>B0114</v>
      </c>
      <c r="B115" s="17" t="s">
        <v>5741</v>
      </c>
      <c r="C115" s="15" t="n">
        <v>3</v>
      </c>
      <c r="D115" s="15" t="s">
        <v>80</v>
      </c>
      <c r="E115" s="15" t="s">
        <v>5900</v>
      </c>
      <c r="F115" s="3" t="s">
        <v>7025</v>
      </c>
      <c r="G115" s="15" t="s">
        <v>7026</v>
      </c>
      <c r="H115" s="15" t="s">
        <v>7027</v>
      </c>
      <c r="I115" s="20" t="str">
        <f aca="false">IFERROR(INDEX('Nationwide KWs'!$D$2:$D$158,MATCH(H115,'Nationwide KWs'!$A$2:$A$158,0)),IFERROR(INDEX('Provincial KWs'!$E$2:$E$137,MATCH(H115,'Provincial KWs'!$A$2:$A$137,0)),IFERROR(INDEX('City KWs'!$F$2:$F$419,MATCH(H115,'City KWs'!$A$2:$A$419,0)),"")))</f>
        <v/>
      </c>
      <c r="J115" s="15" t="s">
        <v>5745</v>
      </c>
      <c r="K115" s="3" t="s">
        <v>7028</v>
      </c>
      <c r="L115" s="15" t="s">
        <v>147</v>
      </c>
      <c r="M115" s="15" t="s">
        <v>5177</v>
      </c>
      <c r="N115" s="15" t="s">
        <v>5747</v>
      </c>
      <c r="O115" s="3" t="s">
        <v>7029</v>
      </c>
      <c r="P115" s="15" t="n">
        <f aca="false">LEN(O115)</f>
        <v>51</v>
      </c>
      <c r="Q115" s="3" t="s">
        <v>7030</v>
      </c>
      <c r="R115" s="15" t="n">
        <f aca="false">LEN(Q115)</f>
        <v>153</v>
      </c>
      <c r="S115" s="15" t="str">
        <f aca="false">IF(H115="","",IF(ISNUMBER(SEARCH(SUBSTITUTE(H115,"-"," "),SUBSTITUTE(O115,"-"," "))),"Yes","Check"))</f>
        <v>Yes</v>
      </c>
      <c r="T115" s="3" t="s">
        <v>7031</v>
      </c>
      <c r="U115" s="3" t="s">
        <v>7032</v>
      </c>
      <c r="V115" s="3" t="s">
        <v>7033</v>
      </c>
      <c r="W115" s="3" t="s">
        <v>7034</v>
      </c>
      <c r="X115" s="3" t="s">
        <v>6830</v>
      </c>
      <c r="Y115" s="15" t="s">
        <v>6859</v>
      </c>
      <c r="Z115" s="16" t="n">
        <v>1500</v>
      </c>
      <c r="AA115" s="3" t="s">
        <v>7035</v>
      </c>
      <c r="AB115" s="3" t="s">
        <v>7036</v>
      </c>
      <c r="AC115" s="3" t="s">
        <v>7037</v>
      </c>
      <c r="AD115" s="15" t="s">
        <v>5773</v>
      </c>
      <c r="AE115" s="17"/>
      <c r="AF115" s="17"/>
      <c r="AG115" s="17"/>
    </row>
    <row r="116" customFormat="false" ht="35.05" hidden="false" customHeight="false" outlineLevel="0" collapsed="false">
      <c r="A116" s="15" t="str">
        <f aca="false">"B"&amp;TEXT(ROW()-1,"0000")</f>
        <v>B0115</v>
      </c>
      <c r="B116" s="17" t="s">
        <v>5741</v>
      </c>
      <c r="C116" s="15" t="n">
        <v>3</v>
      </c>
      <c r="D116" s="15" t="s">
        <v>80</v>
      </c>
      <c r="E116" s="15" t="s">
        <v>5790</v>
      </c>
      <c r="F116" s="3" t="s">
        <v>7038</v>
      </c>
      <c r="G116" s="15" t="s">
        <v>7039</v>
      </c>
      <c r="H116" s="15" t="s">
        <v>7040</v>
      </c>
      <c r="I116" s="20" t="str">
        <f aca="false">IFERROR(INDEX('Nationwide KWs'!$D$2:$D$158,MATCH(H116,'Nationwide KWs'!$A$2:$A$158,0)),IFERROR(INDEX('Provincial KWs'!$E$2:$E$137,MATCH(H116,'Provincial KWs'!$A$2:$A$137,0)),IFERROR(INDEX('City KWs'!$F$2:$F$419,MATCH(H116,'City KWs'!$A$2:$A$419,0)),"")))</f>
        <v/>
      </c>
      <c r="J116" s="15" t="s">
        <v>5745</v>
      </c>
      <c r="K116" s="3" t="s">
        <v>7041</v>
      </c>
      <c r="L116" s="15" t="s">
        <v>147</v>
      </c>
      <c r="M116" s="15" t="s">
        <v>5159</v>
      </c>
      <c r="N116" s="15" t="s">
        <v>5747</v>
      </c>
      <c r="O116" s="3" t="s">
        <v>7042</v>
      </c>
      <c r="P116" s="15" t="n">
        <f aca="false">LEN(O116)</f>
        <v>55</v>
      </c>
      <c r="Q116" s="3" t="s">
        <v>7043</v>
      </c>
      <c r="R116" s="15" t="n">
        <f aca="false">LEN(Q116)</f>
        <v>150</v>
      </c>
      <c r="S116" s="15" t="str">
        <f aca="false">IF(H116="","",IF(ISNUMBER(SEARCH(SUBSTITUTE(H116,"-"," "),SUBSTITUTE(O116,"-"," "))),"Yes","Check"))</f>
        <v>Check</v>
      </c>
      <c r="T116" s="3" t="s">
        <v>7044</v>
      </c>
      <c r="U116" s="3" t="s">
        <v>7045</v>
      </c>
      <c r="V116" s="3" t="s">
        <v>7046</v>
      </c>
      <c r="W116" s="3" t="s">
        <v>7047</v>
      </c>
      <c r="X116" s="3" t="s">
        <v>6913</v>
      </c>
      <c r="Y116" s="15" t="s">
        <v>5684</v>
      </c>
      <c r="Z116" s="16" t="n">
        <v>1500</v>
      </c>
      <c r="AA116" s="3" t="s">
        <v>7048</v>
      </c>
      <c r="AB116" s="3" t="s">
        <v>7049</v>
      </c>
      <c r="AC116" s="3" t="s">
        <v>7050</v>
      </c>
      <c r="AD116" s="15" t="s">
        <v>5773</v>
      </c>
      <c r="AE116" s="17"/>
      <c r="AF116" s="17"/>
      <c r="AG116" s="17"/>
    </row>
    <row r="117" customFormat="false" ht="46.25" hidden="false" customHeight="false" outlineLevel="0" collapsed="false">
      <c r="A117" s="15" t="str">
        <f aca="false">"B"&amp;TEXT(ROW()-1,"0000")</f>
        <v>B0116</v>
      </c>
      <c r="B117" s="17" t="s">
        <v>5741</v>
      </c>
      <c r="C117" s="15" t="n">
        <v>3</v>
      </c>
      <c r="D117" s="15" t="s">
        <v>80</v>
      </c>
      <c r="E117" s="15" t="s">
        <v>5790</v>
      </c>
      <c r="F117" s="3" t="s">
        <v>7051</v>
      </c>
      <c r="G117" s="15" t="s">
        <v>7052</v>
      </c>
      <c r="H117" s="15" t="s">
        <v>7053</v>
      </c>
      <c r="I117" s="20" t="str">
        <f aca="false">IFERROR(INDEX('Nationwide KWs'!$D$2:$D$158,MATCH(H117,'Nationwide KWs'!$A$2:$A$158,0)),IFERROR(INDEX('Provincial KWs'!$E$2:$E$137,MATCH(H117,'Provincial KWs'!$A$2:$A$137,0)),IFERROR(INDEX('City KWs'!$F$2:$F$419,MATCH(H117,'City KWs'!$A$2:$A$419,0)),"")))</f>
        <v/>
      </c>
      <c r="J117" s="15" t="s">
        <v>5778</v>
      </c>
      <c r="K117" s="3" t="s">
        <v>7054</v>
      </c>
      <c r="L117" s="15" t="s">
        <v>147</v>
      </c>
      <c r="M117" s="15" t="s">
        <v>5159</v>
      </c>
      <c r="N117" s="15" t="s">
        <v>5747</v>
      </c>
      <c r="O117" s="3" t="s">
        <v>7055</v>
      </c>
      <c r="P117" s="15" t="n">
        <f aca="false">LEN(O117)</f>
        <v>50</v>
      </c>
      <c r="Q117" s="3" t="s">
        <v>7056</v>
      </c>
      <c r="R117" s="15" t="n">
        <f aca="false">LEN(Q117)</f>
        <v>150</v>
      </c>
      <c r="S117" s="15" t="str">
        <f aca="false">IF(H117="","",IF(ISNUMBER(SEARCH(SUBSTITUTE(H117,"-"," "),SUBSTITUTE(O117,"-"," "))),"Yes","Check"))</f>
        <v>Yes</v>
      </c>
      <c r="T117" s="3" t="s">
        <v>7057</v>
      </c>
      <c r="U117" s="3" t="s">
        <v>7058</v>
      </c>
      <c r="V117" s="3" t="s">
        <v>7059</v>
      </c>
      <c r="W117" s="3" t="s">
        <v>7060</v>
      </c>
      <c r="X117" s="3" t="s">
        <v>7061</v>
      </c>
      <c r="Y117" s="15" t="s">
        <v>5684</v>
      </c>
      <c r="Z117" s="16" t="n">
        <v>2000</v>
      </c>
      <c r="AA117" s="3" t="s">
        <v>7062</v>
      </c>
      <c r="AB117" s="3" t="s">
        <v>7063</v>
      </c>
      <c r="AC117" s="3" t="s">
        <v>7064</v>
      </c>
      <c r="AD117" s="15" t="s">
        <v>5773</v>
      </c>
      <c r="AE117" s="17"/>
      <c r="AF117" s="17"/>
      <c r="AG117" s="17"/>
    </row>
    <row r="118" customFormat="false" ht="46.25" hidden="false" customHeight="false" outlineLevel="0" collapsed="false">
      <c r="A118" s="15" t="str">
        <f aca="false">"B"&amp;TEXT(ROW()-1,"0000")</f>
        <v>B0117</v>
      </c>
      <c r="B118" s="17" t="s">
        <v>5741</v>
      </c>
      <c r="C118" s="15" t="n">
        <v>3</v>
      </c>
      <c r="D118" s="15" t="s">
        <v>80</v>
      </c>
      <c r="E118" s="15" t="s">
        <v>5758</v>
      </c>
      <c r="F118" s="3" t="s">
        <v>7065</v>
      </c>
      <c r="G118" s="15" t="s">
        <v>7066</v>
      </c>
      <c r="H118" s="15" t="s">
        <v>7067</v>
      </c>
      <c r="I118" s="20" t="str">
        <f aca="false">IFERROR(INDEX('Nationwide KWs'!$D$2:$D$158,MATCH(H118,'Nationwide KWs'!$A$2:$A$158,0)),IFERROR(INDEX('Provincial KWs'!$E$2:$E$137,MATCH(H118,'Provincial KWs'!$A$2:$A$137,0)),IFERROR(INDEX('City KWs'!$F$2:$F$419,MATCH(H118,'City KWs'!$A$2:$A$419,0)),"")))</f>
        <v/>
      </c>
      <c r="J118" s="15" t="s">
        <v>5778</v>
      </c>
      <c r="K118" s="3" t="s">
        <v>7068</v>
      </c>
      <c r="L118" s="15" t="s">
        <v>147</v>
      </c>
      <c r="M118" s="15" t="s">
        <v>5177</v>
      </c>
      <c r="N118" s="15" t="s">
        <v>5763</v>
      </c>
      <c r="O118" s="3" t="s">
        <v>7069</v>
      </c>
      <c r="P118" s="15" t="n">
        <f aca="false">LEN(O118)</f>
        <v>52</v>
      </c>
      <c r="Q118" s="3" t="s">
        <v>7070</v>
      </c>
      <c r="R118" s="15" t="n">
        <f aca="false">LEN(Q118)</f>
        <v>149</v>
      </c>
      <c r="S118" s="15" t="str">
        <f aca="false">IF(H118="","",IF(ISNUMBER(SEARCH(SUBSTITUTE(H118,"-"," "),SUBSTITUTE(O118,"-"," "))),"Yes","Check"))</f>
        <v>Yes</v>
      </c>
      <c r="T118" s="3" t="s">
        <v>7071</v>
      </c>
      <c r="U118" s="3" t="s">
        <v>7072</v>
      </c>
      <c r="V118" s="3" t="s">
        <v>7073</v>
      </c>
      <c r="W118" s="3" t="s">
        <v>7074</v>
      </c>
      <c r="X118" s="3" t="s">
        <v>6913</v>
      </c>
      <c r="Y118" s="15" t="s">
        <v>5684</v>
      </c>
      <c r="Z118" s="16" t="n">
        <v>1400</v>
      </c>
      <c r="AA118" s="3" t="s">
        <v>7075</v>
      </c>
      <c r="AB118" s="3" t="s">
        <v>7076</v>
      </c>
      <c r="AC118" s="3" t="s">
        <v>7077</v>
      </c>
      <c r="AD118" s="15" t="s">
        <v>5773</v>
      </c>
      <c r="AE118" s="17"/>
      <c r="AF118" s="17"/>
      <c r="AG118" s="17"/>
    </row>
    <row r="119" customFormat="false" ht="46.25" hidden="false" customHeight="false" outlineLevel="0" collapsed="false">
      <c r="A119" s="15" t="str">
        <f aca="false">"B"&amp;TEXT(ROW()-1,"0000")</f>
        <v>B0118</v>
      </c>
      <c r="B119" s="17" t="s">
        <v>5741</v>
      </c>
      <c r="C119" s="15" t="n">
        <v>3</v>
      </c>
      <c r="D119" s="15" t="s">
        <v>80</v>
      </c>
      <c r="E119" s="15" t="s">
        <v>5758</v>
      </c>
      <c r="F119" s="3" t="s">
        <v>7078</v>
      </c>
      <c r="G119" s="15" t="s">
        <v>7079</v>
      </c>
      <c r="H119" s="15" t="s">
        <v>7080</v>
      </c>
      <c r="I119" s="20" t="str">
        <f aca="false">IFERROR(INDEX('Nationwide KWs'!$D$2:$D$158,MATCH(H119,'Nationwide KWs'!$A$2:$A$158,0)),IFERROR(INDEX('Provincial KWs'!$E$2:$E$137,MATCH(H119,'Provincial KWs'!$A$2:$A$137,0)),IFERROR(INDEX('City KWs'!$F$2:$F$419,MATCH(H119,'City KWs'!$A$2:$A$419,0)),"")))</f>
        <v/>
      </c>
      <c r="J119" s="15" t="s">
        <v>5745</v>
      </c>
      <c r="K119" s="3" t="s">
        <v>7081</v>
      </c>
      <c r="L119" s="15" t="s">
        <v>147</v>
      </c>
      <c r="M119" s="15" t="s">
        <v>5177</v>
      </c>
      <c r="N119" s="15" t="s">
        <v>5747</v>
      </c>
      <c r="O119" s="3" t="s">
        <v>7082</v>
      </c>
      <c r="P119" s="15" t="n">
        <f aca="false">LEN(O119)</f>
        <v>58</v>
      </c>
      <c r="Q119" s="3" t="s">
        <v>7083</v>
      </c>
      <c r="R119" s="15" t="n">
        <f aca="false">LEN(Q119)</f>
        <v>152</v>
      </c>
      <c r="S119" s="15" t="str">
        <f aca="false">IF(H119="","",IF(ISNUMBER(SEARCH(SUBSTITUTE(H119,"-"," "),SUBSTITUTE(O119,"-"," "))),"Yes","Check"))</f>
        <v>Yes</v>
      </c>
      <c r="T119" s="3" t="s">
        <v>7084</v>
      </c>
      <c r="U119" s="3" t="s">
        <v>7085</v>
      </c>
      <c r="V119" s="3" t="s">
        <v>7086</v>
      </c>
      <c r="W119" s="3" t="s">
        <v>7087</v>
      </c>
      <c r="X119" s="3" t="s">
        <v>6913</v>
      </c>
      <c r="Y119" s="15" t="s">
        <v>5684</v>
      </c>
      <c r="Z119" s="16" t="n">
        <v>1600</v>
      </c>
      <c r="AA119" s="3" t="s">
        <v>7088</v>
      </c>
      <c r="AB119" s="3" t="s">
        <v>7089</v>
      </c>
      <c r="AC119" s="3" t="s">
        <v>7090</v>
      </c>
      <c r="AD119" s="15" t="s">
        <v>5773</v>
      </c>
      <c r="AE119" s="17"/>
      <c r="AF119" s="17"/>
      <c r="AG119" s="17"/>
    </row>
    <row r="120" customFormat="false" ht="46.25" hidden="false" customHeight="false" outlineLevel="0" collapsed="false">
      <c r="A120" s="15" t="str">
        <f aca="false">"B"&amp;TEXT(ROW()-1,"0000")</f>
        <v>B0119</v>
      </c>
      <c r="B120" s="17" t="s">
        <v>5741</v>
      </c>
      <c r="C120" s="15" t="n">
        <v>3</v>
      </c>
      <c r="D120" s="15" t="s">
        <v>80</v>
      </c>
      <c r="E120" s="15" t="s">
        <v>6863</v>
      </c>
      <c r="F120" s="3" t="s">
        <v>7091</v>
      </c>
      <c r="G120" s="15" t="s">
        <v>7092</v>
      </c>
      <c r="H120" s="15" t="s">
        <v>7093</v>
      </c>
      <c r="I120" s="20" t="str">
        <f aca="false">IFERROR(INDEX('Nationwide KWs'!$D$2:$D$158,MATCH(H120,'Nationwide KWs'!$A$2:$A$158,0)),IFERROR(INDEX('Provincial KWs'!$E$2:$E$137,MATCH(H120,'Provincial KWs'!$A$2:$A$137,0)),IFERROR(INDEX('City KWs'!$F$2:$F$419,MATCH(H120,'City KWs'!$A$2:$A$419,0)),"")))</f>
        <v/>
      </c>
      <c r="J120" s="15" t="s">
        <v>5745</v>
      </c>
      <c r="K120" s="3" t="s">
        <v>7094</v>
      </c>
      <c r="L120" s="15" t="s">
        <v>5704</v>
      </c>
      <c r="M120" s="15" t="s">
        <v>5177</v>
      </c>
      <c r="N120" s="15" t="s">
        <v>5763</v>
      </c>
      <c r="O120" s="3" t="s">
        <v>7095</v>
      </c>
      <c r="P120" s="15" t="n">
        <f aca="false">LEN(O120)</f>
        <v>50</v>
      </c>
      <c r="Q120" s="3" t="s">
        <v>7096</v>
      </c>
      <c r="R120" s="15" t="n">
        <f aca="false">LEN(Q120)</f>
        <v>151</v>
      </c>
      <c r="S120" s="15" t="str">
        <f aca="false">IF(H120="","",IF(ISNUMBER(SEARCH(SUBSTITUTE(H120,"-"," "),SUBSTITUTE(O120,"-"," "))),"Yes","Check"))</f>
        <v>Yes</v>
      </c>
      <c r="T120" s="3" t="s">
        <v>7097</v>
      </c>
      <c r="U120" s="3" t="s">
        <v>7098</v>
      </c>
      <c r="V120" s="3" t="s">
        <v>7099</v>
      </c>
      <c r="W120" s="3" t="s">
        <v>7100</v>
      </c>
      <c r="X120" s="3" t="s">
        <v>7007</v>
      </c>
      <c r="Y120" s="15" t="s">
        <v>5684</v>
      </c>
      <c r="Z120" s="16" t="n">
        <v>1400</v>
      </c>
      <c r="AA120" s="3" t="s">
        <v>7101</v>
      </c>
      <c r="AB120" s="3" t="s">
        <v>7102</v>
      </c>
      <c r="AC120" s="3" t="s">
        <v>7103</v>
      </c>
      <c r="AD120" s="15" t="s">
        <v>5773</v>
      </c>
      <c r="AE120" s="17"/>
      <c r="AF120" s="17"/>
      <c r="AG120" s="17"/>
    </row>
    <row r="121" customFormat="false" ht="35.05" hidden="false" customHeight="false" outlineLevel="0" collapsed="false">
      <c r="A121" s="15" t="str">
        <f aca="false">"B"&amp;TEXT(ROW()-1,"0000")</f>
        <v>B0120</v>
      </c>
      <c r="B121" s="17" t="s">
        <v>5741</v>
      </c>
      <c r="C121" s="15" t="n">
        <v>3</v>
      </c>
      <c r="D121" s="15" t="s">
        <v>80</v>
      </c>
      <c r="E121" s="15" t="s">
        <v>5859</v>
      </c>
      <c r="F121" s="3" t="s">
        <v>7104</v>
      </c>
      <c r="G121" s="15" t="s">
        <v>7105</v>
      </c>
      <c r="H121" s="15" t="s">
        <v>7106</v>
      </c>
      <c r="I121" s="20" t="str">
        <f aca="false">IFERROR(INDEX('Nationwide KWs'!$D$2:$D$158,MATCH(H121,'Nationwide KWs'!$A$2:$A$158,0)),IFERROR(INDEX('Provincial KWs'!$E$2:$E$137,MATCH(H121,'Provincial KWs'!$A$2:$A$137,0)),IFERROR(INDEX('City KWs'!$F$2:$F$419,MATCH(H121,'City KWs'!$A$2:$A$419,0)),"")))</f>
        <v/>
      </c>
      <c r="J121" s="15" t="s">
        <v>5778</v>
      </c>
      <c r="K121" s="3" t="s">
        <v>7107</v>
      </c>
      <c r="L121" s="15" t="s">
        <v>147</v>
      </c>
      <c r="M121" s="15" t="s">
        <v>5159</v>
      </c>
      <c r="N121" s="15" t="s">
        <v>5747</v>
      </c>
      <c r="O121" s="3" t="s">
        <v>7108</v>
      </c>
      <c r="P121" s="15" t="n">
        <f aca="false">LEN(O121)</f>
        <v>54</v>
      </c>
      <c r="Q121" s="3" t="s">
        <v>7109</v>
      </c>
      <c r="R121" s="15" t="n">
        <f aca="false">LEN(Q121)</f>
        <v>154</v>
      </c>
      <c r="S121" s="15" t="str">
        <f aca="false">IF(H121="","",IF(ISNUMBER(SEARCH(SUBSTITUTE(H121,"-"," "),SUBSTITUTE(O121,"-"," "))),"Yes","Check"))</f>
        <v>Yes</v>
      </c>
      <c r="T121" s="3" t="s">
        <v>7110</v>
      </c>
      <c r="U121" s="3" t="s">
        <v>7111</v>
      </c>
      <c r="V121" s="3" t="s">
        <v>7112</v>
      </c>
      <c r="W121" s="3" t="s">
        <v>7113</v>
      </c>
      <c r="X121" s="3" t="s">
        <v>7114</v>
      </c>
      <c r="Y121" s="15" t="s">
        <v>5684</v>
      </c>
      <c r="Z121" s="16" t="n">
        <v>1300</v>
      </c>
      <c r="AA121" s="3" t="s">
        <v>7115</v>
      </c>
      <c r="AB121" s="3" t="s">
        <v>7116</v>
      </c>
      <c r="AC121" s="3" t="s">
        <v>7117</v>
      </c>
      <c r="AD121" s="15" t="s">
        <v>6023</v>
      </c>
      <c r="AE121" s="17"/>
      <c r="AF121" s="17"/>
      <c r="AG121" s="17"/>
    </row>
    <row r="122" customFormat="false" ht="46.25" hidden="false" customHeight="false" outlineLevel="0" collapsed="false">
      <c r="A122" s="15" t="str">
        <f aca="false">"B"&amp;TEXT(ROW()-1,"0000")</f>
        <v>B0121</v>
      </c>
      <c r="B122" s="17" t="s">
        <v>5741</v>
      </c>
      <c r="C122" s="15" t="n">
        <v>3</v>
      </c>
      <c r="D122" s="15" t="s">
        <v>80</v>
      </c>
      <c r="E122" s="15" t="s">
        <v>5859</v>
      </c>
      <c r="F122" s="3" t="s">
        <v>7118</v>
      </c>
      <c r="G122" s="15" t="s">
        <v>7119</v>
      </c>
      <c r="H122" s="15" t="s">
        <v>7120</v>
      </c>
      <c r="I122" s="20" t="str">
        <f aca="false">IFERROR(INDEX('Nationwide KWs'!$D$2:$D$158,MATCH(H122,'Nationwide KWs'!$A$2:$A$158,0)),IFERROR(INDEX('Provincial KWs'!$E$2:$E$137,MATCH(H122,'Provincial KWs'!$A$2:$A$137,0)),IFERROR(INDEX('City KWs'!$F$2:$F$419,MATCH(H122,'City KWs'!$A$2:$A$419,0)),"")))</f>
        <v/>
      </c>
      <c r="J122" s="15" t="s">
        <v>5778</v>
      </c>
      <c r="K122" s="3" t="s">
        <v>7121</v>
      </c>
      <c r="L122" s="15" t="s">
        <v>147</v>
      </c>
      <c r="M122" s="15" t="s">
        <v>5159</v>
      </c>
      <c r="N122" s="15" t="s">
        <v>5747</v>
      </c>
      <c r="O122" s="3" t="s">
        <v>7122</v>
      </c>
      <c r="P122" s="15" t="n">
        <f aca="false">LEN(O122)</f>
        <v>48</v>
      </c>
      <c r="Q122" s="3" t="s">
        <v>7123</v>
      </c>
      <c r="R122" s="15" t="n">
        <f aca="false">LEN(Q122)</f>
        <v>155</v>
      </c>
      <c r="S122" s="15" t="str">
        <f aca="false">IF(H122="","",IF(ISNUMBER(SEARCH(SUBSTITUTE(H122,"-"," "),SUBSTITUTE(O122,"-"," "))),"Yes","Check"))</f>
        <v>Check</v>
      </c>
      <c r="T122" s="3" t="s">
        <v>7124</v>
      </c>
      <c r="U122" s="3" t="s">
        <v>7125</v>
      </c>
      <c r="V122" s="3" t="s">
        <v>7126</v>
      </c>
      <c r="W122" s="3" t="s">
        <v>7127</v>
      </c>
      <c r="X122" s="3" t="s">
        <v>6913</v>
      </c>
      <c r="Y122" s="15" t="s">
        <v>5684</v>
      </c>
      <c r="Z122" s="16" t="n">
        <v>1500</v>
      </c>
      <c r="AA122" s="3" t="s">
        <v>7128</v>
      </c>
      <c r="AB122" s="3" t="s">
        <v>7129</v>
      </c>
      <c r="AC122" s="3" t="s">
        <v>7130</v>
      </c>
      <c r="AD122" s="15" t="s">
        <v>5773</v>
      </c>
      <c r="AE122" s="17"/>
      <c r="AF122" s="17"/>
      <c r="AG122" s="17"/>
    </row>
    <row r="123" customFormat="false" ht="46.25" hidden="false" customHeight="false" outlineLevel="0" collapsed="false">
      <c r="A123" s="15" t="str">
        <f aca="false">"B"&amp;TEXT(ROW()-1,"0000")</f>
        <v>B0122</v>
      </c>
      <c r="B123" s="17" t="s">
        <v>5741</v>
      </c>
      <c r="C123" s="15" t="n">
        <v>4</v>
      </c>
      <c r="D123" s="15" t="s">
        <v>80</v>
      </c>
      <c r="E123" s="15" t="s">
        <v>5758</v>
      </c>
      <c r="F123" s="3" t="s">
        <v>7131</v>
      </c>
      <c r="G123" s="15" t="s">
        <v>7132</v>
      </c>
      <c r="H123" s="15" t="s">
        <v>7133</v>
      </c>
      <c r="I123" s="20" t="str">
        <f aca="false">IFERROR(INDEX('Nationwide KWs'!$D$2:$D$158,MATCH(H123,'Nationwide KWs'!$A$2:$A$158,0)),IFERROR(INDEX('Provincial KWs'!$E$2:$E$137,MATCH(H123,'Provincial KWs'!$A$2:$A$137,0)),IFERROR(INDEX('City KWs'!$F$2:$F$419,MATCH(H123,'City KWs'!$A$2:$A$419,0)),"")))</f>
        <v/>
      </c>
      <c r="J123" s="15" t="s">
        <v>5778</v>
      </c>
      <c r="K123" s="3" t="s">
        <v>7134</v>
      </c>
      <c r="L123" s="15" t="s">
        <v>147</v>
      </c>
      <c r="M123" s="15" t="s">
        <v>5177</v>
      </c>
      <c r="N123" s="15" t="s">
        <v>5763</v>
      </c>
      <c r="O123" s="3" t="s">
        <v>7135</v>
      </c>
      <c r="P123" s="15" t="n">
        <f aca="false">LEN(O123)</f>
        <v>54</v>
      </c>
      <c r="Q123" s="3" t="s">
        <v>7136</v>
      </c>
      <c r="R123" s="15" t="n">
        <f aca="false">LEN(Q123)</f>
        <v>154</v>
      </c>
      <c r="S123" s="15" t="str">
        <f aca="false">IF(H123="","",IF(ISNUMBER(SEARCH(SUBSTITUTE(H123,"-"," "),SUBSTITUTE(O123,"-"," "))),"Yes","Check"))</f>
        <v>Check</v>
      </c>
      <c r="T123" s="3" t="s">
        <v>7137</v>
      </c>
      <c r="U123" s="3" t="s">
        <v>7138</v>
      </c>
      <c r="V123" s="3" t="s">
        <v>7139</v>
      </c>
      <c r="W123" s="3" t="s">
        <v>7140</v>
      </c>
      <c r="X123" s="3" t="s">
        <v>6913</v>
      </c>
      <c r="Y123" s="15" t="s">
        <v>5684</v>
      </c>
      <c r="Z123" s="16" t="n">
        <v>1300</v>
      </c>
      <c r="AA123" s="3" t="s">
        <v>7141</v>
      </c>
      <c r="AB123" s="3" t="s">
        <v>7142</v>
      </c>
      <c r="AC123" s="3" t="s">
        <v>7143</v>
      </c>
      <c r="AD123" s="15" t="s">
        <v>6023</v>
      </c>
      <c r="AE123" s="17"/>
      <c r="AF123" s="17"/>
      <c r="AG123" s="17"/>
    </row>
    <row r="124" customFormat="false" ht="46.25" hidden="false" customHeight="false" outlineLevel="0" collapsed="false">
      <c r="A124" s="15" t="str">
        <f aca="false">"B"&amp;TEXT(ROW()-1,"0000")</f>
        <v>B0123</v>
      </c>
      <c r="B124" s="17" t="s">
        <v>5741</v>
      </c>
      <c r="C124" s="15" t="n">
        <v>4</v>
      </c>
      <c r="D124" s="15" t="s">
        <v>80</v>
      </c>
      <c r="E124" s="15" t="s">
        <v>6863</v>
      </c>
      <c r="F124" s="3" t="s">
        <v>7144</v>
      </c>
      <c r="G124" s="15" t="s">
        <v>7145</v>
      </c>
      <c r="H124" s="15" t="s">
        <v>7146</v>
      </c>
      <c r="I124" s="20" t="str">
        <f aca="false">IFERROR(INDEX('Nationwide KWs'!$D$2:$D$158,MATCH(H124,'Nationwide KWs'!$A$2:$A$158,0)),IFERROR(INDEX('Provincial KWs'!$E$2:$E$137,MATCH(H124,'Provincial KWs'!$A$2:$A$137,0)),IFERROR(INDEX('City KWs'!$F$2:$F$419,MATCH(H124,'City KWs'!$A$2:$A$419,0)),"")))</f>
        <v/>
      </c>
      <c r="J124" s="15" t="s">
        <v>5778</v>
      </c>
      <c r="K124" s="3" t="s">
        <v>7147</v>
      </c>
      <c r="L124" s="15" t="s">
        <v>6612</v>
      </c>
      <c r="M124" s="15" t="s">
        <v>5177</v>
      </c>
      <c r="N124" s="15" t="s">
        <v>5763</v>
      </c>
      <c r="O124" s="3" t="s">
        <v>7148</v>
      </c>
      <c r="P124" s="15" t="n">
        <f aca="false">LEN(O124)</f>
        <v>50</v>
      </c>
      <c r="Q124" s="3" t="s">
        <v>7149</v>
      </c>
      <c r="R124" s="15" t="n">
        <f aca="false">LEN(Q124)</f>
        <v>150</v>
      </c>
      <c r="S124" s="15" t="str">
        <f aca="false">IF(H124="","",IF(ISNUMBER(SEARCH(SUBSTITUTE(H124,"-"," "),SUBSTITUTE(O124,"-"," "))),"Yes","Check"))</f>
        <v>Yes</v>
      </c>
      <c r="T124" s="3" t="s">
        <v>7150</v>
      </c>
      <c r="U124" s="3" t="s">
        <v>7151</v>
      </c>
      <c r="V124" s="3" t="s">
        <v>7152</v>
      </c>
      <c r="W124" s="3" t="s">
        <v>7153</v>
      </c>
      <c r="X124" s="3" t="s">
        <v>7154</v>
      </c>
      <c r="Y124" s="15" t="s">
        <v>5684</v>
      </c>
      <c r="Z124" s="16" t="n">
        <v>1200</v>
      </c>
      <c r="AA124" s="3" t="s">
        <v>7155</v>
      </c>
      <c r="AB124" s="3" t="s">
        <v>7156</v>
      </c>
      <c r="AC124" s="3" t="s">
        <v>7157</v>
      </c>
      <c r="AD124" s="15" t="s">
        <v>6023</v>
      </c>
      <c r="AE124" s="17"/>
      <c r="AF124" s="17"/>
      <c r="AG124" s="17"/>
    </row>
    <row r="125" customFormat="false" ht="46.25" hidden="false" customHeight="false" outlineLevel="0" collapsed="false">
      <c r="A125" s="15" t="str">
        <f aca="false">"B"&amp;TEXT(ROW()-1,"0000")</f>
        <v>B0124</v>
      </c>
      <c r="B125" s="17" t="s">
        <v>5741</v>
      </c>
      <c r="C125" s="15" t="n">
        <v>4</v>
      </c>
      <c r="D125" s="15" t="s">
        <v>80</v>
      </c>
      <c r="E125" s="15" t="s">
        <v>5859</v>
      </c>
      <c r="F125" s="3" t="s">
        <v>7158</v>
      </c>
      <c r="G125" s="15" t="s">
        <v>7159</v>
      </c>
      <c r="H125" s="15" t="s">
        <v>7160</v>
      </c>
      <c r="I125" s="20" t="str">
        <f aca="false">IFERROR(INDEX('Nationwide KWs'!$D$2:$D$158,MATCH(H125,'Nationwide KWs'!$A$2:$A$158,0)),IFERROR(INDEX('Provincial KWs'!$E$2:$E$137,MATCH(H125,'Provincial KWs'!$A$2:$A$137,0)),IFERROR(INDEX('City KWs'!$F$2:$F$419,MATCH(H125,'City KWs'!$A$2:$A$419,0)),"")))</f>
        <v/>
      </c>
      <c r="J125" s="15" t="s">
        <v>5778</v>
      </c>
      <c r="K125" s="3" t="s">
        <v>7161</v>
      </c>
      <c r="L125" s="15" t="s">
        <v>147</v>
      </c>
      <c r="M125" s="15" t="s">
        <v>5159</v>
      </c>
      <c r="N125" s="15" t="s">
        <v>5747</v>
      </c>
      <c r="O125" s="3" t="s">
        <v>7162</v>
      </c>
      <c r="P125" s="15" t="n">
        <f aca="false">LEN(O125)</f>
        <v>54</v>
      </c>
      <c r="Q125" s="3" t="s">
        <v>7163</v>
      </c>
      <c r="R125" s="15" t="n">
        <f aca="false">LEN(Q125)</f>
        <v>153</v>
      </c>
      <c r="S125" s="15" t="str">
        <f aca="false">IF(H125="","",IF(ISNUMBER(SEARCH(SUBSTITUTE(H125,"-"," "),SUBSTITUTE(O125,"-"," "))),"Yes","Check"))</f>
        <v>Yes</v>
      </c>
      <c r="T125" s="3" t="s">
        <v>7164</v>
      </c>
      <c r="U125" s="3" t="s">
        <v>7165</v>
      </c>
      <c r="V125" s="3" t="s">
        <v>7166</v>
      </c>
      <c r="W125" s="3" t="s">
        <v>7167</v>
      </c>
      <c r="X125" s="3" t="s">
        <v>6913</v>
      </c>
      <c r="Y125" s="15" t="s">
        <v>5684</v>
      </c>
      <c r="Z125" s="16" t="n">
        <v>1400</v>
      </c>
      <c r="AA125" s="3" t="s">
        <v>7168</v>
      </c>
      <c r="AB125" s="3" t="s">
        <v>7169</v>
      </c>
      <c r="AC125" s="3" t="s">
        <v>7170</v>
      </c>
      <c r="AD125" s="15" t="s">
        <v>5773</v>
      </c>
      <c r="AE125" s="17"/>
      <c r="AF125" s="17"/>
      <c r="AG125" s="17"/>
    </row>
    <row r="126" customFormat="false" ht="46.25" hidden="false" customHeight="false" outlineLevel="0" collapsed="false">
      <c r="A126" s="15" t="str">
        <f aca="false">"B"&amp;TEXT(ROW()-1,"0000")</f>
        <v>B0125</v>
      </c>
      <c r="B126" s="17" t="s">
        <v>5741</v>
      </c>
      <c r="C126" s="15" t="n">
        <v>1</v>
      </c>
      <c r="D126" s="15" t="s">
        <v>81</v>
      </c>
      <c r="E126" s="15" t="s">
        <v>5790</v>
      </c>
      <c r="F126" s="3" t="s">
        <v>7171</v>
      </c>
      <c r="G126" s="15" t="s">
        <v>7172</v>
      </c>
      <c r="H126" s="15" t="s">
        <v>7173</v>
      </c>
      <c r="I126" s="20" t="str">
        <f aca="false">IFERROR(INDEX('Nationwide KWs'!$D$2:$D$158,MATCH(H126,'Nationwide KWs'!$A$2:$A$158,0)),IFERROR(INDEX('Provincial KWs'!$E$2:$E$137,MATCH(H126,'Provincial KWs'!$A$2:$A$137,0)),IFERROR(INDEX('City KWs'!$F$2:$F$419,MATCH(H126,'City KWs'!$A$2:$A$419,0)),"")))</f>
        <v/>
      </c>
      <c r="J126" s="15" t="s">
        <v>5745</v>
      </c>
      <c r="K126" s="3" t="s">
        <v>7174</v>
      </c>
      <c r="L126" s="15" t="s">
        <v>147</v>
      </c>
      <c r="M126" s="15" t="s">
        <v>5159</v>
      </c>
      <c r="N126" s="15" t="s">
        <v>5747</v>
      </c>
      <c r="O126" s="3" t="s">
        <v>7175</v>
      </c>
      <c r="P126" s="15" t="n">
        <f aca="false">LEN(O126)</f>
        <v>52</v>
      </c>
      <c r="Q126" s="3" t="s">
        <v>7176</v>
      </c>
      <c r="R126" s="15" t="n">
        <f aca="false">LEN(Q126)</f>
        <v>152</v>
      </c>
      <c r="S126" s="15" t="str">
        <f aca="false">IF(H126="","",IF(ISNUMBER(SEARCH(SUBSTITUTE(H126,"-"," "),SUBSTITUTE(O126,"-"," "))),"Yes","Check"))</f>
        <v>Yes</v>
      </c>
      <c r="T126" s="3" t="s">
        <v>7177</v>
      </c>
      <c r="U126" s="3" t="s">
        <v>7178</v>
      </c>
      <c r="V126" s="3" t="s">
        <v>7179</v>
      </c>
      <c r="W126" s="3" t="s">
        <v>7180</v>
      </c>
      <c r="X126" s="3" t="s">
        <v>7181</v>
      </c>
      <c r="Y126" s="15" t="s">
        <v>5684</v>
      </c>
      <c r="Z126" s="16" t="n">
        <v>1800</v>
      </c>
      <c r="AA126" s="3" t="s">
        <v>7182</v>
      </c>
      <c r="AB126" s="3" t="s">
        <v>7183</v>
      </c>
      <c r="AC126" s="3" t="s">
        <v>7184</v>
      </c>
      <c r="AD126" s="15" t="s">
        <v>6595</v>
      </c>
      <c r="AE126" s="17"/>
      <c r="AF126" s="17"/>
      <c r="AG126" s="17"/>
    </row>
    <row r="127" customFormat="false" ht="57.45" hidden="false" customHeight="false" outlineLevel="0" collapsed="false">
      <c r="A127" s="15" t="str">
        <f aca="false">"B"&amp;TEXT(ROW()-1,"0000")</f>
        <v>B0126</v>
      </c>
      <c r="B127" s="17" t="s">
        <v>5741</v>
      </c>
      <c r="C127" s="15" t="n">
        <v>1</v>
      </c>
      <c r="D127" s="15" t="s">
        <v>81</v>
      </c>
      <c r="E127" s="15" t="s">
        <v>5790</v>
      </c>
      <c r="F127" s="3" t="s">
        <v>7185</v>
      </c>
      <c r="G127" s="15" t="s">
        <v>7186</v>
      </c>
      <c r="H127" s="15" t="s">
        <v>7187</v>
      </c>
      <c r="I127" s="20" t="str">
        <f aca="false">IFERROR(INDEX('Nationwide KWs'!$D$2:$D$158,MATCH(H127,'Nationwide KWs'!$A$2:$A$158,0)),IFERROR(INDEX('Provincial KWs'!$E$2:$E$137,MATCH(H127,'Provincial KWs'!$A$2:$A$137,0)),IFERROR(INDEX('City KWs'!$F$2:$F$419,MATCH(H127,'City KWs'!$A$2:$A$419,0)),"")))</f>
        <v/>
      </c>
      <c r="J127" s="15" t="s">
        <v>5745</v>
      </c>
      <c r="K127" s="3" t="s">
        <v>7188</v>
      </c>
      <c r="L127" s="15" t="s">
        <v>147</v>
      </c>
      <c r="M127" s="15" t="s">
        <v>5177</v>
      </c>
      <c r="N127" s="15" t="s">
        <v>5763</v>
      </c>
      <c r="O127" s="3" t="s">
        <v>7189</v>
      </c>
      <c r="P127" s="15" t="n">
        <f aca="false">LEN(O127)</f>
        <v>52</v>
      </c>
      <c r="Q127" s="3" t="s">
        <v>7190</v>
      </c>
      <c r="R127" s="15" t="n">
        <f aca="false">LEN(Q127)</f>
        <v>154</v>
      </c>
      <c r="S127" s="15" t="str">
        <f aca="false">IF(H127="","",IF(ISNUMBER(SEARCH(SUBSTITUTE(H127,"-"," "),SUBSTITUTE(O127,"-"," "))),"Yes","Check"))</f>
        <v>Yes</v>
      </c>
      <c r="T127" s="3" t="s">
        <v>7191</v>
      </c>
      <c r="U127" s="3" t="s">
        <v>7192</v>
      </c>
      <c r="V127" s="3" t="s">
        <v>7193</v>
      </c>
      <c r="W127" s="3" t="s">
        <v>7194</v>
      </c>
      <c r="X127" s="3" t="s">
        <v>7195</v>
      </c>
      <c r="Y127" s="15" t="s">
        <v>5684</v>
      </c>
      <c r="Z127" s="16" t="n">
        <v>1800</v>
      </c>
      <c r="AA127" s="3" t="s">
        <v>7196</v>
      </c>
      <c r="AB127" s="3" t="s">
        <v>7197</v>
      </c>
      <c r="AC127" s="3" t="s">
        <v>7198</v>
      </c>
      <c r="AD127" s="15" t="s">
        <v>6023</v>
      </c>
      <c r="AE127" s="17"/>
      <c r="AF127" s="17"/>
      <c r="AG127" s="17"/>
    </row>
    <row r="128" customFormat="false" ht="46.25" hidden="false" customHeight="false" outlineLevel="0" collapsed="false">
      <c r="A128" s="15" t="str">
        <f aca="false">"B"&amp;TEXT(ROW()-1,"0000")</f>
        <v>B0127</v>
      </c>
      <c r="B128" s="17" t="s">
        <v>5741</v>
      </c>
      <c r="C128" s="15" t="n">
        <v>1</v>
      </c>
      <c r="D128" s="15" t="s">
        <v>81</v>
      </c>
      <c r="E128" s="15" t="s">
        <v>5742</v>
      </c>
      <c r="F128" s="3" t="s">
        <v>7199</v>
      </c>
      <c r="G128" s="15" t="s">
        <v>7200</v>
      </c>
      <c r="H128" s="15" t="s">
        <v>7201</v>
      </c>
      <c r="I128" s="20" t="str">
        <f aca="false">IFERROR(INDEX('Nationwide KWs'!$D$2:$D$158,MATCH(H128,'Nationwide KWs'!$A$2:$A$158,0)),IFERROR(INDEX('Provincial KWs'!$E$2:$E$137,MATCH(H128,'Provincial KWs'!$A$2:$A$137,0)),IFERROR(INDEX('City KWs'!$F$2:$F$419,MATCH(H128,'City KWs'!$A$2:$A$419,0)),"")))</f>
        <v/>
      </c>
      <c r="J128" s="15" t="s">
        <v>5745</v>
      </c>
      <c r="K128" s="3" t="s">
        <v>7202</v>
      </c>
      <c r="L128" s="15" t="s">
        <v>147</v>
      </c>
      <c r="M128" s="15" t="s">
        <v>5159</v>
      </c>
      <c r="N128" s="15" t="s">
        <v>5747</v>
      </c>
      <c r="O128" s="3" t="s">
        <v>7203</v>
      </c>
      <c r="P128" s="15" t="n">
        <f aca="false">LEN(O128)</f>
        <v>56</v>
      </c>
      <c r="Q128" s="3" t="s">
        <v>7204</v>
      </c>
      <c r="R128" s="15" t="n">
        <f aca="false">LEN(Q128)</f>
        <v>151</v>
      </c>
      <c r="S128" s="15" t="str">
        <f aca="false">IF(H128="","",IF(ISNUMBER(SEARCH(SUBSTITUTE(H128,"-"," "),SUBSTITUTE(O128,"-"," "))),"Yes","Check"))</f>
        <v>Yes</v>
      </c>
      <c r="T128" s="3" t="s">
        <v>7205</v>
      </c>
      <c r="U128" s="3" t="s">
        <v>7206</v>
      </c>
      <c r="V128" s="3" t="s">
        <v>7207</v>
      </c>
      <c r="W128" s="3" t="s">
        <v>7208</v>
      </c>
      <c r="X128" s="3" t="s">
        <v>7209</v>
      </c>
      <c r="Y128" s="15" t="s">
        <v>5684</v>
      </c>
      <c r="Z128" s="16" t="n">
        <v>1700</v>
      </c>
      <c r="AA128" s="3" t="s">
        <v>7210</v>
      </c>
      <c r="AB128" s="3" t="s">
        <v>7211</v>
      </c>
      <c r="AC128" s="3" t="s">
        <v>7212</v>
      </c>
      <c r="AD128" s="15" t="s">
        <v>5687</v>
      </c>
      <c r="AE128" s="17"/>
      <c r="AF128" s="17"/>
      <c r="AG128" s="17"/>
    </row>
    <row r="129" customFormat="false" ht="46.25" hidden="false" customHeight="false" outlineLevel="0" collapsed="false">
      <c r="A129" s="15" t="str">
        <f aca="false">"B"&amp;TEXT(ROW()-1,"0000")</f>
        <v>B0128</v>
      </c>
      <c r="B129" s="17" t="s">
        <v>5741</v>
      </c>
      <c r="C129" s="15" t="n">
        <v>1</v>
      </c>
      <c r="D129" s="15" t="s">
        <v>81</v>
      </c>
      <c r="E129" s="15" t="s">
        <v>5758</v>
      </c>
      <c r="F129" s="3" t="s">
        <v>7213</v>
      </c>
      <c r="G129" s="15" t="s">
        <v>7214</v>
      </c>
      <c r="H129" s="15" t="s">
        <v>7215</v>
      </c>
      <c r="I129" s="20" t="str">
        <f aca="false">IFERROR(INDEX('Nationwide KWs'!$D$2:$D$158,MATCH(H129,'Nationwide KWs'!$A$2:$A$158,0)),IFERROR(INDEX('Provincial KWs'!$E$2:$E$137,MATCH(H129,'Provincial KWs'!$A$2:$A$137,0)),IFERROR(INDEX('City KWs'!$F$2:$F$419,MATCH(H129,'City KWs'!$A$2:$A$419,0)),"")))</f>
        <v/>
      </c>
      <c r="J129" s="15" t="s">
        <v>5778</v>
      </c>
      <c r="K129" s="3" t="s">
        <v>7216</v>
      </c>
      <c r="L129" s="15" t="s">
        <v>147</v>
      </c>
      <c r="M129" s="15" t="s">
        <v>5159</v>
      </c>
      <c r="N129" s="15" t="s">
        <v>5747</v>
      </c>
      <c r="O129" s="3" t="s">
        <v>7217</v>
      </c>
      <c r="P129" s="15" t="n">
        <f aca="false">LEN(O129)</f>
        <v>54</v>
      </c>
      <c r="Q129" s="3" t="s">
        <v>7218</v>
      </c>
      <c r="R129" s="15" t="n">
        <f aca="false">LEN(Q129)</f>
        <v>150</v>
      </c>
      <c r="S129" s="15" t="str">
        <f aca="false">IF(H129="","",IF(ISNUMBER(SEARCH(SUBSTITUTE(H129,"-"," "),SUBSTITUTE(O129,"-"," "))),"Yes","Check"))</f>
        <v>Yes</v>
      </c>
      <c r="T129" s="3" t="s">
        <v>7219</v>
      </c>
      <c r="U129" s="3" t="s">
        <v>7220</v>
      </c>
      <c r="V129" s="3" t="s">
        <v>7221</v>
      </c>
      <c r="W129" s="3" t="s">
        <v>7222</v>
      </c>
      <c r="X129" s="3" t="s">
        <v>7223</v>
      </c>
      <c r="Y129" s="15" t="s">
        <v>5684</v>
      </c>
      <c r="Z129" s="16" t="n">
        <v>2000</v>
      </c>
      <c r="AA129" s="3" t="s">
        <v>7224</v>
      </c>
      <c r="AB129" s="3" t="s">
        <v>7225</v>
      </c>
      <c r="AC129" s="3" t="s">
        <v>7226</v>
      </c>
      <c r="AD129" s="15" t="s">
        <v>6595</v>
      </c>
      <c r="AE129" s="17"/>
      <c r="AF129" s="17"/>
      <c r="AG129" s="17"/>
    </row>
    <row r="130" customFormat="false" ht="46.25" hidden="false" customHeight="false" outlineLevel="0" collapsed="false">
      <c r="A130" s="15" t="str">
        <f aca="false">"B"&amp;TEXT(ROW()-1,"0000")</f>
        <v>B0129</v>
      </c>
      <c r="B130" s="17" t="s">
        <v>5741</v>
      </c>
      <c r="C130" s="15" t="n">
        <v>1</v>
      </c>
      <c r="D130" s="15" t="s">
        <v>81</v>
      </c>
      <c r="E130" s="15" t="s">
        <v>6345</v>
      </c>
      <c r="F130" s="3" t="s">
        <v>7227</v>
      </c>
      <c r="G130" s="15" t="s">
        <v>7228</v>
      </c>
      <c r="H130" s="15" t="s">
        <v>7229</v>
      </c>
      <c r="I130" s="20" t="str">
        <f aca="false">IFERROR(INDEX('Nationwide KWs'!$D$2:$D$158,MATCH(H130,'Nationwide KWs'!$A$2:$A$158,0)),IFERROR(INDEX('Provincial KWs'!$E$2:$E$137,MATCH(H130,'Provincial KWs'!$A$2:$A$137,0)),IFERROR(INDEX('City KWs'!$F$2:$F$419,MATCH(H130,'City KWs'!$A$2:$A$419,0)),"")))</f>
        <v/>
      </c>
      <c r="J130" s="15" t="s">
        <v>5778</v>
      </c>
      <c r="K130" s="3" t="s">
        <v>7230</v>
      </c>
      <c r="L130" s="15" t="s">
        <v>147</v>
      </c>
      <c r="M130" s="15" t="s">
        <v>5177</v>
      </c>
      <c r="N130" s="15" t="s">
        <v>5763</v>
      </c>
      <c r="O130" s="3" t="s">
        <v>7231</v>
      </c>
      <c r="P130" s="15" t="n">
        <f aca="false">LEN(O130)</f>
        <v>50</v>
      </c>
      <c r="Q130" s="3" t="s">
        <v>7232</v>
      </c>
      <c r="R130" s="15" t="n">
        <f aca="false">LEN(Q130)</f>
        <v>151</v>
      </c>
      <c r="S130" s="15" t="str">
        <f aca="false">IF(H130="","",IF(ISNUMBER(SEARCH(SUBSTITUTE(H130,"-"," "),SUBSTITUTE(O130,"-"," "))),"Yes","Check"))</f>
        <v>Yes</v>
      </c>
      <c r="T130" s="3" t="s">
        <v>7233</v>
      </c>
      <c r="U130" s="3" t="s">
        <v>7234</v>
      </c>
      <c r="V130" s="3" t="s">
        <v>7235</v>
      </c>
      <c r="W130" s="3" t="s">
        <v>7236</v>
      </c>
      <c r="X130" s="3" t="s">
        <v>7209</v>
      </c>
      <c r="Y130" s="15" t="s">
        <v>5684</v>
      </c>
      <c r="Z130" s="16" t="n">
        <v>2000</v>
      </c>
      <c r="AA130" s="3" t="s">
        <v>7237</v>
      </c>
      <c r="AB130" s="3" t="s">
        <v>7238</v>
      </c>
      <c r="AC130" s="3" t="s">
        <v>7239</v>
      </c>
      <c r="AD130" s="15" t="s">
        <v>5773</v>
      </c>
      <c r="AE130" s="17"/>
      <c r="AF130" s="17"/>
      <c r="AG130" s="17"/>
    </row>
    <row r="131" customFormat="false" ht="46.25" hidden="false" customHeight="false" outlineLevel="0" collapsed="false">
      <c r="A131" s="15" t="str">
        <f aca="false">"B"&amp;TEXT(ROW()-1,"0000")</f>
        <v>B0130</v>
      </c>
      <c r="B131" s="17" t="s">
        <v>5741</v>
      </c>
      <c r="C131" s="15" t="n">
        <v>1</v>
      </c>
      <c r="D131" s="15" t="s">
        <v>81</v>
      </c>
      <c r="E131" s="15" t="s">
        <v>6677</v>
      </c>
      <c r="F131" s="3" t="s">
        <v>7240</v>
      </c>
      <c r="G131" s="15" t="s">
        <v>7241</v>
      </c>
      <c r="H131" s="15" t="s">
        <v>7242</v>
      </c>
      <c r="I131" s="20" t="str">
        <f aca="false">IFERROR(INDEX('Nationwide KWs'!$D$2:$D$158,MATCH(H131,'Nationwide KWs'!$A$2:$A$158,0)),IFERROR(INDEX('Provincial KWs'!$E$2:$E$137,MATCH(H131,'Provincial KWs'!$A$2:$A$137,0)),IFERROR(INDEX('City KWs'!$F$2:$F$419,MATCH(H131,'City KWs'!$A$2:$A$419,0)),"")))</f>
        <v/>
      </c>
      <c r="J131" s="15" t="s">
        <v>5778</v>
      </c>
      <c r="K131" s="3" t="s">
        <v>7243</v>
      </c>
      <c r="L131" s="15" t="s">
        <v>147</v>
      </c>
      <c r="M131" s="15" t="s">
        <v>5159</v>
      </c>
      <c r="N131" s="15" t="s">
        <v>5747</v>
      </c>
      <c r="O131" s="3" t="s">
        <v>7244</v>
      </c>
      <c r="P131" s="15" t="n">
        <f aca="false">LEN(O131)</f>
        <v>53</v>
      </c>
      <c r="Q131" s="3" t="s">
        <v>7245</v>
      </c>
      <c r="R131" s="15" t="n">
        <f aca="false">LEN(Q131)</f>
        <v>155</v>
      </c>
      <c r="S131" s="15" t="str">
        <f aca="false">IF(H131="","",IF(ISNUMBER(SEARCH(SUBSTITUTE(H131,"-"," "),SUBSTITUTE(O131,"-"," "))),"Yes","Check"))</f>
        <v>Yes</v>
      </c>
      <c r="T131" s="3" t="s">
        <v>7246</v>
      </c>
      <c r="U131" s="3" t="s">
        <v>7247</v>
      </c>
      <c r="V131" s="3" t="s">
        <v>7248</v>
      </c>
      <c r="W131" s="3" t="s">
        <v>7249</v>
      </c>
      <c r="X131" s="3" t="s">
        <v>7250</v>
      </c>
      <c r="Y131" s="15" t="s">
        <v>5684</v>
      </c>
      <c r="Z131" s="16" t="n">
        <v>1500</v>
      </c>
      <c r="AA131" s="3" t="s">
        <v>7251</v>
      </c>
      <c r="AB131" s="3" t="s">
        <v>7252</v>
      </c>
      <c r="AC131" s="3" t="s">
        <v>7253</v>
      </c>
      <c r="AD131" s="15" t="s">
        <v>6595</v>
      </c>
      <c r="AE131" s="17"/>
      <c r="AF131" s="17"/>
      <c r="AG131" s="17"/>
    </row>
    <row r="132" customFormat="false" ht="57.45" hidden="false" customHeight="false" outlineLevel="0" collapsed="false">
      <c r="A132" s="15" t="str">
        <f aca="false">"B"&amp;TEXT(ROW()-1,"0000")</f>
        <v>B0131</v>
      </c>
      <c r="B132" s="17" t="s">
        <v>5741</v>
      </c>
      <c r="C132" s="15" t="n">
        <v>1</v>
      </c>
      <c r="D132" s="15" t="s">
        <v>81</v>
      </c>
      <c r="E132" s="15" t="s">
        <v>6863</v>
      </c>
      <c r="F132" s="3" t="s">
        <v>7254</v>
      </c>
      <c r="G132" s="15" t="s">
        <v>7255</v>
      </c>
      <c r="H132" s="15" t="s">
        <v>7256</v>
      </c>
      <c r="I132" s="20" t="str">
        <f aca="false">IFERROR(INDEX('Nationwide KWs'!$D$2:$D$158,MATCH(H132,'Nationwide KWs'!$A$2:$A$158,0)),IFERROR(INDEX('Provincial KWs'!$E$2:$E$137,MATCH(H132,'Provincial KWs'!$A$2:$A$137,0)),IFERROR(INDEX('City KWs'!$F$2:$F$419,MATCH(H132,'City KWs'!$A$2:$A$419,0)),"")))</f>
        <v/>
      </c>
      <c r="J132" s="15" t="s">
        <v>5998</v>
      </c>
      <c r="K132" s="3" t="s">
        <v>7257</v>
      </c>
      <c r="L132" s="15" t="s">
        <v>7258</v>
      </c>
      <c r="M132" s="15" t="s">
        <v>5227</v>
      </c>
      <c r="N132" s="15" t="s">
        <v>5795</v>
      </c>
      <c r="O132" s="3" t="s">
        <v>7259</v>
      </c>
      <c r="P132" s="15" t="n">
        <f aca="false">LEN(O132)</f>
        <v>56</v>
      </c>
      <c r="Q132" s="3" t="s">
        <v>7260</v>
      </c>
      <c r="R132" s="15" t="n">
        <f aca="false">LEN(Q132)</f>
        <v>151</v>
      </c>
      <c r="S132" s="15" t="str">
        <f aca="false">IF(H132="","",IF(ISNUMBER(SEARCH(SUBSTITUTE(H132,"-"," "),SUBSTITUTE(O132,"-"," "))),"Yes","Check"))</f>
        <v>Yes</v>
      </c>
      <c r="T132" s="3" t="s">
        <v>7261</v>
      </c>
      <c r="U132" s="3" t="s">
        <v>7262</v>
      </c>
      <c r="V132" s="3" t="s">
        <v>7263</v>
      </c>
      <c r="W132" s="3" t="s">
        <v>7264</v>
      </c>
      <c r="X132" s="3" t="s">
        <v>7265</v>
      </c>
      <c r="Y132" s="15" t="s">
        <v>5684</v>
      </c>
      <c r="Z132" s="16" t="n">
        <v>1300</v>
      </c>
      <c r="AA132" s="3" t="s">
        <v>7266</v>
      </c>
      <c r="AB132" s="3" t="s">
        <v>7267</v>
      </c>
      <c r="AC132" s="3" t="s">
        <v>7268</v>
      </c>
      <c r="AD132" s="15" t="s">
        <v>6595</v>
      </c>
      <c r="AE132" s="17"/>
      <c r="AF132" s="17"/>
      <c r="AG132" s="17"/>
    </row>
    <row r="133" customFormat="false" ht="46.25" hidden="false" customHeight="false" outlineLevel="0" collapsed="false">
      <c r="A133" s="15" t="str">
        <f aca="false">"B"&amp;TEXT(ROW()-1,"0000")</f>
        <v>B0132</v>
      </c>
      <c r="B133" s="17" t="s">
        <v>5741</v>
      </c>
      <c r="C133" s="15" t="n">
        <v>1</v>
      </c>
      <c r="D133" s="15" t="s">
        <v>81</v>
      </c>
      <c r="E133" s="15" t="s">
        <v>6863</v>
      </c>
      <c r="F133" s="3" t="s">
        <v>7269</v>
      </c>
      <c r="G133" s="15" t="s">
        <v>7270</v>
      </c>
      <c r="H133" s="15" t="s">
        <v>7271</v>
      </c>
      <c r="I133" s="20" t="str">
        <f aca="false">IFERROR(INDEX('Nationwide KWs'!$D$2:$D$158,MATCH(H133,'Nationwide KWs'!$A$2:$A$158,0)),IFERROR(INDEX('Provincial KWs'!$E$2:$E$137,MATCH(H133,'Provincial KWs'!$A$2:$A$137,0)),IFERROR(INDEX('City KWs'!$F$2:$F$419,MATCH(H133,'City KWs'!$A$2:$A$419,0)),"")))</f>
        <v/>
      </c>
      <c r="J133" s="15" t="s">
        <v>5998</v>
      </c>
      <c r="K133" s="3" t="s">
        <v>7272</v>
      </c>
      <c r="L133" s="15" t="s">
        <v>7273</v>
      </c>
      <c r="M133" s="15" t="s">
        <v>5227</v>
      </c>
      <c r="N133" s="15" t="s">
        <v>5795</v>
      </c>
      <c r="O133" s="3" t="s">
        <v>7274</v>
      </c>
      <c r="P133" s="15" t="n">
        <f aca="false">LEN(O133)</f>
        <v>56</v>
      </c>
      <c r="Q133" s="3" t="s">
        <v>7275</v>
      </c>
      <c r="R133" s="15" t="n">
        <f aca="false">LEN(Q133)</f>
        <v>146</v>
      </c>
      <c r="S133" s="15" t="str">
        <f aca="false">IF(H133="","",IF(ISNUMBER(SEARCH(SUBSTITUTE(H133,"-"," "),SUBSTITUTE(O133,"-"," "))),"Yes","Check"))</f>
        <v>Yes</v>
      </c>
      <c r="T133" s="3" t="s">
        <v>7276</v>
      </c>
      <c r="U133" s="3" t="s">
        <v>7277</v>
      </c>
      <c r="V133" s="3" t="s">
        <v>7278</v>
      </c>
      <c r="W133" s="3" t="s">
        <v>7279</v>
      </c>
      <c r="X133" s="3" t="s">
        <v>7280</v>
      </c>
      <c r="Y133" s="15" t="s">
        <v>5684</v>
      </c>
      <c r="Z133" s="16" t="n">
        <v>1300</v>
      </c>
      <c r="AA133" s="3" t="s">
        <v>7281</v>
      </c>
      <c r="AB133" s="3" t="s">
        <v>7282</v>
      </c>
      <c r="AC133" s="3" t="s">
        <v>7283</v>
      </c>
      <c r="AD133" s="15" t="s">
        <v>6595</v>
      </c>
      <c r="AE133" s="17"/>
      <c r="AF133" s="17"/>
      <c r="AG133" s="17"/>
    </row>
    <row r="134" customFormat="false" ht="57.45" hidden="false" customHeight="false" outlineLevel="0" collapsed="false">
      <c r="A134" s="15" t="str">
        <f aca="false">"B"&amp;TEXT(ROW()-1,"0000")</f>
        <v>B0133</v>
      </c>
      <c r="B134" s="17" t="s">
        <v>5741</v>
      </c>
      <c r="C134" s="15" t="n">
        <v>1</v>
      </c>
      <c r="D134" s="15" t="s">
        <v>81</v>
      </c>
      <c r="E134" s="15" t="s">
        <v>5859</v>
      </c>
      <c r="F134" s="3" t="s">
        <v>7284</v>
      </c>
      <c r="G134" s="15" t="s">
        <v>7285</v>
      </c>
      <c r="H134" s="15" t="s">
        <v>7286</v>
      </c>
      <c r="I134" s="20" t="str">
        <f aca="false">IFERROR(INDEX('Nationwide KWs'!$D$2:$D$158,MATCH(H134,'Nationwide KWs'!$A$2:$A$158,0)),IFERROR(INDEX('Provincial KWs'!$E$2:$E$137,MATCH(H134,'Provincial KWs'!$A$2:$A$137,0)),IFERROR(INDEX('City KWs'!$F$2:$F$419,MATCH(H134,'City KWs'!$A$2:$A$419,0)),"")))</f>
        <v/>
      </c>
      <c r="J134" s="15" t="s">
        <v>5745</v>
      </c>
      <c r="K134" s="3" t="s">
        <v>7287</v>
      </c>
      <c r="L134" s="15" t="s">
        <v>147</v>
      </c>
      <c r="M134" s="15" t="s">
        <v>5159</v>
      </c>
      <c r="N134" s="15" t="s">
        <v>5747</v>
      </c>
      <c r="O134" s="3" t="s">
        <v>7288</v>
      </c>
      <c r="P134" s="15" t="n">
        <f aca="false">LEN(O134)</f>
        <v>50</v>
      </c>
      <c r="Q134" s="3" t="s">
        <v>7289</v>
      </c>
      <c r="R134" s="15" t="n">
        <f aca="false">LEN(Q134)</f>
        <v>154</v>
      </c>
      <c r="S134" s="15" t="str">
        <f aca="false">IF(H134="","",IF(ISNUMBER(SEARCH(SUBSTITUTE(H134,"-"," "),SUBSTITUTE(O134,"-"," "))),"Yes","Check"))</f>
        <v>Yes</v>
      </c>
      <c r="T134" s="3" t="s">
        <v>7290</v>
      </c>
      <c r="U134" s="3" t="s">
        <v>7291</v>
      </c>
      <c r="V134" s="3" t="s">
        <v>7292</v>
      </c>
      <c r="W134" s="3" t="s">
        <v>7293</v>
      </c>
      <c r="X134" s="3" t="s">
        <v>7294</v>
      </c>
      <c r="Y134" s="15" t="s">
        <v>5684</v>
      </c>
      <c r="Z134" s="16" t="n">
        <v>1800</v>
      </c>
      <c r="AA134" s="3" t="s">
        <v>7295</v>
      </c>
      <c r="AB134" s="3" t="s">
        <v>7296</v>
      </c>
      <c r="AC134" s="3" t="s">
        <v>7297</v>
      </c>
      <c r="AD134" s="15" t="s">
        <v>6023</v>
      </c>
      <c r="AE134" s="17"/>
      <c r="AF134" s="17"/>
      <c r="AG134" s="17"/>
    </row>
    <row r="135" customFormat="false" ht="46.25" hidden="false" customHeight="false" outlineLevel="0" collapsed="false">
      <c r="A135" s="15" t="str">
        <f aca="false">"B"&amp;TEXT(ROW()-1,"0000")</f>
        <v>B0134</v>
      </c>
      <c r="B135" s="17" t="s">
        <v>5741</v>
      </c>
      <c r="C135" s="15" t="n">
        <v>1</v>
      </c>
      <c r="D135" s="15" t="s">
        <v>81</v>
      </c>
      <c r="E135" s="15" t="s">
        <v>5859</v>
      </c>
      <c r="F135" s="3" t="s">
        <v>7298</v>
      </c>
      <c r="G135" s="15" t="s">
        <v>7299</v>
      </c>
      <c r="H135" s="15" t="s">
        <v>7300</v>
      </c>
      <c r="I135" s="20" t="str">
        <f aca="false">IFERROR(INDEX('Nationwide KWs'!$D$2:$D$158,MATCH(H135,'Nationwide KWs'!$A$2:$A$158,0)),IFERROR(INDEX('Provincial KWs'!$E$2:$E$137,MATCH(H135,'Provincial KWs'!$A$2:$A$137,0)),IFERROR(INDEX('City KWs'!$F$2:$F$419,MATCH(H135,'City KWs'!$A$2:$A$419,0)),"")))</f>
        <v/>
      </c>
      <c r="J135" s="15" t="s">
        <v>5778</v>
      </c>
      <c r="K135" s="3" t="s">
        <v>7301</v>
      </c>
      <c r="L135" s="15" t="s">
        <v>147</v>
      </c>
      <c r="M135" s="15" t="s">
        <v>5159</v>
      </c>
      <c r="N135" s="15" t="s">
        <v>5747</v>
      </c>
      <c r="O135" s="3" t="s">
        <v>7302</v>
      </c>
      <c r="P135" s="15" t="n">
        <f aca="false">LEN(O135)</f>
        <v>50</v>
      </c>
      <c r="Q135" s="3" t="s">
        <v>7303</v>
      </c>
      <c r="R135" s="15" t="n">
        <f aca="false">LEN(Q135)</f>
        <v>154</v>
      </c>
      <c r="S135" s="15" t="str">
        <f aca="false">IF(H135="","",IF(ISNUMBER(SEARCH(SUBSTITUTE(H135,"-"," "),SUBSTITUTE(O135,"-"," "))),"Yes","Check"))</f>
        <v>Yes</v>
      </c>
      <c r="T135" s="3" t="s">
        <v>7304</v>
      </c>
      <c r="U135" s="3" t="s">
        <v>7305</v>
      </c>
      <c r="V135" s="3" t="s">
        <v>7306</v>
      </c>
      <c r="W135" s="3" t="s">
        <v>7307</v>
      </c>
      <c r="X135" s="3" t="s">
        <v>7308</v>
      </c>
      <c r="Y135" s="15" t="s">
        <v>5684</v>
      </c>
      <c r="Z135" s="16" t="n">
        <v>1800</v>
      </c>
      <c r="AA135" s="3" t="s">
        <v>7309</v>
      </c>
      <c r="AB135" s="3" t="s">
        <v>7310</v>
      </c>
      <c r="AC135" s="3" t="s">
        <v>7311</v>
      </c>
      <c r="AD135" s="15" t="s">
        <v>6595</v>
      </c>
      <c r="AE135" s="17"/>
      <c r="AF135" s="17"/>
      <c r="AG135" s="17"/>
    </row>
    <row r="136" customFormat="false" ht="46.25" hidden="false" customHeight="false" outlineLevel="0" collapsed="false">
      <c r="A136" s="15" t="str">
        <f aca="false">"B"&amp;TEXT(ROW()-1,"0000")</f>
        <v>B0135</v>
      </c>
      <c r="B136" s="17" t="s">
        <v>5741</v>
      </c>
      <c r="C136" s="15" t="n">
        <v>1</v>
      </c>
      <c r="D136" s="15" t="s">
        <v>81</v>
      </c>
      <c r="E136" s="15" t="s">
        <v>5859</v>
      </c>
      <c r="F136" s="3" t="s">
        <v>7312</v>
      </c>
      <c r="G136" s="15" t="s">
        <v>7313</v>
      </c>
      <c r="H136" s="15" t="s">
        <v>7314</v>
      </c>
      <c r="I136" s="20" t="str">
        <f aca="false">IFERROR(INDEX('Nationwide KWs'!$D$2:$D$158,MATCH(H136,'Nationwide KWs'!$A$2:$A$158,0)),IFERROR(INDEX('Provincial KWs'!$E$2:$E$137,MATCH(H136,'Provincial KWs'!$A$2:$A$137,0)),IFERROR(INDEX('City KWs'!$F$2:$F$419,MATCH(H136,'City KWs'!$A$2:$A$419,0)),"")))</f>
        <v/>
      </c>
      <c r="J136" s="15" t="s">
        <v>5778</v>
      </c>
      <c r="K136" s="3" t="s">
        <v>7315</v>
      </c>
      <c r="L136" s="15" t="s">
        <v>147</v>
      </c>
      <c r="M136" s="15" t="s">
        <v>5159</v>
      </c>
      <c r="N136" s="15" t="s">
        <v>5747</v>
      </c>
      <c r="O136" s="3" t="s">
        <v>7316</v>
      </c>
      <c r="P136" s="15" t="n">
        <f aca="false">LEN(O136)</f>
        <v>55</v>
      </c>
      <c r="Q136" s="3" t="s">
        <v>7317</v>
      </c>
      <c r="R136" s="15" t="n">
        <f aca="false">LEN(Q136)</f>
        <v>149</v>
      </c>
      <c r="S136" s="15" t="str">
        <f aca="false">IF(H136="","",IF(ISNUMBER(SEARCH(SUBSTITUTE(H136,"-"," "),SUBSTITUTE(O136,"-"," "))),"Yes","Check"))</f>
        <v>Yes</v>
      </c>
      <c r="T136" s="3" t="s">
        <v>7318</v>
      </c>
      <c r="U136" s="3" t="s">
        <v>7319</v>
      </c>
      <c r="V136" s="3" t="s">
        <v>7320</v>
      </c>
      <c r="W136" s="3" t="s">
        <v>7321</v>
      </c>
      <c r="X136" s="3" t="s">
        <v>7322</v>
      </c>
      <c r="Y136" s="15" t="s">
        <v>5684</v>
      </c>
      <c r="Z136" s="16" t="n">
        <v>1500</v>
      </c>
      <c r="AA136" s="3" t="s">
        <v>7323</v>
      </c>
      <c r="AB136" s="3" t="s">
        <v>7324</v>
      </c>
      <c r="AC136" s="3" t="s">
        <v>7325</v>
      </c>
      <c r="AD136" s="15" t="s">
        <v>6595</v>
      </c>
      <c r="AE136" s="17"/>
      <c r="AF136" s="17"/>
      <c r="AG136" s="17"/>
    </row>
    <row r="137" customFormat="false" ht="68.65" hidden="false" customHeight="false" outlineLevel="0" collapsed="false">
      <c r="A137" s="15" t="str">
        <f aca="false">"B"&amp;TEXT(ROW()-1,"0000")</f>
        <v>B0136</v>
      </c>
      <c r="B137" s="17" t="s">
        <v>5741</v>
      </c>
      <c r="C137" s="15" t="n">
        <v>1</v>
      </c>
      <c r="D137" s="15" t="s">
        <v>81</v>
      </c>
      <c r="E137" s="15" t="s">
        <v>6780</v>
      </c>
      <c r="F137" s="3" t="s">
        <v>7326</v>
      </c>
      <c r="G137" s="15" t="s">
        <v>7327</v>
      </c>
      <c r="H137" s="15" t="s">
        <v>7328</v>
      </c>
      <c r="I137" s="20" t="str">
        <f aca="false">IFERROR(INDEX('Nationwide KWs'!$D$2:$D$158,MATCH(H137,'Nationwide KWs'!$A$2:$A$158,0)),IFERROR(INDEX('Provincial KWs'!$E$2:$E$137,MATCH(H137,'Provincial KWs'!$A$2:$A$137,0)),IFERROR(INDEX('City KWs'!$F$2:$F$419,MATCH(H137,'City KWs'!$A$2:$A$419,0)),"")))</f>
        <v/>
      </c>
      <c r="J137" s="15" t="s">
        <v>5778</v>
      </c>
      <c r="K137" s="3" t="s">
        <v>7329</v>
      </c>
      <c r="L137" s="15" t="s">
        <v>147</v>
      </c>
      <c r="M137" s="15" t="s">
        <v>5177</v>
      </c>
      <c r="N137" s="15" t="s">
        <v>5747</v>
      </c>
      <c r="O137" s="3" t="s">
        <v>7330</v>
      </c>
      <c r="P137" s="15" t="n">
        <f aca="false">LEN(O137)</f>
        <v>55</v>
      </c>
      <c r="Q137" s="3" t="s">
        <v>7331</v>
      </c>
      <c r="R137" s="15" t="n">
        <f aca="false">LEN(Q137)</f>
        <v>154</v>
      </c>
      <c r="S137" s="15" t="str">
        <f aca="false">IF(H137="","",IF(ISNUMBER(SEARCH(SUBSTITUTE(H137,"-"," "),SUBSTITUTE(O137,"-"," "))),"Yes","Check"))</f>
        <v>Check</v>
      </c>
      <c r="T137" s="3" t="s">
        <v>7332</v>
      </c>
      <c r="U137" s="3" t="s">
        <v>7333</v>
      </c>
      <c r="V137" s="3" t="s">
        <v>7334</v>
      </c>
      <c r="W137" s="3" t="s">
        <v>7335</v>
      </c>
      <c r="X137" s="3" t="s">
        <v>7336</v>
      </c>
      <c r="Y137" s="15" t="s">
        <v>5684</v>
      </c>
      <c r="Z137" s="16" t="n">
        <v>1600</v>
      </c>
      <c r="AA137" s="3" t="s">
        <v>7337</v>
      </c>
      <c r="AB137" s="3" t="s">
        <v>7338</v>
      </c>
      <c r="AC137" s="3" t="s">
        <v>7339</v>
      </c>
      <c r="AD137" s="15" t="s">
        <v>6023</v>
      </c>
      <c r="AE137" s="17"/>
      <c r="AF137" s="17"/>
      <c r="AG137" s="17"/>
    </row>
    <row r="138" customFormat="false" ht="35.05" hidden="false" customHeight="false" outlineLevel="0" collapsed="false">
      <c r="A138" s="15" t="str">
        <f aca="false">"B"&amp;TEXT(ROW()-1,"0000")</f>
        <v>B0137</v>
      </c>
      <c r="B138" s="17" t="s">
        <v>5741</v>
      </c>
      <c r="C138" s="15" t="n">
        <v>2</v>
      </c>
      <c r="D138" s="15" t="s">
        <v>81</v>
      </c>
      <c r="E138" s="15" t="s">
        <v>5900</v>
      </c>
      <c r="F138" s="3" t="s">
        <v>7340</v>
      </c>
      <c r="G138" s="15" t="s">
        <v>7341</v>
      </c>
      <c r="H138" s="15" t="s">
        <v>7342</v>
      </c>
      <c r="I138" s="20" t="str">
        <f aca="false">IFERROR(INDEX('Nationwide KWs'!$D$2:$D$158,MATCH(H138,'Nationwide KWs'!$A$2:$A$158,0)),IFERROR(INDEX('Provincial KWs'!$E$2:$E$137,MATCH(H138,'Provincial KWs'!$A$2:$A$137,0)),IFERROR(INDEX('City KWs'!$F$2:$F$419,MATCH(H138,'City KWs'!$A$2:$A$419,0)),"")))</f>
        <v/>
      </c>
      <c r="J138" s="15" t="s">
        <v>5778</v>
      </c>
      <c r="K138" s="3" t="s">
        <v>7343</v>
      </c>
      <c r="L138" s="15" t="s">
        <v>147</v>
      </c>
      <c r="M138" s="15" t="s">
        <v>5177</v>
      </c>
      <c r="N138" s="15" t="s">
        <v>5747</v>
      </c>
      <c r="O138" s="3" t="s">
        <v>7344</v>
      </c>
      <c r="P138" s="15" t="n">
        <f aca="false">LEN(O138)</f>
        <v>50</v>
      </c>
      <c r="Q138" s="3" t="s">
        <v>7345</v>
      </c>
      <c r="R138" s="15" t="n">
        <f aca="false">LEN(Q138)</f>
        <v>150</v>
      </c>
      <c r="S138" s="15" t="str">
        <f aca="false">IF(H138="","",IF(ISNUMBER(SEARCH(SUBSTITUTE(H138,"-"," "),SUBSTITUTE(O138,"-"," "))),"Yes","Check"))</f>
        <v>Yes</v>
      </c>
      <c r="T138" s="3" t="s">
        <v>7346</v>
      </c>
      <c r="U138" s="3" t="s">
        <v>7347</v>
      </c>
      <c r="V138" s="3" t="s">
        <v>7348</v>
      </c>
      <c r="W138" s="3" t="s">
        <v>7349</v>
      </c>
      <c r="X138" s="3" t="s">
        <v>7322</v>
      </c>
      <c r="Y138" s="15" t="s">
        <v>6859</v>
      </c>
      <c r="Z138" s="16" t="n">
        <v>1500</v>
      </c>
      <c r="AA138" s="3" t="s">
        <v>7350</v>
      </c>
      <c r="AB138" s="3" t="s">
        <v>7351</v>
      </c>
      <c r="AC138" s="3" t="s">
        <v>7352</v>
      </c>
      <c r="AD138" s="15" t="s">
        <v>5773</v>
      </c>
      <c r="AE138" s="17"/>
      <c r="AF138" s="17"/>
      <c r="AG138" s="17"/>
    </row>
    <row r="139" customFormat="false" ht="46.25" hidden="false" customHeight="false" outlineLevel="0" collapsed="false">
      <c r="A139" s="15" t="str">
        <f aca="false">"B"&amp;TEXT(ROW()-1,"0000")</f>
        <v>B0138</v>
      </c>
      <c r="B139" s="17" t="s">
        <v>5741</v>
      </c>
      <c r="C139" s="15" t="n">
        <v>2</v>
      </c>
      <c r="D139" s="15" t="s">
        <v>81</v>
      </c>
      <c r="E139" s="15" t="s">
        <v>5900</v>
      </c>
      <c r="F139" s="3" t="s">
        <v>7353</v>
      </c>
      <c r="G139" s="15" t="s">
        <v>7354</v>
      </c>
      <c r="H139" s="15" t="s">
        <v>7355</v>
      </c>
      <c r="I139" s="20" t="str">
        <f aca="false">IFERROR(INDEX('Nationwide KWs'!$D$2:$D$158,MATCH(H139,'Nationwide KWs'!$A$2:$A$158,0)),IFERROR(INDEX('Provincial KWs'!$E$2:$E$137,MATCH(H139,'Provincial KWs'!$A$2:$A$137,0)),IFERROR(INDEX('City KWs'!$F$2:$F$419,MATCH(H139,'City KWs'!$A$2:$A$419,0)),"")))</f>
        <v/>
      </c>
      <c r="J139" s="15" t="s">
        <v>5778</v>
      </c>
      <c r="K139" s="3" t="s">
        <v>7356</v>
      </c>
      <c r="L139" s="15" t="s">
        <v>147</v>
      </c>
      <c r="M139" s="15" t="s">
        <v>5177</v>
      </c>
      <c r="N139" s="15" t="s">
        <v>5747</v>
      </c>
      <c r="O139" s="3" t="s">
        <v>7357</v>
      </c>
      <c r="P139" s="15" t="n">
        <f aca="false">LEN(O139)</f>
        <v>53</v>
      </c>
      <c r="Q139" s="3" t="s">
        <v>7358</v>
      </c>
      <c r="R139" s="15" t="n">
        <f aca="false">LEN(Q139)</f>
        <v>146</v>
      </c>
      <c r="S139" s="15" t="str">
        <f aca="false">IF(H139="","",IF(ISNUMBER(SEARCH(SUBSTITUTE(H139,"-"," "),SUBSTITUTE(O139,"-"," "))),"Yes","Check"))</f>
        <v>Yes</v>
      </c>
      <c r="T139" s="3" t="s">
        <v>7359</v>
      </c>
      <c r="U139" s="3" t="s">
        <v>7360</v>
      </c>
      <c r="V139" s="3" t="s">
        <v>7361</v>
      </c>
      <c r="W139" s="3" t="s">
        <v>7362</v>
      </c>
      <c r="X139" s="3" t="s">
        <v>7322</v>
      </c>
      <c r="Y139" s="15" t="s">
        <v>6859</v>
      </c>
      <c r="Z139" s="16" t="n">
        <v>1300</v>
      </c>
      <c r="AA139" s="3" t="s">
        <v>7363</v>
      </c>
      <c r="AB139" s="3" t="s">
        <v>7364</v>
      </c>
      <c r="AC139" s="3" t="s">
        <v>7365</v>
      </c>
      <c r="AD139" s="15" t="s">
        <v>5773</v>
      </c>
      <c r="AE139" s="17"/>
      <c r="AF139" s="17"/>
      <c r="AG139" s="17"/>
    </row>
    <row r="140" customFormat="false" ht="46.25" hidden="false" customHeight="false" outlineLevel="0" collapsed="false">
      <c r="A140" s="15" t="str">
        <f aca="false">"B"&amp;TEXT(ROW()-1,"0000")</f>
        <v>B0139</v>
      </c>
      <c r="B140" s="17" t="s">
        <v>5741</v>
      </c>
      <c r="C140" s="15" t="n">
        <v>2</v>
      </c>
      <c r="D140" s="15" t="s">
        <v>81</v>
      </c>
      <c r="E140" s="15" t="s">
        <v>5742</v>
      </c>
      <c r="F140" s="3" t="s">
        <v>7366</v>
      </c>
      <c r="G140" s="15" t="s">
        <v>7367</v>
      </c>
      <c r="H140" s="15" t="s">
        <v>7368</v>
      </c>
      <c r="I140" s="20" t="str">
        <f aca="false">IFERROR(INDEX('Nationwide KWs'!$D$2:$D$158,MATCH(H140,'Nationwide KWs'!$A$2:$A$158,0)),IFERROR(INDEX('Provincial KWs'!$E$2:$E$137,MATCH(H140,'Provincial KWs'!$A$2:$A$137,0)),IFERROR(INDEX('City KWs'!$F$2:$F$419,MATCH(H140,'City KWs'!$A$2:$A$419,0)),"")))</f>
        <v/>
      </c>
      <c r="J140" s="15" t="s">
        <v>5778</v>
      </c>
      <c r="K140" s="3" t="s">
        <v>7369</v>
      </c>
      <c r="L140" s="15" t="s">
        <v>147</v>
      </c>
      <c r="M140" s="15" t="s">
        <v>5159</v>
      </c>
      <c r="N140" s="15" t="s">
        <v>5747</v>
      </c>
      <c r="O140" s="3" t="s">
        <v>7370</v>
      </c>
      <c r="P140" s="15" t="n">
        <f aca="false">LEN(O140)</f>
        <v>50</v>
      </c>
      <c r="Q140" s="3" t="s">
        <v>7371</v>
      </c>
      <c r="R140" s="15" t="n">
        <f aca="false">LEN(Q140)</f>
        <v>144</v>
      </c>
      <c r="S140" s="15" t="str">
        <f aca="false">IF(H140="","",IF(ISNUMBER(SEARCH(SUBSTITUTE(H140,"-"," "),SUBSTITUTE(O140,"-"," "))),"Yes","Check"))</f>
        <v>Yes</v>
      </c>
      <c r="T140" s="3" t="s">
        <v>7372</v>
      </c>
      <c r="U140" s="3" t="s">
        <v>7373</v>
      </c>
      <c r="V140" s="3" t="s">
        <v>7374</v>
      </c>
      <c r="W140" s="3" t="s">
        <v>7375</v>
      </c>
      <c r="X140" s="3" t="s">
        <v>7376</v>
      </c>
      <c r="Y140" s="15" t="s">
        <v>5684</v>
      </c>
      <c r="Z140" s="16" t="n">
        <v>1400</v>
      </c>
      <c r="AA140" s="3" t="s">
        <v>7377</v>
      </c>
      <c r="AB140" s="3" t="s">
        <v>7378</v>
      </c>
      <c r="AC140" s="3" t="s">
        <v>7379</v>
      </c>
      <c r="AD140" s="15" t="s">
        <v>6595</v>
      </c>
      <c r="AE140" s="17"/>
      <c r="AF140" s="17"/>
      <c r="AG140" s="17"/>
    </row>
    <row r="141" customFormat="false" ht="46.25" hidden="false" customHeight="false" outlineLevel="0" collapsed="false">
      <c r="A141" s="15" t="str">
        <f aca="false">"B"&amp;TEXT(ROW()-1,"0000")</f>
        <v>B0140</v>
      </c>
      <c r="B141" s="17" t="s">
        <v>5741</v>
      </c>
      <c r="C141" s="15" t="n">
        <v>2</v>
      </c>
      <c r="D141" s="15" t="s">
        <v>81</v>
      </c>
      <c r="E141" s="15" t="s">
        <v>5742</v>
      </c>
      <c r="F141" s="3" t="s">
        <v>7380</v>
      </c>
      <c r="G141" s="15" t="s">
        <v>7381</v>
      </c>
      <c r="H141" s="15" t="s">
        <v>7382</v>
      </c>
      <c r="I141" s="20" t="str">
        <f aca="false">IFERROR(INDEX('Nationwide KWs'!$D$2:$D$158,MATCH(H141,'Nationwide KWs'!$A$2:$A$158,0)),IFERROR(INDEX('Provincial KWs'!$E$2:$E$137,MATCH(H141,'Provincial KWs'!$A$2:$A$137,0)),IFERROR(INDEX('City KWs'!$F$2:$F$419,MATCH(H141,'City KWs'!$A$2:$A$419,0)),"")))</f>
        <v/>
      </c>
      <c r="J141" s="15" t="s">
        <v>5998</v>
      </c>
      <c r="K141" s="3" t="s">
        <v>7383</v>
      </c>
      <c r="L141" s="15" t="s">
        <v>147</v>
      </c>
      <c r="M141" s="15" t="s">
        <v>5159</v>
      </c>
      <c r="N141" s="15" t="s">
        <v>5747</v>
      </c>
      <c r="O141" s="3" t="s">
        <v>7384</v>
      </c>
      <c r="P141" s="15" t="n">
        <f aca="false">LEN(O141)</f>
        <v>57</v>
      </c>
      <c r="Q141" s="3" t="s">
        <v>7385</v>
      </c>
      <c r="R141" s="15" t="n">
        <f aca="false">LEN(Q141)</f>
        <v>147</v>
      </c>
      <c r="S141" s="15" t="str">
        <f aca="false">IF(H141="","",IF(ISNUMBER(SEARCH(SUBSTITUTE(H141,"-"," "),SUBSTITUTE(O141,"-"," "))),"Yes","Check"))</f>
        <v>Yes</v>
      </c>
      <c r="T141" s="3" t="s">
        <v>7386</v>
      </c>
      <c r="U141" s="3" t="s">
        <v>7387</v>
      </c>
      <c r="V141" s="3" t="s">
        <v>7388</v>
      </c>
      <c r="W141" s="3" t="s">
        <v>7389</v>
      </c>
      <c r="X141" s="3" t="s">
        <v>7390</v>
      </c>
      <c r="Y141" s="15" t="s">
        <v>5684</v>
      </c>
      <c r="Z141" s="16" t="n">
        <v>1400</v>
      </c>
      <c r="AA141" s="3" t="s">
        <v>7391</v>
      </c>
      <c r="AB141" s="3" t="s">
        <v>7392</v>
      </c>
      <c r="AC141" s="3" t="s">
        <v>7393</v>
      </c>
      <c r="AD141" s="15" t="s">
        <v>6595</v>
      </c>
      <c r="AE141" s="17"/>
      <c r="AF141" s="17"/>
      <c r="AG141" s="17"/>
    </row>
    <row r="142" customFormat="false" ht="46.25" hidden="false" customHeight="false" outlineLevel="0" collapsed="false">
      <c r="A142" s="15" t="str">
        <f aca="false">"B"&amp;TEXT(ROW()-1,"0000")</f>
        <v>B0141</v>
      </c>
      <c r="B142" s="17" t="s">
        <v>5741</v>
      </c>
      <c r="C142" s="15" t="n">
        <v>2</v>
      </c>
      <c r="D142" s="15" t="s">
        <v>81</v>
      </c>
      <c r="E142" s="15" t="s">
        <v>5742</v>
      </c>
      <c r="F142" s="3" t="s">
        <v>7394</v>
      </c>
      <c r="G142" s="15" t="s">
        <v>7395</v>
      </c>
      <c r="H142" s="15" t="s">
        <v>7396</v>
      </c>
      <c r="I142" s="20" t="str">
        <f aca="false">IFERROR(INDEX('Nationwide KWs'!$D$2:$D$158,MATCH(H142,'Nationwide KWs'!$A$2:$A$158,0)),IFERROR(INDEX('Provincial KWs'!$E$2:$E$137,MATCH(H142,'Provincial KWs'!$A$2:$A$137,0)),IFERROR(INDEX('City KWs'!$F$2:$F$419,MATCH(H142,'City KWs'!$A$2:$A$419,0)),"")))</f>
        <v/>
      </c>
      <c r="J142" s="15" t="s">
        <v>5778</v>
      </c>
      <c r="K142" s="3" t="s">
        <v>7397</v>
      </c>
      <c r="L142" s="15" t="s">
        <v>147</v>
      </c>
      <c r="M142" s="15" t="s">
        <v>5159</v>
      </c>
      <c r="N142" s="15" t="s">
        <v>5747</v>
      </c>
      <c r="O142" s="3" t="s">
        <v>7398</v>
      </c>
      <c r="P142" s="15" t="n">
        <f aca="false">LEN(O142)</f>
        <v>50</v>
      </c>
      <c r="Q142" s="3" t="s">
        <v>7399</v>
      </c>
      <c r="R142" s="15" t="n">
        <f aca="false">LEN(Q142)</f>
        <v>150</v>
      </c>
      <c r="S142" s="15" t="str">
        <f aca="false">IF(H142="","",IF(ISNUMBER(SEARCH(SUBSTITUTE(H142,"-"," "),SUBSTITUTE(O142,"-"," "))),"Yes","Check"))</f>
        <v>Yes</v>
      </c>
      <c r="T142" s="3" t="s">
        <v>7400</v>
      </c>
      <c r="U142" s="3" t="s">
        <v>7401</v>
      </c>
      <c r="V142" s="3" t="s">
        <v>7402</v>
      </c>
      <c r="W142" s="3" t="s">
        <v>7403</v>
      </c>
      <c r="X142" s="3" t="s">
        <v>7404</v>
      </c>
      <c r="Y142" s="15" t="s">
        <v>5684</v>
      </c>
      <c r="Z142" s="16" t="n">
        <v>1300</v>
      </c>
      <c r="AA142" s="3" t="s">
        <v>7405</v>
      </c>
      <c r="AB142" s="3" t="s">
        <v>7406</v>
      </c>
      <c r="AC142" s="3" t="s">
        <v>7407</v>
      </c>
      <c r="AD142" s="15" t="s">
        <v>6023</v>
      </c>
      <c r="AE142" s="17"/>
      <c r="AF142" s="17"/>
      <c r="AG142" s="17"/>
    </row>
    <row r="143" customFormat="false" ht="35.05" hidden="false" customHeight="false" outlineLevel="0" collapsed="false">
      <c r="A143" s="15" t="str">
        <f aca="false">"B"&amp;TEXT(ROW()-1,"0000")</f>
        <v>B0142</v>
      </c>
      <c r="B143" s="17" t="s">
        <v>5741</v>
      </c>
      <c r="C143" s="15" t="n">
        <v>2</v>
      </c>
      <c r="D143" s="15" t="s">
        <v>81</v>
      </c>
      <c r="E143" s="15" t="s">
        <v>5742</v>
      </c>
      <c r="F143" s="3" t="s">
        <v>7408</v>
      </c>
      <c r="G143" s="15" t="s">
        <v>7409</v>
      </c>
      <c r="H143" s="15" t="s">
        <v>7410</v>
      </c>
      <c r="I143" s="20" t="str">
        <f aca="false">IFERROR(INDEX('Nationwide KWs'!$D$2:$D$158,MATCH(H143,'Nationwide KWs'!$A$2:$A$158,0)),IFERROR(INDEX('Provincial KWs'!$E$2:$E$137,MATCH(H143,'Provincial KWs'!$A$2:$A$137,0)),IFERROR(INDEX('City KWs'!$F$2:$F$419,MATCH(H143,'City KWs'!$A$2:$A$419,0)),"")))</f>
        <v/>
      </c>
      <c r="J143" s="15" t="s">
        <v>5778</v>
      </c>
      <c r="K143" s="3" t="s">
        <v>7411</v>
      </c>
      <c r="L143" s="15" t="s">
        <v>147</v>
      </c>
      <c r="M143" s="15" t="s">
        <v>5159</v>
      </c>
      <c r="N143" s="15" t="s">
        <v>5747</v>
      </c>
      <c r="O143" s="3" t="s">
        <v>7412</v>
      </c>
      <c r="P143" s="15" t="n">
        <f aca="false">LEN(O143)</f>
        <v>50</v>
      </c>
      <c r="Q143" s="3" t="s">
        <v>7413</v>
      </c>
      <c r="R143" s="15" t="n">
        <f aca="false">LEN(Q143)</f>
        <v>149</v>
      </c>
      <c r="S143" s="15" t="str">
        <f aca="false">IF(H143="","",IF(ISNUMBER(SEARCH(SUBSTITUTE(H143,"-"," "),SUBSTITUTE(O143,"-"," "))),"Yes","Check"))</f>
        <v>Yes</v>
      </c>
      <c r="T143" s="3" t="s">
        <v>7414</v>
      </c>
      <c r="U143" s="3" t="s">
        <v>7415</v>
      </c>
      <c r="V143" s="3" t="s">
        <v>7416</v>
      </c>
      <c r="W143" s="3" t="s">
        <v>7417</v>
      </c>
      <c r="X143" s="3" t="s">
        <v>7418</v>
      </c>
      <c r="Y143" s="15" t="s">
        <v>5684</v>
      </c>
      <c r="Z143" s="16" t="n">
        <v>1300</v>
      </c>
      <c r="AA143" s="3" t="s">
        <v>7419</v>
      </c>
      <c r="AB143" s="3" t="s">
        <v>7420</v>
      </c>
      <c r="AC143" s="3" t="s">
        <v>7421</v>
      </c>
      <c r="AD143" s="15" t="s">
        <v>6595</v>
      </c>
      <c r="AE143" s="17"/>
      <c r="AF143" s="17"/>
      <c r="AG143" s="17"/>
    </row>
    <row r="144" customFormat="false" ht="46.25" hidden="false" customHeight="false" outlineLevel="0" collapsed="false">
      <c r="A144" s="15" t="str">
        <f aca="false">"B"&amp;TEXT(ROW()-1,"0000")</f>
        <v>B0143</v>
      </c>
      <c r="B144" s="17" t="s">
        <v>5741</v>
      </c>
      <c r="C144" s="15" t="n">
        <v>2</v>
      </c>
      <c r="D144" s="15" t="s">
        <v>81</v>
      </c>
      <c r="E144" s="15" t="s">
        <v>5758</v>
      </c>
      <c r="F144" s="3" t="s">
        <v>7422</v>
      </c>
      <c r="G144" s="15" t="s">
        <v>7423</v>
      </c>
      <c r="H144" s="15" t="s">
        <v>7424</v>
      </c>
      <c r="I144" s="20" t="str">
        <f aca="false">IFERROR(INDEX('Nationwide KWs'!$D$2:$D$158,MATCH(H144,'Nationwide KWs'!$A$2:$A$158,0)),IFERROR(INDEX('Provincial KWs'!$E$2:$E$137,MATCH(H144,'Provincial KWs'!$A$2:$A$137,0)),IFERROR(INDEX('City KWs'!$F$2:$F$419,MATCH(H144,'City KWs'!$A$2:$A$419,0)),"")))</f>
        <v/>
      </c>
      <c r="J144" s="15" t="s">
        <v>5778</v>
      </c>
      <c r="K144" s="3" t="s">
        <v>7425</v>
      </c>
      <c r="L144" s="15" t="s">
        <v>147</v>
      </c>
      <c r="M144" s="15" t="s">
        <v>5177</v>
      </c>
      <c r="N144" s="15" t="s">
        <v>5763</v>
      </c>
      <c r="O144" s="3" t="s">
        <v>7426</v>
      </c>
      <c r="P144" s="15" t="n">
        <f aca="false">LEN(O144)</f>
        <v>50</v>
      </c>
      <c r="Q144" s="3" t="s">
        <v>7427</v>
      </c>
      <c r="R144" s="15" t="n">
        <f aca="false">LEN(Q144)</f>
        <v>155</v>
      </c>
      <c r="S144" s="15" t="str">
        <f aca="false">IF(H144="","",IF(ISNUMBER(SEARCH(SUBSTITUTE(H144,"-"," "),SUBSTITUTE(O144,"-"," "))),"Yes","Check"))</f>
        <v>Yes</v>
      </c>
      <c r="T144" s="3" t="s">
        <v>7428</v>
      </c>
      <c r="U144" s="3" t="s">
        <v>7429</v>
      </c>
      <c r="V144" s="3" t="s">
        <v>7430</v>
      </c>
      <c r="W144" s="3" t="s">
        <v>7431</v>
      </c>
      <c r="X144" s="3" t="s">
        <v>7322</v>
      </c>
      <c r="Y144" s="15" t="s">
        <v>5684</v>
      </c>
      <c r="Z144" s="16" t="n">
        <v>1300</v>
      </c>
      <c r="AA144" s="3" t="s">
        <v>7432</v>
      </c>
      <c r="AB144" s="3" t="s">
        <v>7433</v>
      </c>
      <c r="AC144" s="3" t="s">
        <v>7434</v>
      </c>
      <c r="AD144" s="15" t="s">
        <v>6023</v>
      </c>
      <c r="AE144" s="17"/>
      <c r="AF144" s="17"/>
      <c r="AG144" s="17"/>
    </row>
    <row r="145" customFormat="false" ht="46.25" hidden="false" customHeight="false" outlineLevel="0" collapsed="false">
      <c r="A145" s="15" t="str">
        <f aca="false">"B"&amp;TEXT(ROW()-1,"0000")</f>
        <v>B0144</v>
      </c>
      <c r="B145" s="17" t="s">
        <v>5741</v>
      </c>
      <c r="C145" s="15" t="n">
        <v>2</v>
      </c>
      <c r="D145" s="15" t="s">
        <v>81</v>
      </c>
      <c r="E145" s="15" t="s">
        <v>5758</v>
      </c>
      <c r="F145" s="3" t="s">
        <v>7435</v>
      </c>
      <c r="G145" s="15" t="s">
        <v>7436</v>
      </c>
      <c r="H145" s="15" t="s">
        <v>7437</v>
      </c>
      <c r="I145" s="20" t="str">
        <f aca="false">IFERROR(INDEX('Nationwide KWs'!$D$2:$D$158,MATCH(H145,'Nationwide KWs'!$A$2:$A$158,0)),IFERROR(INDEX('Provincial KWs'!$E$2:$E$137,MATCH(H145,'Provincial KWs'!$A$2:$A$137,0)),IFERROR(INDEX('City KWs'!$F$2:$F$419,MATCH(H145,'City KWs'!$A$2:$A$419,0)),"")))</f>
        <v/>
      </c>
      <c r="J145" s="15" t="s">
        <v>5778</v>
      </c>
      <c r="K145" s="3" t="s">
        <v>7438</v>
      </c>
      <c r="L145" s="15" t="s">
        <v>147</v>
      </c>
      <c r="M145" s="15" t="s">
        <v>5177</v>
      </c>
      <c r="N145" s="15" t="s">
        <v>5763</v>
      </c>
      <c r="O145" s="3" t="s">
        <v>7439</v>
      </c>
      <c r="P145" s="15" t="n">
        <f aca="false">LEN(O145)</f>
        <v>55</v>
      </c>
      <c r="Q145" s="3" t="s">
        <v>7440</v>
      </c>
      <c r="R145" s="15" t="n">
        <f aca="false">LEN(Q145)</f>
        <v>153</v>
      </c>
      <c r="S145" s="15" t="str">
        <f aca="false">IF(H145="","",IF(ISNUMBER(SEARCH(SUBSTITUTE(H145,"-"," "),SUBSTITUTE(O145,"-"," "))),"Yes","Check"))</f>
        <v>Yes</v>
      </c>
      <c r="T145" s="3" t="s">
        <v>7441</v>
      </c>
      <c r="U145" s="3" t="s">
        <v>7442</v>
      </c>
      <c r="V145" s="3" t="s">
        <v>7443</v>
      </c>
      <c r="W145" s="3" t="s">
        <v>7444</v>
      </c>
      <c r="X145" s="3" t="s">
        <v>7322</v>
      </c>
      <c r="Y145" s="15" t="s">
        <v>5684</v>
      </c>
      <c r="Z145" s="16" t="n">
        <v>1600</v>
      </c>
      <c r="AA145" s="3" t="s">
        <v>7445</v>
      </c>
      <c r="AB145" s="3" t="s">
        <v>7446</v>
      </c>
      <c r="AC145" s="3" t="s">
        <v>7447</v>
      </c>
      <c r="AD145" s="15" t="s">
        <v>5773</v>
      </c>
      <c r="AE145" s="17"/>
      <c r="AF145" s="17"/>
      <c r="AG145" s="17"/>
    </row>
    <row r="146" customFormat="false" ht="46.25" hidden="false" customHeight="false" outlineLevel="0" collapsed="false">
      <c r="A146" s="15" t="str">
        <f aca="false">"B"&amp;TEXT(ROW()-1,"0000")</f>
        <v>B0145</v>
      </c>
      <c r="B146" s="17" t="s">
        <v>5741</v>
      </c>
      <c r="C146" s="15" t="n">
        <v>2</v>
      </c>
      <c r="D146" s="15" t="s">
        <v>81</v>
      </c>
      <c r="E146" s="15" t="s">
        <v>6677</v>
      </c>
      <c r="F146" s="3" t="s">
        <v>7448</v>
      </c>
      <c r="G146" s="15" t="s">
        <v>7449</v>
      </c>
      <c r="H146" s="15" t="s">
        <v>7450</v>
      </c>
      <c r="I146" s="20" t="str">
        <f aca="false">IFERROR(INDEX('Nationwide KWs'!$D$2:$D$158,MATCH(H146,'Nationwide KWs'!$A$2:$A$158,0)),IFERROR(INDEX('Provincial KWs'!$E$2:$E$137,MATCH(H146,'Provincial KWs'!$A$2:$A$137,0)),IFERROR(INDEX('City KWs'!$F$2:$F$419,MATCH(H146,'City KWs'!$A$2:$A$419,0)),"")))</f>
        <v/>
      </c>
      <c r="J146" s="15" t="s">
        <v>5998</v>
      </c>
      <c r="K146" s="3" t="s">
        <v>7451</v>
      </c>
      <c r="L146" s="15" t="s">
        <v>147</v>
      </c>
      <c r="M146" s="15" t="s">
        <v>5159</v>
      </c>
      <c r="N146" s="15" t="s">
        <v>5795</v>
      </c>
      <c r="O146" s="3" t="s">
        <v>7452</v>
      </c>
      <c r="P146" s="15" t="n">
        <f aca="false">LEN(O146)</f>
        <v>52</v>
      </c>
      <c r="Q146" s="3" t="s">
        <v>7453</v>
      </c>
      <c r="R146" s="15" t="n">
        <f aca="false">LEN(Q146)</f>
        <v>148</v>
      </c>
      <c r="S146" s="15" t="str">
        <f aca="false">IF(H146="","",IF(ISNUMBER(SEARCH(SUBSTITUTE(H146,"-"," "),SUBSTITUTE(O146,"-"," "))),"Yes","Check"))</f>
        <v>Yes</v>
      </c>
      <c r="T146" s="3" t="s">
        <v>7454</v>
      </c>
      <c r="U146" s="3" t="s">
        <v>7455</v>
      </c>
      <c r="V146" s="3" t="s">
        <v>7456</v>
      </c>
      <c r="W146" s="3" t="s">
        <v>7457</v>
      </c>
      <c r="X146" s="3" t="s">
        <v>7209</v>
      </c>
      <c r="Y146" s="15" t="s">
        <v>6859</v>
      </c>
      <c r="Z146" s="16" t="n">
        <v>1200</v>
      </c>
      <c r="AA146" s="3" t="s">
        <v>7458</v>
      </c>
      <c r="AB146" s="3" t="s">
        <v>7459</v>
      </c>
      <c r="AC146" s="3" t="s">
        <v>7460</v>
      </c>
      <c r="AD146" s="15" t="s">
        <v>5773</v>
      </c>
      <c r="AE146" s="17"/>
      <c r="AF146" s="17"/>
      <c r="AG146" s="17"/>
    </row>
    <row r="147" customFormat="false" ht="46.25" hidden="false" customHeight="false" outlineLevel="0" collapsed="false">
      <c r="A147" s="15" t="str">
        <f aca="false">"B"&amp;TEXT(ROW()-1,"0000")</f>
        <v>B0146</v>
      </c>
      <c r="B147" s="17" t="s">
        <v>5741</v>
      </c>
      <c r="C147" s="15" t="n">
        <v>2</v>
      </c>
      <c r="D147" s="15" t="s">
        <v>81</v>
      </c>
      <c r="E147" s="15" t="s">
        <v>6863</v>
      </c>
      <c r="F147" s="3" t="s">
        <v>7461</v>
      </c>
      <c r="G147" s="15" t="s">
        <v>7462</v>
      </c>
      <c r="H147" s="15" t="s">
        <v>7463</v>
      </c>
      <c r="I147" s="20" t="str">
        <f aca="false">IFERROR(INDEX('Nationwide KWs'!$D$2:$D$158,MATCH(H147,'Nationwide KWs'!$A$2:$A$158,0)),IFERROR(INDEX('Provincial KWs'!$E$2:$E$137,MATCH(H147,'Provincial KWs'!$A$2:$A$137,0)),IFERROR(INDEX('City KWs'!$F$2:$F$419,MATCH(H147,'City KWs'!$A$2:$A$419,0)),"")))</f>
        <v/>
      </c>
      <c r="J147" s="15" t="s">
        <v>5998</v>
      </c>
      <c r="K147" s="3" t="s">
        <v>7464</v>
      </c>
      <c r="L147" s="15" t="s">
        <v>7465</v>
      </c>
      <c r="M147" s="15" t="s">
        <v>5227</v>
      </c>
      <c r="N147" s="15" t="s">
        <v>5795</v>
      </c>
      <c r="O147" s="3" t="s">
        <v>7466</v>
      </c>
      <c r="P147" s="15" t="n">
        <f aca="false">LEN(O147)</f>
        <v>53</v>
      </c>
      <c r="Q147" s="3" t="s">
        <v>7467</v>
      </c>
      <c r="R147" s="15" t="n">
        <f aca="false">LEN(Q147)</f>
        <v>148</v>
      </c>
      <c r="S147" s="15" t="str">
        <f aca="false">IF(H147="","",IF(ISNUMBER(SEARCH(SUBSTITUTE(H147,"-"," "),SUBSTITUTE(O147,"-"," "))),"Yes","Check"))</f>
        <v>Yes</v>
      </c>
      <c r="T147" s="3" t="s">
        <v>7468</v>
      </c>
      <c r="U147" s="3" t="s">
        <v>7469</v>
      </c>
      <c r="V147" s="3" t="s">
        <v>7470</v>
      </c>
      <c r="W147" s="3" t="s">
        <v>7471</v>
      </c>
      <c r="X147" s="3" t="s">
        <v>7472</v>
      </c>
      <c r="Y147" s="15" t="s">
        <v>5684</v>
      </c>
      <c r="Z147" s="16" t="n">
        <v>1300</v>
      </c>
      <c r="AA147" s="3" t="s">
        <v>7473</v>
      </c>
      <c r="AB147" s="3" t="s">
        <v>7474</v>
      </c>
      <c r="AC147" s="3" t="s">
        <v>7475</v>
      </c>
      <c r="AD147" s="15" t="s">
        <v>6595</v>
      </c>
      <c r="AE147" s="17"/>
      <c r="AF147" s="17"/>
      <c r="AG147" s="17"/>
    </row>
    <row r="148" customFormat="false" ht="46.25" hidden="false" customHeight="false" outlineLevel="0" collapsed="false">
      <c r="A148" s="15" t="str">
        <f aca="false">"B"&amp;TEXT(ROW()-1,"0000")</f>
        <v>B0147</v>
      </c>
      <c r="B148" s="17" t="s">
        <v>5741</v>
      </c>
      <c r="C148" s="15" t="n">
        <v>2</v>
      </c>
      <c r="D148" s="15" t="s">
        <v>81</v>
      </c>
      <c r="E148" s="15" t="s">
        <v>6863</v>
      </c>
      <c r="F148" s="3" t="s">
        <v>7476</v>
      </c>
      <c r="G148" s="15" t="s">
        <v>7477</v>
      </c>
      <c r="H148" s="15" t="s">
        <v>7478</v>
      </c>
      <c r="I148" s="20" t="str">
        <f aca="false">IFERROR(INDEX('Nationwide KWs'!$D$2:$D$158,MATCH(H148,'Nationwide KWs'!$A$2:$A$158,0)),IFERROR(INDEX('Provincial KWs'!$E$2:$E$137,MATCH(H148,'Provincial KWs'!$A$2:$A$137,0)),IFERROR(INDEX('City KWs'!$F$2:$F$419,MATCH(H148,'City KWs'!$A$2:$A$419,0)),"")))</f>
        <v/>
      </c>
      <c r="J148" s="15" t="s">
        <v>5998</v>
      </c>
      <c r="K148" s="3" t="s">
        <v>7479</v>
      </c>
      <c r="L148" s="15" t="s">
        <v>7480</v>
      </c>
      <c r="M148" s="15" t="s">
        <v>5227</v>
      </c>
      <c r="N148" s="15" t="s">
        <v>5795</v>
      </c>
      <c r="O148" s="3" t="s">
        <v>7481</v>
      </c>
      <c r="P148" s="15" t="n">
        <f aca="false">LEN(O148)</f>
        <v>54</v>
      </c>
      <c r="Q148" s="3" t="s">
        <v>7482</v>
      </c>
      <c r="R148" s="15" t="n">
        <f aca="false">LEN(Q148)</f>
        <v>150</v>
      </c>
      <c r="S148" s="15" t="str">
        <f aca="false">IF(H148="","",IF(ISNUMBER(SEARCH(SUBSTITUTE(H148,"-"," "),SUBSTITUTE(O148,"-"," "))),"Yes","Check"))</f>
        <v>Yes</v>
      </c>
      <c r="T148" s="3" t="s">
        <v>7483</v>
      </c>
      <c r="U148" s="3" t="s">
        <v>7484</v>
      </c>
      <c r="V148" s="3" t="s">
        <v>7485</v>
      </c>
      <c r="W148" s="3" t="s">
        <v>7486</v>
      </c>
      <c r="X148" s="3" t="s">
        <v>7487</v>
      </c>
      <c r="Y148" s="15" t="s">
        <v>5684</v>
      </c>
      <c r="Z148" s="16" t="n">
        <v>1300</v>
      </c>
      <c r="AA148" s="3" t="s">
        <v>7488</v>
      </c>
      <c r="AB148" s="3" t="s">
        <v>7489</v>
      </c>
      <c r="AC148" s="3" t="s">
        <v>7490</v>
      </c>
      <c r="AD148" s="15" t="s">
        <v>6595</v>
      </c>
      <c r="AE148" s="17"/>
      <c r="AF148" s="17"/>
      <c r="AG148" s="17"/>
    </row>
    <row r="149" customFormat="false" ht="57.45" hidden="false" customHeight="false" outlineLevel="0" collapsed="false">
      <c r="A149" s="15" t="str">
        <f aca="false">"B"&amp;TEXT(ROW()-1,"0000")</f>
        <v>B0148</v>
      </c>
      <c r="B149" s="17" t="s">
        <v>5741</v>
      </c>
      <c r="C149" s="15" t="n">
        <v>2</v>
      </c>
      <c r="D149" s="15" t="s">
        <v>81</v>
      </c>
      <c r="E149" s="15" t="s">
        <v>6863</v>
      </c>
      <c r="F149" s="3" t="s">
        <v>7491</v>
      </c>
      <c r="G149" s="15" t="s">
        <v>7492</v>
      </c>
      <c r="H149" s="15" t="s">
        <v>7493</v>
      </c>
      <c r="I149" s="20" t="str">
        <f aca="false">IFERROR(INDEX('Nationwide KWs'!$D$2:$D$158,MATCH(H149,'Nationwide KWs'!$A$2:$A$158,0)),IFERROR(INDEX('Provincial KWs'!$E$2:$E$137,MATCH(H149,'Provincial KWs'!$A$2:$A$137,0)),IFERROR(INDEX('City KWs'!$F$2:$F$419,MATCH(H149,'City KWs'!$A$2:$A$419,0)),"")))</f>
        <v/>
      </c>
      <c r="J149" s="15" t="s">
        <v>5998</v>
      </c>
      <c r="K149" s="3" t="s">
        <v>7494</v>
      </c>
      <c r="L149" s="15" t="s">
        <v>7495</v>
      </c>
      <c r="M149" s="15" t="s">
        <v>5227</v>
      </c>
      <c r="N149" s="15" t="s">
        <v>5795</v>
      </c>
      <c r="O149" s="3" t="s">
        <v>7496</v>
      </c>
      <c r="P149" s="15" t="n">
        <f aca="false">LEN(O149)</f>
        <v>57</v>
      </c>
      <c r="Q149" s="3" t="s">
        <v>7497</v>
      </c>
      <c r="R149" s="15" t="n">
        <f aca="false">LEN(Q149)</f>
        <v>148</v>
      </c>
      <c r="S149" s="15" t="str">
        <f aca="false">IF(H149="","",IF(ISNUMBER(SEARCH(SUBSTITUTE(H149,"-"," "),SUBSTITUTE(O149,"-"," "))),"Yes","Check"))</f>
        <v>Yes</v>
      </c>
      <c r="T149" s="3" t="s">
        <v>7498</v>
      </c>
      <c r="U149" s="3" t="s">
        <v>7499</v>
      </c>
      <c r="V149" s="3" t="s">
        <v>7500</v>
      </c>
      <c r="W149" s="3" t="s">
        <v>7501</v>
      </c>
      <c r="X149" s="3" t="s">
        <v>7502</v>
      </c>
      <c r="Y149" s="15" t="s">
        <v>5684</v>
      </c>
      <c r="Z149" s="16" t="n">
        <v>1300</v>
      </c>
      <c r="AA149" s="3" t="s">
        <v>7503</v>
      </c>
      <c r="AB149" s="3" t="s">
        <v>7504</v>
      </c>
      <c r="AC149" s="3" t="s">
        <v>7505</v>
      </c>
      <c r="AD149" s="15" t="s">
        <v>6595</v>
      </c>
      <c r="AE149" s="17"/>
      <c r="AF149" s="17"/>
      <c r="AG149" s="17"/>
    </row>
    <row r="150" customFormat="false" ht="46.25" hidden="false" customHeight="false" outlineLevel="0" collapsed="false">
      <c r="A150" s="15" t="str">
        <f aca="false">"B"&amp;TEXT(ROW()-1,"0000")</f>
        <v>B0149</v>
      </c>
      <c r="B150" s="17" t="s">
        <v>5741</v>
      </c>
      <c r="C150" s="15" t="n">
        <v>2</v>
      </c>
      <c r="D150" s="15" t="s">
        <v>81</v>
      </c>
      <c r="E150" s="15" t="s">
        <v>6863</v>
      </c>
      <c r="F150" s="3" t="s">
        <v>7506</v>
      </c>
      <c r="G150" s="15" t="s">
        <v>7507</v>
      </c>
      <c r="H150" s="15" t="s">
        <v>7508</v>
      </c>
      <c r="I150" s="20" t="str">
        <f aca="false">IFERROR(INDEX('Nationwide KWs'!$D$2:$D$158,MATCH(H150,'Nationwide KWs'!$A$2:$A$158,0)),IFERROR(INDEX('Provincial KWs'!$E$2:$E$137,MATCH(H150,'Provincial KWs'!$A$2:$A$137,0)),IFERROR(INDEX('City KWs'!$F$2:$F$419,MATCH(H150,'City KWs'!$A$2:$A$419,0)),"")))</f>
        <v/>
      </c>
      <c r="J150" s="15" t="s">
        <v>5998</v>
      </c>
      <c r="K150" s="3" t="s">
        <v>7509</v>
      </c>
      <c r="L150" s="15" t="s">
        <v>7510</v>
      </c>
      <c r="M150" s="15" t="s">
        <v>5227</v>
      </c>
      <c r="N150" s="15" t="s">
        <v>5795</v>
      </c>
      <c r="O150" s="3" t="s">
        <v>7511</v>
      </c>
      <c r="P150" s="15" t="n">
        <f aca="false">LEN(O150)</f>
        <v>54</v>
      </c>
      <c r="Q150" s="3" t="s">
        <v>7512</v>
      </c>
      <c r="R150" s="15" t="n">
        <f aca="false">LEN(Q150)</f>
        <v>148</v>
      </c>
      <c r="S150" s="15" t="str">
        <f aca="false">IF(H150="","",IF(ISNUMBER(SEARCH(SUBSTITUTE(H150,"-"," "),SUBSTITUTE(O150,"-"," "))),"Yes","Check"))</f>
        <v>Yes</v>
      </c>
      <c r="T150" s="3" t="s">
        <v>7513</v>
      </c>
      <c r="U150" s="3" t="s">
        <v>7514</v>
      </c>
      <c r="V150" s="3" t="s">
        <v>7515</v>
      </c>
      <c r="W150" s="3" t="s">
        <v>7516</v>
      </c>
      <c r="X150" s="3" t="s">
        <v>7517</v>
      </c>
      <c r="Y150" s="15" t="s">
        <v>5684</v>
      </c>
      <c r="Z150" s="16" t="n">
        <v>1300</v>
      </c>
      <c r="AA150" s="3" t="s">
        <v>7518</v>
      </c>
      <c r="AB150" s="3" t="s">
        <v>7519</v>
      </c>
      <c r="AC150" s="3" t="s">
        <v>7520</v>
      </c>
      <c r="AD150" s="15" t="s">
        <v>6595</v>
      </c>
      <c r="AE150" s="17"/>
      <c r="AF150" s="17"/>
      <c r="AG150" s="17"/>
    </row>
    <row r="151" customFormat="false" ht="46.25" hidden="false" customHeight="false" outlineLevel="0" collapsed="false">
      <c r="A151" s="15" t="str">
        <f aca="false">"B"&amp;TEXT(ROW()-1,"0000")</f>
        <v>B0150</v>
      </c>
      <c r="B151" s="17" t="s">
        <v>5741</v>
      </c>
      <c r="C151" s="15" t="n">
        <v>2</v>
      </c>
      <c r="D151" s="15" t="s">
        <v>81</v>
      </c>
      <c r="E151" s="15" t="s">
        <v>5859</v>
      </c>
      <c r="F151" s="3" t="s">
        <v>7521</v>
      </c>
      <c r="G151" s="15" t="s">
        <v>7522</v>
      </c>
      <c r="H151" s="15" t="s">
        <v>7523</v>
      </c>
      <c r="I151" s="20" t="str">
        <f aca="false">IFERROR(INDEX('Nationwide KWs'!$D$2:$D$158,MATCH(H151,'Nationwide KWs'!$A$2:$A$158,0)),IFERROR(INDEX('Provincial KWs'!$E$2:$E$137,MATCH(H151,'Provincial KWs'!$A$2:$A$137,0)),IFERROR(INDEX('City KWs'!$F$2:$F$419,MATCH(H151,'City KWs'!$A$2:$A$419,0)),"")))</f>
        <v/>
      </c>
      <c r="J151" s="15" t="s">
        <v>5778</v>
      </c>
      <c r="K151" s="3" t="s">
        <v>7524</v>
      </c>
      <c r="L151" s="15" t="s">
        <v>147</v>
      </c>
      <c r="M151" s="15" t="s">
        <v>5159</v>
      </c>
      <c r="N151" s="15" t="s">
        <v>5747</v>
      </c>
      <c r="O151" s="3" t="s">
        <v>7525</v>
      </c>
      <c r="P151" s="15" t="n">
        <f aca="false">LEN(O151)</f>
        <v>50</v>
      </c>
      <c r="Q151" s="3" t="s">
        <v>7526</v>
      </c>
      <c r="R151" s="15" t="n">
        <f aca="false">LEN(Q151)</f>
        <v>153</v>
      </c>
      <c r="S151" s="15" t="str">
        <f aca="false">IF(H151="","",IF(ISNUMBER(SEARCH(SUBSTITUTE(H151,"-"," "),SUBSTITUTE(O151,"-"," "))),"Yes","Check"))</f>
        <v>Check</v>
      </c>
      <c r="T151" s="3" t="s">
        <v>7527</v>
      </c>
      <c r="U151" s="3" t="s">
        <v>7528</v>
      </c>
      <c r="V151" s="3" t="s">
        <v>7529</v>
      </c>
      <c r="W151" s="3" t="s">
        <v>7530</v>
      </c>
      <c r="X151" s="3" t="s">
        <v>7531</v>
      </c>
      <c r="Y151" s="15" t="s">
        <v>5684</v>
      </c>
      <c r="Z151" s="16" t="n">
        <v>1700</v>
      </c>
      <c r="AA151" s="3" t="s">
        <v>7532</v>
      </c>
      <c r="AB151" s="3" t="s">
        <v>7533</v>
      </c>
      <c r="AC151" s="3" t="s">
        <v>7534</v>
      </c>
      <c r="AD151" s="15" t="s">
        <v>6023</v>
      </c>
      <c r="AE151" s="17"/>
      <c r="AF151" s="17"/>
      <c r="AG151" s="17"/>
    </row>
    <row r="152" customFormat="false" ht="46.25" hidden="false" customHeight="false" outlineLevel="0" collapsed="false">
      <c r="A152" s="15" t="str">
        <f aca="false">"B"&amp;TEXT(ROW()-1,"0000")</f>
        <v>B0151</v>
      </c>
      <c r="B152" s="17" t="s">
        <v>5741</v>
      </c>
      <c r="C152" s="15" t="n">
        <v>2</v>
      </c>
      <c r="D152" s="15" t="s">
        <v>81</v>
      </c>
      <c r="E152" s="15" t="s">
        <v>5859</v>
      </c>
      <c r="F152" s="3" t="s">
        <v>7535</v>
      </c>
      <c r="G152" s="15" t="s">
        <v>7536</v>
      </c>
      <c r="H152" s="15" t="s">
        <v>7537</v>
      </c>
      <c r="I152" s="20" t="str">
        <f aca="false">IFERROR(INDEX('Nationwide KWs'!$D$2:$D$158,MATCH(H152,'Nationwide KWs'!$A$2:$A$158,0)),IFERROR(INDEX('Provincial KWs'!$E$2:$E$137,MATCH(H152,'Provincial KWs'!$A$2:$A$137,0)),IFERROR(INDEX('City KWs'!$F$2:$F$419,MATCH(H152,'City KWs'!$A$2:$A$419,0)),"")))</f>
        <v/>
      </c>
      <c r="J152" s="15" t="s">
        <v>5998</v>
      </c>
      <c r="K152" s="3" t="s">
        <v>7538</v>
      </c>
      <c r="L152" s="15" t="s">
        <v>147</v>
      </c>
      <c r="M152" s="15" t="s">
        <v>5159</v>
      </c>
      <c r="N152" s="15" t="s">
        <v>5747</v>
      </c>
      <c r="O152" s="3" t="s">
        <v>7539</v>
      </c>
      <c r="P152" s="15" t="n">
        <f aca="false">LEN(O152)</f>
        <v>50</v>
      </c>
      <c r="Q152" s="3" t="s">
        <v>7540</v>
      </c>
      <c r="R152" s="15" t="n">
        <f aca="false">LEN(Q152)</f>
        <v>151</v>
      </c>
      <c r="S152" s="15" t="str">
        <f aca="false">IF(H152="","",IF(ISNUMBER(SEARCH(SUBSTITUTE(H152,"-"," "),SUBSTITUTE(O152,"-"," "))),"Yes","Check"))</f>
        <v>Yes</v>
      </c>
      <c r="T152" s="3" t="s">
        <v>7541</v>
      </c>
      <c r="U152" s="3" t="s">
        <v>7542</v>
      </c>
      <c r="V152" s="3" t="s">
        <v>7543</v>
      </c>
      <c r="W152" s="3" t="s">
        <v>7544</v>
      </c>
      <c r="X152" s="3" t="s">
        <v>7545</v>
      </c>
      <c r="Y152" s="15" t="s">
        <v>5684</v>
      </c>
      <c r="Z152" s="16" t="n">
        <v>1500</v>
      </c>
      <c r="AA152" s="3" t="s">
        <v>7546</v>
      </c>
      <c r="AB152" s="3" t="s">
        <v>7547</v>
      </c>
      <c r="AC152" s="3" t="s">
        <v>7548</v>
      </c>
      <c r="AD152" s="15" t="s">
        <v>6595</v>
      </c>
      <c r="AE152" s="17"/>
      <c r="AF152" s="17"/>
      <c r="AG152" s="17"/>
    </row>
    <row r="153" customFormat="false" ht="46.25" hidden="false" customHeight="false" outlineLevel="0" collapsed="false">
      <c r="A153" s="15" t="str">
        <f aca="false">"B"&amp;TEXT(ROW()-1,"0000")</f>
        <v>B0152</v>
      </c>
      <c r="B153" s="17" t="s">
        <v>5741</v>
      </c>
      <c r="C153" s="15" t="n">
        <v>2</v>
      </c>
      <c r="D153" s="15" t="s">
        <v>81</v>
      </c>
      <c r="E153" s="15" t="s">
        <v>5859</v>
      </c>
      <c r="F153" s="3" t="s">
        <v>7549</v>
      </c>
      <c r="G153" s="15" t="s">
        <v>7550</v>
      </c>
      <c r="H153" s="15" t="s">
        <v>7551</v>
      </c>
      <c r="I153" s="20" t="str">
        <f aca="false">IFERROR(INDEX('Nationwide KWs'!$D$2:$D$158,MATCH(H153,'Nationwide KWs'!$A$2:$A$158,0)),IFERROR(INDEX('Provincial KWs'!$E$2:$E$137,MATCH(H153,'Provincial KWs'!$A$2:$A$137,0)),IFERROR(INDEX('City KWs'!$F$2:$F$419,MATCH(H153,'City KWs'!$A$2:$A$419,0)),"")))</f>
        <v/>
      </c>
      <c r="J153" s="15" t="s">
        <v>5998</v>
      </c>
      <c r="K153" s="3" t="s">
        <v>7552</v>
      </c>
      <c r="L153" s="15" t="s">
        <v>147</v>
      </c>
      <c r="M153" s="15" t="s">
        <v>5159</v>
      </c>
      <c r="N153" s="15" t="s">
        <v>5747</v>
      </c>
      <c r="O153" s="3" t="s">
        <v>7553</v>
      </c>
      <c r="P153" s="15" t="n">
        <f aca="false">LEN(O153)</f>
        <v>50</v>
      </c>
      <c r="Q153" s="3" t="s">
        <v>7554</v>
      </c>
      <c r="R153" s="15" t="n">
        <f aca="false">LEN(Q153)</f>
        <v>149</v>
      </c>
      <c r="S153" s="15" t="str">
        <f aca="false">IF(H153="","",IF(ISNUMBER(SEARCH(SUBSTITUTE(H153,"-"," "),SUBSTITUTE(O153,"-"," "))),"Yes","Check"))</f>
        <v>Yes</v>
      </c>
      <c r="T153" s="3" t="s">
        <v>7555</v>
      </c>
      <c r="U153" s="3" t="s">
        <v>7556</v>
      </c>
      <c r="V153" s="3" t="s">
        <v>7557</v>
      </c>
      <c r="W153" s="3" t="s">
        <v>7558</v>
      </c>
      <c r="X153" s="3" t="s">
        <v>7559</v>
      </c>
      <c r="Y153" s="15" t="s">
        <v>5684</v>
      </c>
      <c r="Z153" s="16" t="n">
        <v>1600</v>
      </c>
      <c r="AA153" s="3" t="s">
        <v>7560</v>
      </c>
      <c r="AB153" s="3" t="s">
        <v>7561</v>
      </c>
      <c r="AC153" s="3" t="s">
        <v>7562</v>
      </c>
      <c r="AD153" s="15" t="s">
        <v>6595</v>
      </c>
      <c r="AE153" s="17"/>
      <c r="AF153" s="17"/>
      <c r="AG153" s="17"/>
    </row>
    <row r="154" customFormat="false" ht="46.25" hidden="false" customHeight="false" outlineLevel="0" collapsed="false">
      <c r="A154" s="15" t="str">
        <f aca="false">"B"&amp;TEXT(ROW()-1,"0000")</f>
        <v>B0153</v>
      </c>
      <c r="B154" s="17" t="s">
        <v>5741</v>
      </c>
      <c r="C154" s="15" t="n">
        <v>2</v>
      </c>
      <c r="D154" s="15" t="s">
        <v>81</v>
      </c>
      <c r="E154" s="15" t="s">
        <v>5859</v>
      </c>
      <c r="F154" s="3" t="s">
        <v>7563</v>
      </c>
      <c r="G154" s="15" t="s">
        <v>7564</v>
      </c>
      <c r="H154" s="15" t="s">
        <v>7565</v>
      </c>
      <c r="I154" s="20" t="str">
        <f aca="false">IFERROR(INDEX('Nationwide KWs'!$D$2:$D$158,MATCH(H154,'Nationwide KWs'!$A$2:$A$158,0)),IFERROR(INDEX('Provincial KWs'!$E$2:$E$137,MATCH(H154,'Provincial KWs'!$A$2:$A$137,0)),IFERROR(INDEX('City KWs'!$F$2:$F$419,MATCH(H154,'City KWs'!$A$2:$A$419,0)),"")))</f>
        <v/>
      </c>
      <c r="J154" s="15" t="s">
        <v>5998</v>
      </c>
      <c r="K154" s="3" t="s">
        <v>7566</v>
      </c>
      <c r="L154" s="15" t="s">
        <v>147</v>
      </c>
      <c r="M154" s="15" t="s">
        <v>5159</v>
      </c>
      <c r="N154" s="15" t="s">
        <v>5747</v>
      </c>
      <c r="O154" s="3" t="s">
        <v>7567</v>
      </c>
      <c r="P154" s="15" t="n">
        <f aca="false">LEN(O154)</f>
        <v>53</v>
      </c>
      <c r="Q154" s="3" t="s">
        <v>7568</v>
      </c>
      <c r="R154" s="15" t="n">
        <f aca="false">LEN(Q154)</f>
        <v>153</v>
      </c>
      <c r="S154" s="15" t="str">
        <f aca="false">IF(H154="","",IF(ISNUMBER(SEARCH(SUBSTITUTE(H154,"-"," "),SUBSTITUTE(O154,"-"," "))),"Yes","Check"))</f>
        <v>Yes</v>
      </c>
      <c r="T154" s="3" t="s">
        <v>7569</v>
      </c>
      <c r="U154" s="3" t="s">
        <v>7570</v>
      </c>
      <c r="V154" s="3" t="s">
        <v>7571</v>
      </c>
      <c r="W154" s="3" t="s">
        <v>7572</v>
      </c>
      <c r="X154" s="3" t="s">
        <v>7573</v>
      </c>
      <c r="Y154" s="15" t="s">
        <v>5684</v>
      </c>
      <c r="Z154" s="16" t="n">
        <v>1500</v>
      </c>
      <c r="AA154" s="3" t="s">
        <v>7574</v>
      </c>
      <c r="AB154" s="3" t="s">
        <v>7575</v>
      </c>
      <c r="AC154" s="3" t="s">
        <v>7576</v>
      </c>
      <c r="AD154" s="15" t="s">
        <v>6595</v>
      </c>
      <c r="AE154" s="17"/>
      <c r="AF154" s="17"/>
      <c r="AG154" s="17"/>
    </row>
    <row r="155" customFormat="false" ht="57.45" hidden="false" customHeight="false" outlineLevel="0" collapsed="false">
      <c r="A155" s="15" t="str">
        <f aca="false">"B"&amp;TEXT(ROW()-1,"0000")</f>
        <v>B0154</v>
      </c>
      <c r="B155" s="17" t="s">
        <v>5741</v>
      </c>
      <c r="C155" s="15" t="n">
        <v>2</v>
      </c>
      <c r="D155" s="15" t="s">
        <v>81</v>
      </c>
      <c r="E155" s="15" t="s">
        <v>6780</v>
      </c>
      <c r="F155" s="3" t="s">
        <v>7577</v>
      </c>
      <c r="G155" s="15" t="s">
        <v>7578</v>
      </c>
      <c r="H155" s="15" t="s">
        <v>7579</v>
      </c>
      <c r="I155" s="20" t="str">
        <f aca="false">IFERROR(INDEX('Nationwide KWs'!$D$2:$D$158,MATCH(H155,'Nationwide KWs'!$A$2:$A$158,0)),IFERROR(INDEX('Provincial KWs'!$E$2:$E$137,MATCH(H155,'Provincial KWs'!$A$2:$A$137,0)),IFERROR(INDEX('City KWs'!$F$2:$F$419,MATCH(H155,'City KWs'!$A$2:$A$419,0)),"")))</f>
        <v/>
      </c>
      <c r="J155" s="15" t="s">
        <v>5998</v>
      </c>
      <c r="K155" s="3" t="s">
        <v>7580</v>
      </c>
      <c r="L155" s="15" t="s">
        <v>147</v>
      </c>
      <c r="M155" s="15" t="s">
        <v>5177</v>
      </c>
      <c r="N155" s="15" t="s">
        <v>5747</v>
      </c>
      <c r="O155" s="3" t="s">
        <v>7581</v>
      </c>
      <c r="P155" s="15" t="n">
        <f aca="false">LEN(O155)</f>
        <v>53</v>
      </c>
      <c r="Q155" s="3" t="s">
        <v>7582</v>
      </c>
      <c r="R155" s="15" t="n">
        <f aca="false">LEN(Q155)</f>
        <v>153</v>
      </c>
      <c r="S155" s="15" t="str">
        <f aca="false">IF(H155="","",IF(ISNUMBER(SEARCH(SUBSTITUTE(H155,"-"," "),SUBSTITUTE(O155,"-"," "))),"Yes","Check"))</f>
        <v>Yes</v>
      </c>
      <c r="T155" s="3" t="s">
        <v>7583</v>
      </c>
      <c r="U155" s="3" t="s">
        <v>7584</v>
      </c>
      <c r="V155" s="3" t="s">
        <v>7585</v>
      </c>
      <c r="W155" s="3" t="s">
        <v>7586</v>
      </c>
      <c r="X155" s="3" t="s">
        <v>7587</v>
      </c>
      <c r="Y155" s="15" t="s">
        <v>5684</v>
      </c>
      <c r="Z155" s="16" t="n">
        <v>1300</v>
      </c>
      <c r="AA155" s="3" t="s">
        <v>7588</v>
      </c>
      <c r="AB155" s="3" t="s">
        <v>7589</v>
      </c>
      <c r="AC155" s="3" t="s">
        <v>7590</v>
      </c>
      <c r="AD155" s="15" t="s">
        <v>6023</v>
      </c>
      <c r="AE155" s="17"/>
      <c r="AF155" s="17"/>
      <c r="AG155" s="17"/>
    </row>
    <row r="156" customFormat="false" ht="46.25" hidden="false" customHeight="false" outlineLevel="0" collapsed="false">
      <c r="A156" s="15" t="str">
        <f aca="false">"B"&amp;TEXT(ROW()-1,"0000")</f>
        <v>B0155</v>
      </c>
      <c r="B156" s="17" t="s">
        <v>5741</v>
      </c>
      <c r="C156" s="15" t="n">
        <v>3</v>
      </c>
      <c r="D156" s="15" t="s">
        <v>81</v>
      </c>
      <c r="E156" s="15" t="s">
        <v>5900</v>
      </c>
      <c r="F156" s="3" t="s">
        <v>7591</v>
      </c>
      <c r="G156" s="15" t="s">
        <v>7592</v>
      </c>
      <c r="H156" s="15" t="s">
        <v>7593</v>
      </c>
      <c r="I156" s="20" t="str">
        <f aca="false">IFERROR(INDEX('Nationwide KWs'!$D$2:$D$158,MATCH(H156,'Nationwide KWs'!$A$2:$A$158,0)),IFERROR(INDEX('Provincial KWs'!$E$2:$E$137,MATCH(H156,'Provincial KWs'!$A$2:$A$137,0)),IFERROR(INDEX('City KWs'!$F$2:$F$419,MATCH(H156,'City KWs'!$A$2:$A$419,0)),"")))</f>
        <v/>
      </c>
      <c r="J156" s="15" t="s">
        <v>5998</v>
      </c>
      <c r="K156" s="3" t="s">
        <v>7594</v>
      </c>
      <c r="L156" s="15" t="s">
        <v>147</v>
      </c>
      <c r="M156" s="15" t="s">
        <v>5177</v>
      </c>
      <c r="N156" s="15" t="s">
        <v>5747</v>
      </c>
      <c r="O156" s="3" t="s">
        <v>7595</v>
      </c>
      <c r="P156" s="15" t="n">
        <f aca="false">LEN(O156)</f>
        <v>54</v>
      </c>
      <c r="Q156" s="3" t="s">
        <v>7596</v>
      </c>
      <c r="R156" s="15" t="n">
        <f aca="false">LEN(Q156)</f>
        <v>143</v>
      </c>
      <c r="S156" s="15" t="str">
        <f aca="false">IF(H156="","",IF(ISNUMBER(SEARCH(SUBSTITUTE(H156,"-"," "),SUBSTITUTE(O156,"-"," "))),"Yes","Check"))</f>
        <v>Yes</v>
      </c>
      <c r="T156" s="3" t="s">
        <v>7597</v>
      </c>
      <c r="U156" s="3" t="s">
        <v>7598</v>
      </c>
      <c r="V156" s="3" t="s">
        <v>7599</v>
      </c>
      <c r="W156" s="3" t="s">
        <v>7600</v>
      </c>
      <c r="X156" s="3" t="s">
        <v>7322</v>
      </c>
      <c r="Y156" s="15" t="s">
        <v>5684</v>
      </c>
      <c r="Z156" s="16" t="n">
        <v>1500</v>
      </c>
      <c r="AA156" s="3" t="s">
        <v>7601</v>
      </c>
      <c r="AB156" s="3" t="s">
        <v>7602</v>
      </c>
      <c r="AC156" s="3" t="s">
        <v>7603</v>
      </c>
      <c r="AD156" s="15" t="s">
        <v>5773</v>
      </c>
      <c r="AE156" s="17"/>
      <c r="AF156" s="17"/>
      <c r="AG156" s="17"/>
    </row>
    <row r="157" customFormat="false" ht="46.25" hidden="false" customHeight="false" outlineLevel="0" collapsed="false">
      <c r="A157" s="15" t="str">
        <f aca="false">"B"&amp;TEXT(ROW()-1,"0000")</f>
        <v>B0156</v>
      </c>
      <c r="B157" s="17" t="s">
        <v>5741</v>
      </c>
      <c r="C157" s="15" t="n">
        <v>3</v>
      </c>
      <c r="D157" s="15" t="s">
        <v>81</v>
      </c>
      <c r="E157" s="15" t="s">
        <v>5790</v>
      </c>
      <c r="F157" s="3" t="s">
        <v>7604</v>
      </c>
      <c r="G157" s="15" t="s">
        <v>7605</v>
      </c>
      <c r="H157" s="15" t="s">
        <v>7606</v>
      </c>
      <c r="I157" s="20" t="str">
        <f aca="false">IFERROR(INDEX('Nationwide KWs'!$D$2:$D$158,MATCH(H157,'Nationwide KWs'!$A$2:$A$158,0)),IFERROR(INDEX('Provincial KWs'!$E$2:$E$137,MATCH(H157,'Provincial KWs'!$A$2:$A$137,0)),IFERROR(INDEX('City KWs'!$F$2:$F$419,MATCH(H157,'City KWs'!$A$2:$A$419,0)),"")))</f>
        <v/>
      </c>
      <c r="J157" s="15" t="s">
        <v>5745</v>
      </c>
      <c r="K157" s="3" t="s">
        <v>7607</v>
      </c>
      <c r="L157" s="15" t="s">
        <v>147</v>
      </c>
      <c r="M157" s="15" t="s">
        <v>5159</v>
      </c>
      <c r="N157" s="15" t="s">
        <v>5747</v>
      </c>
      <c r="O157" s="3" t="s">
        <v>7608</v>
      </c>
      <c r="P157" s="15" t="n">
        <f aca="false">LEN(O157)</f>
        <v>49</v>
      </c>
      <c r="Q157" s="3" t="s">
        <v>7609</v>
      </c>
      <c r="R157" s="15" t="n">
        <f aca="false">LEN(Q157)</f>
        <v>150</v>
      </c>
      <c r="S157" s="15" t="str">
        <f aca="false">IF(H157="","",IF(ISNUMBER(SEARCH(SUBSTITUTE(H157,"-"," "),SUBSTITUTE(O157,"-"," "))),"Yes","Check"))</f>
        <v>Yes</v>
      </c>
      <c r="T157" s="3" t="s">
        <v>7610</v>
      </c>
      <c r="U157" s="3" t="s">
        <v>7611</v>
      </c>
      <c r="V157" s="3" t="s">
        <v>7612</v>
      </c>
      <c r="W157" s="3" t="s">
        <v>7613</v>
      </c>
      <c r="X157" s="3" t="s">
        <v>7181</v>
      </c>
      <c r="Y157" s="15" t="s">
        <v>5684</v>
      </c>
      <c r="Z157" s="16" t="n">
        <v>2500</v>
      </c>
      <c r="AA157" s="3" t="s">
        <v>7614</v>
      </c>
      <c r="AB157" s="3" t="s">
        <v>7615</v>
      </c>
      <c r="AC157" s="3" t="s">
        <v>7616</v>
      </c>
      <c r="AD157" s="15" t="s">
        <v>6595</v>
      </c>
      <c r="AE157" s="17"/>
      <c r="AF157" s="17"/>
      <c r="AG157" s="17"/>
    </row>
    <row r="158" customFormat="false" ht="35.05" hidden="false" customHeight="false" outlineLevel="0" collapsed="false">
      <c r="A158" s="15" t="str">
        <f aca="false">"B"&amp;TEXT(ROW()-1,"0000")</f>
        <v>B0157</v>
      </c>
      <c r="B158" s="17" t="s">
        <v>5741</v>
      </c>
      <c r="C158" s="15" t="n">
        <v>3</v>
      </c>
      <c r="D158" s="15" t="s">
        <v>81</v>
      </c>
      <c r="E158" s="15" t="s">
        <v>5758</v>
      </c>
      <c r="F158" s="3" t="s">
        <v>7617</v>
      </c>
      <c r="G158" s="15" t="s">
        <v>7618</v>
      </c>
      <c r="H158" s="15" t="s">
        <v>7619</v>
      </c>
      <c r="I158" s="20" t="str">
        <f aca="false">IFERROR(INDEX('Nationwide KWs'!$D$2:$D$158,MATCH(H158,'Nationwide KWs'!$A$2:$A$158,0)),IFERROR(INDEX('Provincial KWs'!$E$2:$E$137,MATCH(H158,'Provincial KWs'!$A$2:$A$137,0)),IFERROR(INDEX('City KWs'!$F$2:$F$419,MATCH(H158,'City KWs'!$A$2:$A$419,0)),"")))</f>
        <v/>
      </c>
      <c r="J158" s="15" t="s">
        <v>5778</v>
      </c>
      <c r="K158" s="3" t="s">
        <v>7620</v>
      </c>
      <c r="L158" s="15" t="s">
        <v>147</v>
      </c>
      <c r="M158" s="15" t="s">
        <v>5177</v>
      </c>
      <c r="N158" s="15" t="s">
        <v>5763</v>
      </c>
      <c r="O158" s="3" t="s">
        <v>7617</v>
      </c>
      <c r="P158" s="15" t="n">
        <f aca="false">LEN(O158)</f>
        <v>49</v>
      </c>
      <c r="Q158" s="3" t="s">
        <v>7621</v>
      </c>
      <c r="R158" s="15" t="n">
        <f aca="false">LEN(Q158)</f>
        <v>154</v>
      </c>
      <c r="S158" s="15" t="str">
        <f aca="false">IF(H158="","",IF(ISNUMBER(SEARCH(SUBSTITUTE(H158,"-"," "),SUBSTITUTE(O158,"-"," "))),"Yes","Check"))</f>
        <v>Yes</v>
      </c>
      <c r="T158" s="3" t="s">
        <v>7622</v>
      </c>
      <c r="U158" s="3" t="s">
        <v>7623</v>
      </c>
      <c r="V158" s="3" t="s">
        <v>7624</v>
      </c>
      <c r="W158" s="3" t="s">
        <v>7625</v>
      </c>
      <c r="X158" s="3" t="s">
        <v>7626</v>
      </c>
      <c r="Y158" s="15" t="s">
        <v>5684</v>
      </c>
      <c r="Z158" s="16" t="n">
        <v>1200</v>
      </c>
      <c r="AA158" s="3" t="s">
        <v>7627</v>
      </c>
      <c r="AB158" s="3" t="s">
        <v>7628</v>
      </c>
      <c r="AC158" s="3" t="s">
        <v>7629</v>
      </c>
      <c r="AD158" s="15" t="s">
        <v>5773</v>
      </c>
      <c r="AE158" s="17"/>
      <c r="AF158" s="17"/>
      <c r="AG158" s="17"/>
    </row>
    <row r="159" customFormat="false" ht="46.25" hidden="false" customHeight="false" outlineLevel="0" collapsed="false">
      <c r="A159" s="15" t="str">
        <f aca="false">"B"&amp;TEXT(ROW()-1,"0000")</f>
        <v>B0158</v>
      </c>
      <c r="B159" s="17" t="s">
        <v>5741</v>
      </c>
      <c r="C159" s="15" t="n">
        <v>3</v>
      </c>
      <c r="D159" s="15" t="s">
        <v>81</v>
      </c>
      <c r="E159" s="15" t="s">
        <v>5758</v>
      </c>
      <c r="F159" s="3" t="s">
        <v>7630</v>
      </c>
      <c r="G159" s="15" t="s">
        <v>7631</v>
      </c>
      <c r="H159" s="15" t="s">
        <v>7632</v>
      </c>
      <c r="I159" s="20" t="str">
        <f aca="false">IFERROR(INDEX('Nationwide KWs'!$D$2:$D$158,MATCH(H159,'Nationwide KWs'!$A$2:$A$158,0)),IFERROR(INDEX('Provincial KWs'!$E$2:$E$137,MATCH(H159,'Provincial KWs'!$A$2:$A$137,0)),IFERROR(INDEX('City KWs'!$F$2:$F$419,MATCH(H159,'City KWs'!$A$2:$A$419,0)),"")))</f>
        <v/>
      </c>
      <c r="J159" s="15" t="s">
        <v>5998</v>
      </c>
      <c r="K159" s="3" t="s">
        <v>7633</v>
      </c>
      <c r="L159" s="15" t="s">
        <v>147</v>
      </c>
      <c r="M159" s="15" t="s">
        <v>5177</v>
      </c>
      <c r="N159" s="15" t="s">
        <v>5747</v>
      </c>
      <c r="O159" s="3" t="s">
        <v>7634</v>
      </c>
      <c r="P159" s="15" t="n">
        <f aca="false">LEN(O159)</f>
        <v>51</v>
      </c>
      <c r="Q159" s="3" t="s">
        <v>7635</v>
      </c>
      <c r="R159" s="15" t="n">
        <f aca="false">LEN(Q159)</f>
        <v>151</v>
      </c>
      <c r="S159" s="15" t="str">
        <f aca="false">IF(H159="","",IF(ISNUMBER(SEARCH(SUBSTITUTE(H159,"-"," "),SUBSTITUTE(O159,"-"," "))),"Yes","Check"))</f>
        <v>Yes</v>
      </c>
      <c r="T159" s="3" t="s">
        <v>7636</v>
      </c>
      <c r="U159" s="3" t="s">
        <v>7637</v>
      </c>
      <c r="V159" s="3" t="s">
        <v>7638</v>
      </c>
      <c r="W159" s="3" t="s">
        <v>7639</v>
      </c>
      <c r="X159" s="3" t="s">
        <v>7322</v>
      </c>
      <c r="Y159" s="15" t="s">
        <v>5684</v>
      </c>
      <c r="Z159" s="16" t="n">
        <v>1200</v>
      </c>
      <c r="AA159" s="3" t="s">
        <v>7640</v>
      </c>
      <c r="AB159" s="3" t="s">
        <v>7641</v>
      </c>
      <c r="AC159" s="3" t="s">
        <v>7642</v>
      </c>
      <c r="AD159" s="15" t="s">
        <v>5773</v>
      </c>
      <c r="AE159" s="17"/>
      <c r="AF159" s="17"/>
      <c r="AG159" s="17"/>
    </row>
    <row r="160" customFormat="false" ht="46.25" hidden="false" customHeight="false" outlineLevel="0" collapsed="false">
      <c r="A160" s="15" t="str">
        <f aca="false">"B"&amp;TEXT(ROW()-1,"0000")</f>
        <v>B0159</v>
      </c>
      <c r="B160" s="17" t="s">
        <v>5741</v>
      </c>
      <c r="C160" s="15" t="n">
        <v>3</v>
      </c>
      <c r="D160" s="15" t="s">
        <v>81</v>
      </c>
      <c r="E160" s="15" t="s">
        <v>6780</v>
      </c>
      <c r="F160" s="3" t="s">
        <v>7643</v>
      </c>
      <c r="G160" s="15" t="s">
        <v>7644</v>
      </c>
      <c r="H160" s="15" t="s">
        <v>7645</v>
      </c>
      <c r="I160" s="20" t="str">
        <f aca="false">IFERROR(INDEX('Nationwide KWs'!$D$2:$D$158,MATCH(H160,'Nationwide KWs'!$A$2:$A$158,0)),IFERROR(INDEX('Provincial KWs'!$E$2:$E$137,MATCH(H160,'Provincial KWs'!$A$2:$A$137,0)),IFERROR(INDEX('City KWs'!$F$2:$F$419,MATCH(H160,'City KWs'!$A$2:$A$419,0)),"")))</f>
        <v/>
      </c>
      <c r="J160" s="15" t="s">
        <v>5745</v>
      </c>
      <c r="K160" s="3" t="s">
        <v>7646</v>
      </c>
      <c r="L160" s="15" t="s">
        <v>147</v>
      </c>
      <c r="M160" s="15" t="s">
        <v>5177</v>
      </c>
      <c r="N160" s="15" t="s">
        <v>5763</v>
      </c>
      <c r="O160" s="3" t="s">
        <v>7647</v>
      </c>
      <c r="P160" s="15" t="n">
        <f aca="false">LEN(O160)</f>
        <v>55</v>
      </c>
      <c r="Q160" s="3" t="s">
        <v>7648</v>
      </c>
      <c r="R160" s="15" t="n">
        <f aca="false">LEN(Q160)</f>
        <v>148</v>
      </c>
      <c r="S160" s="15" t="str">
        <f aca="false">IF(H160="","",IF(ISNUMBER(SEARCH(SUBSTITUTE(H160,"-"," "),SUBSTITUTE(O160,"-"," "))),"Yes","Check"))</f>
        <v>Yes</v>
      </c>
      <c r="T160" s="3" t="s">
        <v>7649</v>
      </c>
      <c r="U160" s="3" t="s">
        <v>7650</v>
      </c>
      <c r="V160" s="3" t="s">
        <v>7651</v>
      </c>
      <c r="W160" s="3" t="s">
        <v>7652</v>
      </c>
      <c r="X160" s="3" t="s">
        <v>7322</v>
      </c>
      <c r="Y160" s="15" t="s">
        <v>5684</v>
      </c>
      <c r="Z160" s="16" t="n">
        <v>1500</v>
      </c>
      <c r="AA160" s="3" t="s">
        <v>7653</v>
      </c>
      <c r="AB160" s="3" t="s">
        <v>7654</v>
      </c>
      <c r="AC160" s="3" t="s">
        <v>7655</v>
      </c>
      <c r="AD160" s="15" t="s">
        <v>5773</v>
      </c>
      <c r="AE160" s="17"/>
      <c r="AF160" s="17"/>
      <c r="AG160" s="17"/>
    </row>
  </sheetData>
  <autoFilter ref="A1:AG160"/>
  <dataValidations count="1">
    <dataValidation allowBlank="true" errorStyle="stop" operator="between" showDropDown="false" showErrorMessage="false" showInputMessage="false" sqref="B2:B160" type="list">
      <formula1>"Planned,Writing,In review,Published,On 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2026-10-03T19:51:13Z</dcterms:created>
  <dc:creator>openpyxl</dc:creator>
  <dc:description/>
  <dc:language>en-US</dc:language>
  <cp:lastModifiedBy/>
  <dcterms:modified xsi:type="dcterms:W3CDTF">2026-10-03T19:51:14Z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